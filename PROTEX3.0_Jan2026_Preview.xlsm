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D:\Downloads\"/>
    </mc:Choice>
  </mc:AlternateContent>
  <xr:revisionPtr revIDLastSave="0" documentId="13_ncr:1_{C8FB94C6-0206-45DE-AC4F-892F7DF900B6}" xr6:coauthVersionLast="47" xr6:coauthVersionMax="47" xr10:uidLastSave="{00000000-0000-0000-0000-000000000000}"/>
  <bookViews>
    <workbookView xWindow="-98" yWindow="-98" windowWidth="21795" windowHeight="12975" tabRatio="885" firstSheet="4" activeTab="4" xr2:uid="{03419337-EC95-4FF7-B903-8936D45045B8}"/>
  </bookViews>
  <sheets>
    <sheet name="DB_chem" sheetId="9" state="hidden" r:id="rId1"/>
    <sheet name="DB_env" sheetId="21" state="hidden" r:id="rId2"/>
    <sheet name="DB_pop" sheetId="31" state="hidden" r:id="rId3"/>
    <sheet name="DB_particles" sheetId="5" state="hidden" r:id="rId4"/>
    <sheet name="Start" sheetId="1" r:id="rId5"/>
    <sheet name="BatchMode" sheetId="34" r:id="rId6"/>
    <sheet name="Input_Chemical" sheetId="2" r:id="rId7"/>
    <sheet name="Input_Technosphere" sheetId="3" r:id="rId8"/>
    <sheet name="Input_Environment" sheetId="33" r:id="rId9"/>
    <sheet name="Input_Human" sheetId="32" r:id="rId10"/>
    <sheet name="Input_Toxicity" sheetId="35" r:id="rId11"/>
    <sheet name="Notes" sheetId="8" state="hidden" r:id="rId12"/>
    <sheet name="Input_Foodweb" sheetId="10" state="hidden" r:id="rId13"/>
    <sheet name="Output_Hazard" sheetId="38" state="hidden" r:id="rId14"/>
    <sheet name="Output_Foodchain" sheetId="43" state="hidden" r:id="rId15"/>
    <sheet name="Output_Technosphere" sheetId="42" state="hidden" r:id="rId16"/>
    <sheet name="Output_Intermedia" sheetId="41" state="hidden" r:id="rId17"/>
    <sheet name="Output_Emissions" sheetId="19" state="hidden" r:id="rId18"/>
    <sheet name="Output_Zvalues" sheetId="20" state="hidden" r:id="rId19"/>
    <sheet name="Output_Dvalues" sheetId="23" state="hidden" r:id="rId20"/>
    <sheet name="Output_Flux" sheetId="12" state="hidden" r:id="rId21"/>
    <sheet name="Output_Concentration" sheetId="16" state="hidden" r:id="rId22"/>
    <sheet name="Output_Fugacity" sheetId="15" state="hidden" r:id="rId23"/>
    <sheet name="Output_Inventory" sheetId="17" state="hidden" r:id="rId24"/>
    <sheet name="Output_Human" sheetId="24" state="hidden" r:id="rId25"/>
    <sheet name="Output_Toxicity" sheetId="37" r:id="rId26"/>
  </sheets>
  <functionGroups builtInGroupCount="19"/>
  <definedNames>
    <definedName name="A">Input_Chemical!$D$59</definedName>
    <definedName name="AE_air">Input_Chemical!$D$49</definedName>
    <definedName name="AE_biota">Input_Chemical!$D$52</definedName>
    <definedName name="AE_metabolism">Input_Chemical!$D$53</definedName>
    <definedName name="AE_sed">Input_Chemical!#REF!</definedName>
    <definedName name="AE_soil">Input_Chemical!#REF!</definedName>
    <definedName name="AE_surface">Input_Chemical!$D$51</definedName>
    <definedName name="AE_water">Input_Chemical!$D$50</definedName>
    <definedName name="Ai">Input_Chemical!$D$66</definedName>
    <definedName name="B">Input_Chemical!$D$60</definedName>
    <definedName name="Bi">Input_Chemical!$D$67</definedName>
    <definedName name="ChemCat">Input_Chemical!$D$15</definedName>
    <definedName name="CLint_H">Input_Chemical!#REF!</definedName>
    <definedName name="dUaw">Input_Chemical!$D$37</definedName>
    <definedName name="dUoa">Input_Chemical!$D$39</definedName>
    <definedName name="dUow">Input_Chemical!$D$38</definedName>
    <definedName name="E">Input_Chemical!$D$57</definedName>
    <definedName name="Eff_compost">Input_Environment!$E$41</definedName>
    <definedName name="Eff_stp">Input_Environment!$E$40</definedName>
    <definedName name="Ei">Input_Chemical!$D$64</definedName>
    <definedName name="Elevation">Input_Environment!$E$33</definedName>
    <definedName name="EmissionStartYear">Start!$D$9</definedName>
    <definedName name="EnvironNum">Start!$AN$4</definedName>
    <definedName name="ErrorMsg">Start!$AN$5</definedName>
    <definedName name="F_reabsorp">Input_Chemical!$D$55</definedName>
    <definedName name="F_secret">Input_Chemical!$D$56</definedName>
    <definedName name="Far_1">Start!$F$14</definedName>
    <definedName name="Far_2">Start!$F$15</definedName>
    <definedName name="Far_3">Start!$F$16</definedName>
    <definedName name="Far_4">Start!$F$17</definedName>
    <definedName name="Fin_Fout_A">Input_Environment!$Z$26</definedName>
    <definedName name="Fin_Fout_CW">Input_Environment!$AE$26</definedName>
    <definedName name="Fin_Fout_DpGW">Input_Environment!$AH$26</definedName>
    <definedName name="Fin_Fout_ShGW">Input_Environment!$AG$26</definedName>
    <definedName name="fracConcrete">Input_Environment!$E$39</definedName>
    <definedName name="fracConiferousR">Input_Environment!$E$38</definedName>
    <definedName name="fracConiferousU">Input_Environment!$E$37</definedName>
    <definedName name="fracLeaf">Input_Environment!$E$36</definedName>
    <definedName name="FracUnbound">Input_Chemical!$D$40</definedName>
    <definedName name="freqStorm">Input_Environment!$E$35</definedName>
    <definedName name="GSD_humantox">Input_Toxicity!$B$11</definedName>
    <definedName name="HumanBornYear">Start!$D$11</definedName>
    <definedName name="Indoor_cal">Input_Technosphere!$T$62</definedName>
    <definedName name="Indoor_conc">Input_Technosphere!$T$64</definedName>
    <definedName name="Indoor_thickness">Input_Technosphere!$T$63</definedName>
    <definedName name="Jm">Input_Chemical!$D$70</definedName>
    <definedName name="Jminus">Input_Chemical!$D$70</definedName>
    <definedName name="Jp">Input_Chemical!$D$69</definedName>
    <definedName name="Jplus">Input_Chemical!$D$69</definedName>
    <definedName name="k_air">Input_Chemical!$D$41</definedName>
    <definedName name="k_aquatic">Input_Chemical!$D$44</definedName>
    <definedName name="k_avian">Input_Chemical!$D$46</definedName>
    <definedName name="k_invertebrate">Input_Chemical!$D$45</definedName>
    <definedName name="k_mammalian">Input_Chemical!$D$47</definedName>
    <definedName name="k_metabolism">Input_Chemical!$D$48</definedName>
    <definedName name="k_sed">Input_Chemical!#REF!</definedName>
    <definedName name="k_soil">Input_Chemical!#REF!</definedName>
    <definedName name="k_surface">Input_Chemical!$D$43</definedName>
    <definedName name="k_vegetation">Input_Chemical!#REF!</definedName>
    <definedName name="k_water">Input_Chemical!$D$42</definedName>
    <definedName name="Kaw">Input_Chemical!$D$16</definedName>
    <definedName name="Kaw_i">Input_Chemical!$D$26</definedName>
    <definedName name="Kcec">Input_Chemical!$D$32</definedName>
    <definedName name="Kcoc">Input_Chemical!$D$20</definedName>
    <definedName name="Kcoc_i">Input_Chemical!$D$30</definedName>
    <definedName name="Kmm">Input_Chemical!$D$21</definedName>
    <definedName name="Kmm_i">Input_Chemical!$D$31</definedName>
    <definedName name="Knlipid">Input_Chemical!$D$23</definedName>
    <definedName name="Knlipid_i">Input_Chemical!$D$34</definedName>
    <definedName name="Koa">Input_Chemical!$D$17</definedName>
    <definedName name="Koa_i">Input_Chemical!$D$27</definedName>
    <definedName name="Koc">Input_Chemical!$D$19</definedName>
    <definedName name="Koc_i">Input_Chemical!$D$29</definedName>
    <definedName name="Kow">Input_Chemical!$D$18</definedName>
    <definedName name="Kow_i">Input_Chemical!$D$28</definedName>
    <definedName name="Kplipid">Input_Chemical!$D$24</definedName>
    <definedName name="Kplipid_i">Input_Chemical!$D$35</definedName>
    <definedName name="Kprotein">Input_Chemical!$D$25</definedName>
    <definedName name="Kprotein_i">Input_Chemical!$D$36</definedName>
    <definedName name="Kwiom">Input_Chemical!$D$22</definedName>
    <definedName name="Kwiom_i">Input_Chemical!$D$33</definedName>
    <definedName name="L">Input_Chemical!$D$62</definedName>
    <definedName name="Latitude">Input_Environment!$E$32</definedName>
    <definedName name="MW">Input_Chemical!$D$12</definedName>
    <definedName name="NAi">Input_Chemical!$D$63</definedName>
    <definedName name="Near_1">Start!$H$14</definedName>
    <definedName name="Near_2">Start!$H$15</definedName>
    <definedName name="Near_3">Start!$H$16</definedName>
    <definedName name="NumChem">Start!$AN$2</definedName>
    <definedName name="OH_APR">Input_Environment!$H$104</definedName>
    <definedName name="OH_AUG">Input_Environment!$H$108</definedName>
    <definedName name="OH_DEC">Input_Environment!$H$112</definedName>
    <definedName name="OH_FEB">Input_Environment!$H$102</definedName>
    <definedName name="OH_indoor">Input_Environment!$F$113</definedName>
    <definedName name="OH_JAN">Input_Environment!$H$101</definedName>
    <definedName name="OH_JUL">Input_Environment!$H$107</definedName>
    <definedName name="OH_JUN">Input_Environment!$H$106</definedName>
    <definedName name="OH_MAR">Input_Environment!$H$103</definedName>
    <definedName name="OH_MAY">Input_Environment!$H$105</definedName>
    <definedName name="OH_NOV">Input_Environment!$H$111</definedName>
    <definedName name="OH_OCT">Input_Environment!$H$110</definedName>
    <definedName name="OH_SEP">Input_Environment!$H$109</definedName>
    <definedName name="Outdoor_cal">Input_Technosphere!$U$62</definedName>
    <definedName name="Outdoor_conc">Input_Technosphere!$U$64</definedName>
    <definedName name="Outdoor_thickness">Input_Technosphere!$U$63</definedName>
    <definedName name="outputANIYN">Start!$D$15</definedName>
    <definedName name="outputDYN">Start!$D$13</definedName>
    <definedName name="outputFLUXYN">Start!$D$14</definedName>
    <definedName name="outputHUMANYN">Start!$D$16</definedName>
    <definedName name="outputMCTKYN">Start!$D$17</definedName>
    <definedName name="Papp_Caco_2">Input_Chemical!$D$54</definedName>
    <definedName name="pKa">Input_Chemical!$D$13</definedName>
    <definedName name="pKb">Input_Chemical!$D$14</definedName>
    <definedName name="Pop">Input_Environment!$E$31</definedName>
    <definedName name="PopNum">Start!$AN$3</definedName>
    <definedName name="PopProtected">Input_Toxicity!$B$10</definedName>
    <definedName name="RAIN_APR">Input_Environment!$H$124</definedName>
    <definedName name="RAIN_AUG">Input_Environment!$H$128</definedName>
    <definedName name="RAIN_DEC">Input_Environment!$H$132</definedName>
    <definedName name="RAIN_FEB">Input_Environment!$H$122</definedName>
    <definedName name="RAIN_JAN">Input_Environment!$H$121</definedName>
    <definedName name="RAIN_JUL">Input_Environment!$H$127</definedName>
    <definedName name="RAIN_JUN">Input_Environment!$H$126</definedName>
    <definedName name="RAIN_MAR">Input_Environment!$H$123</definedName>
    <definedName name="RAIN_MAY">Input_Environment!$H$125</definedName>
    <definedName name="RAIN_NOV">Input_Environment!$H$131</definedName>
    <definedName name="RAIN_OCT">Input_Environment!$H$130</definedName>
    <definedName name="RAIN_SEP">Input_Environment!$H$129</definedName>
    <definedName name="S">Input_Chemical!$D$58</definedName>
    <definedName name="Sex">Start!$D$7</definedName>
    <definedName name="Si">Input_Chemical!$D$65</definedName>
    <definedName name="SimulationEnds">Start!$D$10</definedName>
    <definedName name="STDBW">Input_Toxicity!$B$12</definedName>
    <definedName name="T_APR">Input_Environment!$H$64</definedName>
    <definedName name="T_AUG">Input_Environment!$H$68</definedName>
    <definedName name="T_DEC">Input_Environment!$H$72</definedName>
    <definedName name="T_DewPoint">Input_Environment!$E$34</definedName>
    <definedName name="T_FEB">Input_Environment!$H$62</definedName>
    <definedName name="T_indoor">Input_Environment!$F$73</definedName>
    <definedName name="T_JAN">Input_Environment!$H$61</definedName>
    <definedName name="T_JUL">Input_Environment!$H$67</definedName>
    <definedName name="T_JUN">Input_Environment!$H$66</definedName>
    <definedName name="T_MAR">Input_Environment!$H$63</definedName>
    <definedName name="T_MAY">Input_Environment!$H$65</definedName>
    <definedName name="T_NOV">Input_Environment!$H$71</definedName>
    <definedName name="T_OCT">Input_Environment!$H$70</definedName>
    <definedName name="T_rural">Input_Environment!$H$73</definedName>
    <definedName name="T_SEP">Input_Environment!$H$69</definedName>
    <definedName name="T_urban">Input_Environment!$G$73</definedName>
    <definedName name="V">Input_Chemical!$D$61</definedName>
    <definedName name="Vi">Input_Chemical!$D$68</definedName>
    <definedName name="WIND_APR">Input_Environment!$H$84</definedName>
    <definedName name="WIND_AUG">Input_Environment!$H$88</definedName>
    <definedName name="WIND_DEC">Input_Environment!$H$92</definedName>
    <definedName name="WIND_FEB">Input_Environment!$H$82</definedName>
    <definedName name="WIND_indoor">Input_Environment!$F$93</definedName>
    <definedName name="WIND_JAN">Input_Environment!$H$81</definedName>
    <definedName name="WIND_JUL">Input_Environment!$H$87</definedName>
    <definedName name="WIND_JUN">Input_Environment!$H$86</definedName>
    <definedName name="WIND_MAR">Input_Environment!$H$83</definedName>
    <definedName name="WIND_MAY">Input_Environment!$H$85</definedName>
    <definedName name="WIND_NOV">Input_Environment!$H$91</definedName>
    <definedName name="WIND_OCT">Input_Environment!$H$90</definedName>
    <definedName name="WIND_rural">Input_Environment!$H$93</definedName>
    <definedName name="WIND_SEP">Input_Environment!$H$89</definedName>
    <definedName name="WIND_urban">Input_Environment!$G$93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5" i="33" l="1"/>
  <c r="F13" i="33" s="1"/>
  <c r="A149" i="21"/>
  <c r="A150" i="21"/>
  <c r="A151" i="21"/>
  <c r="A132" i="21"/>
  <c r="A133" i="21"/>
  <c r="A134" i="21"/>
  <c r="A135" i="21"/>
  <c r="A136" i="21"/>
  <c r="A137" i="21"/>
  <c r="A138" i="21"/>
  <c r="A139" i="21"/>
  <c r="A140" i="21"/>
  <c r="A141" i="21"/>
  <c r="A142" i="21"/>
  <c r="A143" i="21"/>
  <c r="A144" i="21"/>
  <c r="A145" i="21"/>
  <c r="A146" i="21"/>
  <c r="A147" i="21"/>
  <c r="A148" i="21"/>
  <c r="A131" i="21"/>
  <c r="A161" i="21"/>
  <c r="GX46" i="9"/>
  <c r="GX40" i="9"/>
  <c r="GR40" i="9"/>
  <c r="GQ40" i="9"/>
  <c r="GP40" i="9"/>
  <c r="GO40" i="9"/>
  <c r="GN40" i="9"/>
  <c r="FQ40" i="9"/>
  <c r="FP40" i="9"/>
  <c r="FO40" i="9"/>
  <c r="FN40" i="9"/>
  <c r="FM40" i="9"/>
  <c r="FL40" i="9"/>
  <c r="FK40" i="9"/>
  <c r="FJ40" i="9"/>
  <c r="FI40" i="9"/>
  <c r="FH40" i="9"/>
  <c r="FG40" i="9"/>
  <c r="FF40" i="9"/>
  <c r="GX39" i="9"/>
  <c r="GX36" i="9"/>
  <c r="GR36" i="9"/>
  <c r="GQ36" i="9"/>
  <c r="GP36" i="9"/>
  <c r="GO36" i="9"/>
  <c r="GN36" i="9"/>
  <c r="FQ36" i="9"/>
  <c r="FP36" i="9"/>
  <c r="FO36" i="9"/>
  <c r="FN36" i="9"/>
  <c r="FM36" i="9"/>
  <c r="FL36" i="9"/>
  <c r="FK36" i="9"/>
  <c r="FJ36" i="9"/>
  <c r="FI36" i="9"/>
  <c r="FH36" i="9"/>
  <c r="FG36" i="9"/>
  <c r="FF36" i="9"/>
  <c r="GR34" i="9"/>
  <c r="GQ34" i="9"/>
  <c r="GP34" i="9"/>
  <c r="GO34" i="9"/>
  <c r="GN34" i="9"/>
  <c r="FQ29" i="9"/>
  <c r="FP29" i="9"/>
  <c r="FN29" i="9"/>
  <c r="FM29" i="9"/>
  <c r="FK29" i="9"/>
  <c r="FJ29" i="9"/>
  <c r="AD23" i="9"/>
  <c r="AC23" i="9"/>
  <c r="AB23" i="9"/>
  <c r="AA23" i="9"/>
  <c r="AD21" i="9"/>
  <c r="AB21" i="9"/>
  <c r="AA21" i="9"/>
  <c r="Y21" i="9"/>
  <c r="X21" i="9"/>
  <c r="AD17" i="9"/>
  <c r="AC17" i="9"/>
  <c r="AB17" i="9"/>
  <c r="AD16" i="9"/>
  <c r="AC16" i="9"/>
  <c r="AB16" i="9"/>
  <c r="AD15" i="9"/>
  <c r="AC15" i="9"/>
  <c r="AB15" i="9"/>
  <c r="AD13" i="9"/>
  <c r="AC13" i="9"/>
  <c r="AB13" i="9"/>
  <c r="AA13" i="9"/>
  <c r="AD11" i="9"/>
  <c r="AB11" i="9"/>
  <c r="AA11" i="9"/>
  <c r="Y11" i="9"/>
  <c r="X11" i="9"/>
  <c r="GX10" i="9"/>
  <c r="GQ10" i="9"/>
  <c r="GP10" i="9"/>
  <c r="GO10" i="9"/>
  <c r="GN10" i="9"/>
  <c r="GX9" i="9"/>
  <c r="GQ9" i="9"/>
  <c r="GP9" i="9"/>
  <c r="GO9" i="9"/>
  <c r="GN9" i="9"/>
  <c r="AQ25" i="10" l="1"/>
  <c r="AQ24" i="10"/>
  <c r="AN2" i="1"/>
  <c r="AG13" i="10" l="1"/>
  <c r="AH16" i="10"/>
  <c r="AH14" i="10"/>
  <c r="AG12" i="10"/>
  <c r="AR23" i="10"/>
  <c r="AR22" i="10"/>
  <c r="E11" i="21"/>
  <c r="AN4" i="1"/>
  <c r="AN3" i="1"/>
  <c r="D12" i="21" l="1"/>
  <c r="B121" i="31"/>
  <c r="B115" i="31"/>
  <c r="B120" i="31"/>
  <c r="B119" i="31"/>
  <c r="N48" i="5" l="1"/>
  <c r="M48" i="5"/>
  <c r="L48" i="5"/>
  <c r="K48" i="5"/>
  <c r="J48" i="5"/>
  <c r="I48" i="5"/>
  <c r="H48" i="5"/>
  <c r="G48" i="5"/>
  <c r="F48" i="5"/>
  <c r="E48" i="5"/>
  <c r="Y33" i="5" l="1"/>
  <c r="X33" i="5"/>
  <c r="W33" i="5"/>
  <c r="V33" i="5"/>
  <c r="U33" i="5"/>
  <c r="T33" i="5"/>
  <c r="S33" i="5"/>
  <c r="S10" i="5"/>
  <c r="Y30" i="5"/>
  <c r="X30" i="5"/>
  <c r="W30" i="5"/>
  <c r="V30" i="5"/>
  <c r="U30" i="5"/>
  <c r="T30" i="5"/>
  <c r="S30" i="5"/>
  <c r="V29" i="5"/>
  <c r="U29" i="5"/>
  <c r="T29" i="5"/>
  <c r="S29" i="5"/>
  <c r="Y28" i="5"/>
  <c r="X28" i="5"/>
  <c r="W28" i="5"/>
  <c r="V28" i="5"/>
  <c r="U28" i="5"/>
  <c r="T28" i="5"/>
  <c r="S28" i="5"/>
  <c r="R7" i="5"/>
  <c r="R8" i="5"/>
  <c r="R9" i="5"/>
  <c r="R6" i="5"/>
  <c r="Y29" i="5"/>
  <c r="X29" i="5"/>
  <c r="W29" i="5"/>
  <c r="A192" i="21" l="1"/>
  <c r="A193" i="21"/>
  <c r="A194" i="21"/>
  <c r="A195" i="21"/>
  <c r="A196" i="21"/>
  <c r="A197" i="21"/>
  <c r="A198" i="21"/>
  <c r="A199" i="21"/>
  <c r="A200" i="21"/>
  <c r="A201" i="21"/>
  <c r="A202" i="21"/>
  <c r="A203" i="21"/>
  <c r="A204" i="21"/>
  <c r="A205" i="21"/>
  <c r="A206" i="21"/>
  <c r="A207" i="21"/>
  <c r="A208" i="21"/>
  <c r="A209" i="21"/>
  <c r="A191" i="21"/>
  <c r="A162" i="21"/>
  <c r="A163" i="21"/>
  <c r="A164" i="21"/>
  <c r="A165" i="21"/>
  <c r="A166" i="21"/>
  <c r="A167" i="21"/>
  <c r="A168" i="21"/>
  <c r="A169" i="21"/>
  <c r="A170" i="21"/>
  <c r="A171" i="21"/>
  <c r="A172" i="21"/>
  <c r="A173" i="21"/>
  <c r="A174" i="21"/>
  <c r="A175" i="21"/>
  <c r="A176" i="21"/>
  <c r="A177" i="21"/>
  <c r="A178" i="21"/>
  <c r="A179" i="21"/>
  <c r="C24" i="32"/>
  <c r="C25" i="32"/>
  <c r="C26" i="32"/>
  <c r="C27" i="32"/>
  <c r="C28" i="32"/>
  <c r="C29" i="32"/>
  <c r="C30" i="32"/>
  <c r="C31" i="32"/>
  <c r="C32" i="32"/>
  <c r="C33" i="32"/>
  <c r="C34" i="32"/>
  <c r="C35" i="32"/>
  <c r="C36" i="32"/>
  <c r="C37" i="32"/>
  <c r="C38" i="32"/>
  <c r="C39" i="32"/>
  <c r="C40" i="32"/>
  <c r="C41" i="32"/>
  <c r="C42" i="32"/>
  <c r="C23" i="32"/>
  <c r="AT18" i="10"/>
  <c r="D119" i="34"/>
  <c r="D118" i="34"/>
  <c r="D117" i="34"/>
  <c r="D116" i="34"/>
  <c r="D115" i="34"/>
  <c r="D114" i="34"/>
  <c r="D113" i="34"/>
  <c r="D112" i="34"/>
  <c r="D111" i="34"/>
  <c r="D110" i="34"/>
  <c r="D109" i="34"/>
  <c r="D108" i="34"/>
  <c r="D107" i="34"/>
  <c r="D106" i="34"/>
  <c r="D105" i="34"/>
  <c r="D104" i="34"/>
  <c r="D103" i="34"/>
  <c r="D102" i="34"/>
  <c r="D101" i="34"/>
  <c r="C35" i="21" l="1"/>
  <c r="C34" i="21"/>
  <c r="C39" i="21"/>
  <c r="C38" i="21"/>
  <c r="C36" i="21"/>
  <c r="E34" i="21"/>
  <c r="E35" i="21"/>
  <c r="D38" i="21"/>
  <c r="D34" i="21" s="1"/>
  <c r="E38" i="21"/>
  <c r="D39" i="21"/>
  <c r="D35" i="21" s="1"/>
  <c r="E39" i="21"/>
  <c r="C52" i="21"/>
  <c r="D53" i="21"/>
  <c r="D54" i="21"/>
  <c r="D55" i="21"/>
  <c r="D56" i="21"/>
  <c r="D57" i="21"/>
  <c r="D58" i="21"/>
  <c r="D59" i="21"/>
  <c r="D60" i="21"/>
  <c r="D61" i="21"/>
  <c r="D62" i="21"/>
  <c r="D63" i="21"/>
  <c r="D33" i="21"/>
  <c r="A210" i="21" l="1"/>
  <c r="A180" i="21"/>
  <c r="S24" i="3"/>
  <c r="A16" i="3" l="1"/>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15" i="3"/>
  <c r="S14" i="3"/>
  <c r="A10" i="34"/>
  <c r="D100" i="34" l="1"/>
  <c r="D99" i="34"/>
  <c r="D98" i="34"/>
  <c r="D97" i="34"/>
  <c r="D96" i="34"/>
  <c r="D95" i="34"/>
  <c r="D88" i="34" l="1"/>
  <c r="D89" i="34"/>
  <c r="D90" i="34"/>
  <c r="D91" i="34"/>
  <c r="D92" i="34"/>
  <c r="D93" i="34"/>
  <c r="D94" i="34"/>
  <c r="D87" i="34"/>
  <c r="D86" i="34"/>
  <c r="D85" i="34"/>
  <c r="D47" i="34"/>
  <c r="D46" i="34"/>
  <c r="D45" i="34"/>
  <c r="D44" i="34"/>
  <c r="D43" i="34"/>
  <c r="D25" i="34"/>
  <c r="D24" i="34"/>
  <c r="D23" i="34"/>
  <c r="D22" i="34"/>
  <c r="D21" i="34"/>
  <c r="B39" i="21" l="1"/>
  <c r="B35" i="21"/>
  <c r="B38" i="21"/>
  <c r="B34" i="21"/>
  <c r="D84" i="34"/>
  <c r="D83" i="34"/>
  <c r="D82" i="34"/>
  <c r="D81" i="34"/>
  <c r="D80" i="34"/>
  <c r="D79" i="34"/>
  <c r="D78" i="34"/>
  <c r="D77" i="34"/>
  <c r="D76" i="34"/>
  <c r="D75" i="34"/>
  <c r="D70" i="34"/>
  <c r="D71" i="34"/>
  <c r="D72" i="34"/>
  <c r="D73" i="34"/>
  <c r="D74" i="34"/>
  <c r="D69" i="34"/>
  <c r="D66" i="34"/>
  <c r="D67" i="34"/>
  <c r="D68" i="34"/>
  <c r="D65" i="34"/>
  <c r="D64" i="34"/>
  <c r="D63" i="34"/>
  <c r="D62" i="34"/>
  <c r="D61" i="34"/>
  <c r="D60" i="34"/>
  <c r="D59" i="34"/>
  <c r="D58" i="34"/>
  <c r="D57" i="34"/>
  <c r="D56" i="34"/>
  <c r="D55" i="34"/>
  <c r="D54" i="34"/>
  <c r="D53" i="34"/>
  <c r="D52" i="34"/>
  <c r="D51" i="34"/>
  <c r="D50" i="34"/>
  <c r="D49" i="34"/>
  <c r="D48" i="34"/>
  <c r="D42" i="34"/>
  <c r="D41" i="34"/>
  <c r="D40" i="34"/>
  <c r="D39" i="34"/>
  <c r="D38" i="34"/>
  <c r="D37" i="34"/>
  <c r="D36" i="34"/>
  <c r="D35" i="34"/>
  <c r="D34" i="34"/>
  <c r="D33" i="34"/>
  <c r="D32" i="34"/>
  <c r="D31" i="34"/>
  <c r="D30" i="34"/>
  <c r="D29" i="34"/>
  <c r="D28" i="34"/>
  <c r="D27" i="34"/>
  <c r="D26" i="34"/>
  <c r="L13" i="10"/>
  <c r="K13" i="10"/>
  <c r="AE13" i="10" s="1"/>
  <c r="K12" i="10"/>
  <c r="AE12" i="10" s="1"/>
  <c r="A11" i="34" l="1"/>
  <c r="K19" i="35"/>
  <c r="E21" i="21" l="1"/>
  <c r="E12" i="21"/>
  <c r="E17" i="21"/>
  <c r="E14" i="21"/>
  <c r="E15" i="21"/>
  <c r="E13" i="21"/>
  <c r="E16" i="21" l="1"/>
  <c r="A23" i="31"/>
  <c r="E121" i="31"/>
  <c r="F121" i="31"/>
  <c r="G121" i="31"/>
  <c r="H121" i="31"/>
  <c r="E117" i="31"/>
  <c r="F117" i="31"/>
  <c r="G117" i="31"/>
  <c r="H117" i="31"/>
  <c r="E119" i="31"/>
  <c r="F119" i="31"/>
  <c r="G119" i="31"/>
  <c r="H119" i="31"/>
  <c r="D120" i="31"/>
  <c r="D20" i="31"/>
  <c r="G120" i="31" s="1"/>
  <c r="H20" i="31"/>
  <c r="E20" i="31"/>
  <c r="E120" i="31" l="1"/>
  <c r="H120" i="31"/>
  <c r="F120" i="31"/>
  <c r="T48" i="5" l="1"/>
  <c r="U48" i="5"/>
  <c r="V48" i="5"/>
  <c r="W48" i="5"/>
  <c r="X48" i="5"/>
  <c r="Y48" i="5"/>
  <c r="Z48" i="5"/>
  <c r="AA48" i="5"/>
  <c r="AB48" i="5"/>
  <c r="S48" i="5"/>
  <c r="AG20" i="10"/>
  <c r="AF20" i="10"/>
  <c r="P20" i="10"/>
  <c r="N20" i="10"/>
  <c r="C20" i="10"/>
  <c r="A124" i="31"/>
  <c r="A125" i="31"/>
  <c r="A126" i="31"/>
  <c r="A127" i="31"/>
  <c r="A128" i="31"/>
  <c r="A129" i="31"/>
  <c r="A130" i="31"/>
  <c r="A119" i="31"/>
  <c r="A120" i="31"/>
  <c r="A121" i="31"/>
  <c r="A122" i="31"/>
  <c r="A123" i="31"/>
  <c r="A22" i="31"/>
  <c r="A24" i="31"/>
  <c r="A25" i="31"/>
  <c r="A26" i="31"/>
  <c r="A27" i="31"/>
  <c r="A28" i="31"/>
  <c r="A29" i="31"/>
  <c r="A30" i="31"/>
  <c r="A20" i="31"/>
  <c r="A21" i="31"/>
  <c r="AE20" i="10" l="1"/>
  <c r="C118" i="31"/>
  <c r="B118" i="31"/>
  <c r="H18" i="31"/>
  <c r="G18" i="31"/>
  <c r="F18" i="31"/>
  <c r="E18" i="31"/>
  <c r="D18" i="31"/>
  <c r="C18" i="31"/>
  <c r="B18" i="31"/>
  <c r="F118" i="31" l="1"/>
  <c r="E118" i="31"/>
  <c r="G118" i="31"/>
  <c r="H118" i="31"/>
  <c r="AH18" i="10"/>
  <c r="AG18" i="10"/>
  <c r="AF18" i="10"/>
  <c r="AG21" i="10"/>
  <c r="AF21" i="10"/>
  <c r="AG19" i="10"/>
  <c r="AF19" i="10"/>
  <c r="H112" i="31" l="1"/>
  <c r="H113" i="31"/>
  <c r="H114" i="31"/>
  <c r="H115" i="31"/>
  <c r="G112" i="31"/>
  <c r="G113" i="31"/>
  <c r="G114" i="31"/>
  <c r="G115" i="31"/>
  <c r="F112" i="31"/>
  <c r="F113" i="31"/>
  <c r="F114" i="31"/>
  <c r="F115" i="31"/>
  <c r="E112" i="31"/>
  <c r="E113" i="31"/>
  <c r="E114" i="31"/>
  <c r="E115" i="31"/>
  <c r="F111" i="31" l="1"/>
  <c r="G111" i="31"/>
  <c r="H111" i="31"/>
  <c r="E111" i="31"/>
  <c r="A13" i="31" l="1"/>
  <c r="A14" i="31"/>
  <c r="A15" i="31"/>
  <c r="A16" i="31"/>
  <c r="A17" i="31"/>
  <c r="A18" i="31"/>
  <c r="A19" i="31"/>
  <c r="A113" i="31"/>
  <c r="A114" i="31"/>
  <c r="A115" i="31"/>
  <c r="A116" i="31"/>
  <c r="A117" i="31"/>
  <c r="A118" i="31"/>
  <c r="F10" i="33" l="1" a="1"/>
  <c r="F10" i="33" s="1"/>
  <c r="G10" i="33" l="1"/>
  <c r="AG10" i="33"/>
  <c r="AC10" i="33"/>
  <c r="Y10" i="33"/>
  <c r="U10" i="33"/>
  <c r="Q10" i="33"/>
  <c r="M10" i="33"/>
  <c r="I10" i="33"/>
  <c r="AF10" i="33"/>
  <c r="AB10" i="33"/>
  <c r="X10" i="33"/>
  <c r="T10" i="33"/>
  <c r="P10" i="33"/>
  <c r="L10" i="33"/>
  <c r="H10" i="33"/>
  <c r="AI10" i="33"/>
  <c r="AE10" i="33"/>
  <c r="AA10" i="33"/>
  <c r="W10" i="33"/>
  <c r="S10" i="33"/>
  <c r="O10" i="33"/>
  <c r="K10" i="33"/>
  <c r="AH10" i="33"/>
  <c r="AD10" i="33"/>
  <c r="Z10" i="33"/>
  <c r="V10" i="33"/>
  <c r="R10" i="33"/>
  <c r="N10" i="33"/>
  <c r="J10" i="33"/>
  <c r="C117" i="31" l="1"/>
  <c r="C114" i="31"/>
  <c r="C113" i="31"/>
  <c r="C112" i="31"/>
  <c r="A112" i="31"/>
  <c r="A111" i="31"/>
  <c r="C17" i="31"/>
  <c r="C14" i="31"/>
  <c r="C13" i="31"/>
  <c r="C12" i="31"/>
  <c r="A12" i="31"/>
  <c r="A11" i="31"/>
  <c r="D21" i="21" l="1"/>
  <c r="D18" i="21" s="1"/>
  <c r="D32" i="21"/>
  <c r="D64" i="21"/>
  <c r="D85" i="21"/>
  <c r="D92" i="21"/>
  <c r="D65" i="21" l="1"/>
  <c r="S15" i="3"/>
  <c r="S16" i="3"/>
  <c r="S17" i="3"/>
  <c r="S18" i="3"/>
  <c r="S19" i="3"/>
  <c r="S20" i="3"/>
  <c r="S21" i="3"/>
  <c r="S22" i="3"/>
  <c r="S23" i="3"/>
  <c r="S25" i="3"/>
  <c r="S26" i="3"/>
  <c r="S27" i="3"/>
  <c r="S28" i="3"/>
  <c r="S29" i="3"/>
  <c r="S30" i="3"/>
  <c r="S31" i="3"/>
  <c r="S32" i="3"/>
  <c r="S33" i="3"/>
  <c r="S34" i="3"/>
  <c r="S35" i="3"/>
  <c r="S36" i="3"/>
  <c r="S37" i="3"/>
  <c r="S38" i="3"/>
  <c r="S39" i="3"/>
  <c r="S40" i="3"/>
  <c r="S41" i="3"/>
  <c r="S42" i="3"/>
  <c r="S43" i="3"/>
  <c r="D10" i="21" l="1"/>
  <c r="D13" i="21" l="1"/>
  <c r="D14" i="21" s="1"/>
  <c r="D17" i="21" s="1"/>
  <c r="T25" i="5"/>
  <c r="U25" i="5"/>
  <c r="V25" i="5"/>
  <c r="W25" i="5"/>
  <c r="X25" i="5"/>
  <c r="T26" i="5"/>
  <c r="U26" i="5"/>
  <c r="V26" i="5"/>
  <c r="W26" i="5"/>
  <c r="X26" i="5"/>
  <c r="S25" i="5"/>
  <c r="S26" i="5"/>
  <c r="C65" i="21" l="1"/>
  <c r="B32" i="21" l="1"/>
  <c r="B92" i="21"/>
  <c r="B64" i="21"/>
  <c r="B63" i="21"/>
  <c r="B62" i="21"/>
  <c r="B61" i="21"/>
  <c r="B60" i="21"/>
  <c r="B59" i="21"/>
  <c r="B58" i="21"/>
  <c r="B57" i="21"/>
  <c r="B56" i="21"/>
  <c r="B55" i="21"/>
  <c r="B54" i="21"/>
  <c r="B53" i="21"/>
  <c r="B21" i="21"/>
  <c r="B18" i="21" s="1"/>
  <c r="B16" i="21"/>
  <c r="B15" i="21"/>
  <c r="B11" i="21"/>
  <c r="B12" i="21" s="1"/>
  <c r="B10" i="21"/>
  <c r="C10" i="21"/>
  <c r="B13" i="21" l="1"/>
  <c r="B14" i="21" s="1"/>
  <c r="B17" i="21" s="1"/>
  <c r="C11" i="21"/>
  <c r="C12" i="21" s="1"/>
  <c r="C19" i="21" s="1"/>
  <c r="B65" i="21"/>
  <c r="C21" i="21" l="1"/>
  <c r="C13" i="21"/>
  <c r="C14" i="21" s="1"/>
  <c r="C17" i="21" s="1"/>
  <c r="C20" i="21"/>
  <c r="C18" i="21" l="1"/>
  <c r="C11" i="10" l="1"/>
  <c r="C19" i="10" l="1"/>
  <c r="AN1" i="1" l="1"/>
  <c r="P19" i="10" l="1"/>
  <c r="N19" i="10"/>
  <c r="AE19" i="10" s="1"/>
  <c r="N21" i="10" l="1"/>
  <c r="AE21" i="10" s="1"/>
  <c r="AO2" i="5" l="1"/>
  <c r="AO18" i="10" l="1"/>
  <c r="AM18" i="10"/>
  <c r="C17" i="10"/>
  <c r="G13" i="10"/>
  <c r="G12" i="10"/>
  <c r="N18" i="10"/>
  <c r="AE18" i="10" s="1"/>
  <c r="N17" i="10"/>
  <c r="AE17"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tc={6C0726AD-FBBE-439D-A149-6498D8489E2B}</author>
    <author>tc={C158A6E7-672B-4AF8-A179-14A2040EFE5D}</author>
    <author>tc={C1C54EAE-3A79-4BB8-B31A-4F9C65DF2A29}</author>
    <author>tc={6EB16455-94C3-4457-9C15-BAAC800F952F}</author>
    <author>tc={13F65EB3-1167-4556-8ACB-0253602E955A}</author>
    <author>tc={B93313B7-3BA9-4FD3-83A4-B5EC212A3161}</author>
    <author>tc={162484FC-2E3A-4168-AB68-ABDC854B415C}</author>
    <author>tc={77DDEBC4-A92D-4658-A27D-FD2717963308}</author>
    <author>tc={AA6CC6C1-ABA6-4187-8291-7B2971C8B681}</author>
    <author>tc={58056D6B-99D4-4FE0-99E2-C813328CDA89}</author>
    <author>tc={03F5CF0F-9EC5-4833-9C41-B38CB3359011}</author>
    <author>tc={1951FF4A-8903-4AF7-9618-71036070032D}</author>
    <author>Li Li</author>
    <author>tc={7134AE5B-F0D8-4DA9-B09A-D9D9D127A4F0}</author>
    <author>tc={904FA46B-F8FC-4AF3-AA5F-19551CD7549C}</author>
    <author>tc={C495F2A6-211C-4E7D-96D9-5BBF2770B972}</author>
    <author>tc={9F47D3B1-EF99-41B4-8B46-5C0AE79350A1}</author>
    <author>tc={39C51BD3-B6D7-44F8-A3B7-B46611B9F501}</author>
    <author>tc={158F5686-A257-4915-971B-70477728F510}</author>
    <author>tc={B5802A28-F8F2-49C2-9C97-B6098DDD7AEE}</author>
    <author>tc={74E5F363-C603-4E07-B7AB-5144504E203C}</author>
    <author>tc={0A0C1B16-BD8A-49AB-A833-87EAA09C4D3A}</author>
    <author>tc={23A92762-C443-4B7A-B38D-35EFA3A6A5F3}</author>
    <author>tc={C1702CAA-BC79-46A2-82B0-E673BCEF99FE}</author>
    <author>tc={82EBD3B5-9415-4651-8C46-9BD6BD28E94A}</author>
    <author>tc={BB6F0537-EC69-4064-B70F-6A216C78712D}</author>
    <author>tc={3E14F737-1472-41CC-B323-6897A9477C41}</author>
    <author>tc={45B22699-0A7E-4AC5-9C63-BD9D96FB9937}</author>
    <author>tc={99A43872-D556-4AEC-802F-8EA6FF19BB48}</author>
    <author>tc={3B009484-2A00-4828-93A0-E80F207F9185}</author>
    <author>tc={CC3A8982-6697-4970-9C83-AB957831DEE6}</author>
    <author>tc={2A815DA2-4878-4E68-9DAC-6CE504677FB9}</author>
    <author>tc={6909C4D3-EA4A-4939-87DD-E05C90784EE1}</author>
  </authors>
  <commentList>
    <comment ref="L5" authorId="0" shapeId="0" xr:uid="{6C0726AD-FBBE-439D-A149-6498D8489E2B}">
      <text>
        <t>[Threaded comment]
Your version of Excel allows you to read this threaded comment; however, any edits to it will get removed if the file is opened in a newer version of Excel. Learn more: https://go.microsoft.com/fwlink/?linkid=870924
Comment:
    PubChem search</t>
      </text>
    </comment>
    <comment ref="P5" authorId="1" shapeId="0" xr:uid="{C158A6E7-672B-4AF8-A179-14A2040EFE5D}">
      <text>
        <t>[Threaded comment]
Your version of Excel allows you to read this threaded comment; however, any edits to it will get removed if the file is opened in a newer version of Excel. Learn more: https://go.microsoft.com/fwlink/?linkid=870924
Comment:
    PubChem search</t>
      </text>
    </comment>
    <comment ref="S5" authorId="2" shapeId="0" xr:uid="{C1C54EAE-3A79-4BB8-B31A-4F9C65DF2A29}">
      <text>
        <t>[Threaded comment]
Your version of Excel allows you to read this threaded comment; however, any edits to it will get removed if the file is opened in a newer version of Excel. Learn more: https://go.microsoft.com/fwlink/?linkid=870924
Comment:
    PubChem search</t>
      </text>
    </comment>
    <comment ref="V5" authorId="3" shapeId="0" xr:uid="{6EB16455-94C3-4457-9C15-BAAC800F952F}">
      <text>
        <t>[Threaded comment]
Your version of Excel allows you to read this threaded comment; however, any edits to it will get removed if the file is opened in a newer version of Excel. Learn more: https://go.microsoft.com/fwlink/?linkid=870924
Comment:
    PubChem search</t>
      </text>
    </comment>
    <comment ref="W5" authorId="4" shapeId="0" xr:uid="{13F65EB3-1167-4556-8ACB-0253602E955A}">
      <text>
        <t>[Threaded comment]
Your version of Excel allows you to read this threaded comment; however, any edits to it will get removed if the file is opened in a newer version of Excel. Learn more: https://go.microsoft.com/fwlink/?linkid=870924
Comment:
    PubChem search</t>
      </text>
    </comment>
    <comment ref="AF5" authorId="5" shapeId="0" xr:uid="{B93313B7-3BA9-4FD3-83A4-B5EC212A3161}">
      <text>
        <t>[Threaded comment]
Your version of Excel allows you to read this threaded comment; however, any edits to it will get removed if the file is opened in a newer version of Excel. Learn more: https://go.microsoft.com/fwlink/?linkid=870924
Comment:
    PubChem search</t>
      </text>
    </comment>
    <comment ref="AI5" authorId="6" shapeId="0" xr:uid="{162484FC-2E3A-4168-AB68-ABDC854B415C}">
      <text>
        <t>[Threaded comment]
Your version of Excel allows you to read this threaded comment; however, any edits to it will get removed if the file is opened in a newer version of Excel. Learn more: https://go.microsoft.com/fwlink/?linkid=870924
Comment:
    PubChem search</t>
      </text>
    </comment>
    <comment ref="I6" authorId="7" shapeId="0" xr:uid="{77DDEBC4-A92D-4658-A27D-FD2717963308}">
      <text>
        <t>[Threaded comment]
Your version of Excel allows you to read this threaded comment; however, any edits to it will get removed if the file is opened in a newer version of Excel. Learn more: https://go.microsoft.com/fwlink/?linkid=870924
Comment:
    Pubchem search</t>
      </text>
    </comment>
    <comment ref="M6" authorId="8" shapeId="0" xr:uid="{AA6CC6C1-ABA6-4187-8291-7B2971C8B681}">
      <text>
        <t>[Threaded comment]
Your version of Excel allows you to read this threaded comment; however, any edits to it will get removed if the file is opened in a newer version of Excel. Learn more: https://go.microsoft.com/fwlink/?linkid=870924
Comment:
    caffeine cation pKa 0.7</t>
      </text>
    </comment>
    <comment ref="T6" authorId="9" shapeId="0" xr:uid="{58056D6B-99D4-4FE0-99E2-C813328CDA89}">
      <text>
        <t>[Threaded comment]
Your version of Excel allows you to read this threaded comment; however, any edits to it will get removed if the file is opened in a newer version of Excel. Learn more: https://go.microsoft.com/fwlink/?linkid=870924
Comment:
    PubChem search</t>
      </text>
    </comment>
    <comment ref="AG6" authorId="10" shapeId="0" xr:uid="{03F5CF0F-9EC5-4833-9C41-B38CB3359011}">
      <text>
        <t>[Threaded comment]
Your version of Excel allows you to read this threaded comment; however, any edits to it will get removed if the file is opened in a newer version of Excel. Learn more: https://go.microsoft.com/fwlink/?linkid=870924
Comment:
    PubChem search</t>
      </text>
    </comment>
    <comment ref="AJ6" authorId="11" shapeId="0" xr:uid="{1951FF4A-8903-4AF7-9618-71036070032D}">
      <text>
        <t>[Threaded comment]
Your version of Excel allows you to read this threaded comment; however, any edits to it will get removed if the file is opened in a newer version of Excel. Learn more: https://go.microsoft.com/fwlink/?linkid=870924
Comment:
    PubChem search</t>
      </text>
    </comment>
    <comment ref="R9" authorId="12" shapeId="0" xr:uid="{CCD6147D-7764-4E3F-A1CA-D59ECA28BCF5}">
      <text>
        <r>
          <rPr>
            <b/>
            <sz val="9"/>
            <color indexed="81"/>
            <rFont val="Tahoma"/>
            <family val="2"/>
          </rPr>
          <t>Li Li:</t>
        </r>
        <r>
          <rPr>
            <sz val="9"/>
            <color indexed="81"/>
            <rFont val="Tahoma"/>
            <family val="2"/>
          </rPr>
          <t xml:space="preserve">
Taken from Li et al. Environ. Sci. Technol. 2015, 49: 212-222</t>
        </r>
      </text>
    </comment>
    <comment ref="R10" authorId="12" shapeId="0" xr:uid="{D08B3349-FF4D-453D-BD5B-4B43D8E78096}">
      <text>
        <r>
          <rPr>
            <b/>
            <sz val="9"/>
            <color indexed="81"/>
            <rFont val="Tahoma"/>
            <family val="2"/>
          </rPr>
          <t>Li Li:</t>
        </r>
        <r>
          <rPr>
            <sz val="9"/>
            <color indexed="81"/>
            <rFont val="Tahoma"/>
            <family val="2"/>
          </rPr>
          <t xml:space="preserve">
Taken from Li et al. Environ. Sci. Technol. 2015, 49: 212-222</t>
        </r>
      </text>
    </comment>
    <comment ref="GX10" authorId="13" shapeId="0" xr:uid="{7134AE5B-F0D8-4DA9-B09A-D9D9D127A4F0}">
      <text>
        <t>[Threaded comment]
Your version of Excel allows you to read this threaded comment; however, any edits to it will get removed if the file is opened in a newer version of Excel. Learn more: https://go.microsoft.com/fwlink/?linkid=870924
Comment:
    PhysPropNCCT data</t>
      </text>
    </comment>
    <comment ref="X11" authorId="14" shapeId="0" xr:uid="{904FA46B-F8FC-4AF3-AA5F-19551CD7549C}">
      <text>
        <t>[Threaded comment]
Your version of Excel allows you to read this threaded comment; however, any edits to it will get removed if the file is opened in a newer version of Excel. Learn more: https://go.microsoft.com/fwlink/?linkid=870924
Comment:
    DOI: 10.1016/j.scitotenv.2021.149343
Table 3</t>
      </text>
    </comment>
    <comment ref="Y11" authorId="15" shapeId="0" xr:uid="{C495F2A6-211C-4E7D-96D9-5BBF2770B972}">
      <text>
        <t>[Threaded comment]
Your version of Excel allows you to read this threaded comment; however, any edits to it will get removed if the file is opened in a newer version of Excel. Learn more: https://go.microsoft.com/fwlink/?linkid=870924
Comment:
    DOI: 10.1016/j.scitotenv.2021.149343
Table 3</t>
      </text>
    </comment>
    <comment ref="Z11" authorId="16" shapeId="0" xr:uid="{9F47D3B1-EF99-41B4-8B46-5C0AE79350A1}">
      <text>
        <t>[Threaded comment]
Your version of Excel allows you to read this threaded comment; however, any edits to it will get removed if the file is opened in a newer version of Excel. Learn more: https://go.microsoft.com/fwlink/?linkid=870924
Comment:
    DOI: 10.1016/j.scitotenv.2021.149343
Table 3</t>
      </text>
    </comment>
    <comment ref="AA11" authorId="17" shapeId="0" xr:uid="{39C51BD3-B6D7-44F8-A3B7-B46611B9F501}">
      <text>
        <t>[Threaded comment]
Your version of Excel allows you to read this threaded comment; however, any edits to it will get removed if the file is opened in a newer version of Excel. Learn more: https://go.microsoft.com/fwlink/?linkid=870924
Comment:
    DOI: 10.1016/j.scitotenv.2021.149343
Table 3</t>
      </text>
    </comment>
    <comment ref="AB11" authorId="18" shapeId="0" xr:uid="{158F5686-A257-4915-971B-70477728F510}">
      <text>
        <t>[Threaded comment]
Your version of Excel allows you to read this threaded comment; however, any edits to it will get removed if the file is opened in a newer version of Excel. Learn more: https://go.microsoft.com/fwlink/?linkid=870924
Comment:
    DOI: 10.1016/j.scitotenv.2021.149343
Table 3</t>
      </text>
    </comment>
    <comment ref="AC11" authorId="19" shapeId="0" xr:uid="{B5802A28-F8F2-49C2-9C97-B6098DDD7AEE}">
      <text>
        <t>[Threaded comment]
Your version of Excel allows you to read this threaded comment; however, any edits to it will get removed if the file is opened in a newer version of Excel. Learn more: https://go.microsoft.com/fwlink/?linkid=870924
Comment:
    DOI: 10.1016/j.scitotenv.2021.149343
Table 3</t>
      </text>
    </comment>
    <comment ref="AD11" authorId="20" shapeId="0" xr:uid="{74E5F363-C603-4E07-B7AB-5144504E203C}">
      <text>
        <t>[Threaded comment]
Your version of Excel allows you to read this threaded comment; however, any edits to it will get removed if the file is opened in a newer version of Excel. Learn more: https://go.microsoft.com/fwlink/?linkid=870924
Comment:
    DOI: 10.1016/j.scitotenv.2021.149343
Table 3</t>
      </text>
    </comment>
    <comment ref="Y12" authorId="21" shapeId="0" xr:uid="{0A0C1B16-BD8A-49AB-A833-87EAA09C4D3A}">
      <text>
        <t>[Threaded comment]
Your version of Excel allows you to read this threaded comment; however, any edits to it will get removed if the file is opened in a newer version of Excel. Learn more: https://go.microsoft.com/fwlink/?linkid=870924
Comment:
    DOI: 10.1016/j.chemosphere.2022.134733
Table 2, TB data</t>
      </text>
    </comment>
    <comment ref="AA12" authorId="22" shapeId="0" xr:uid="{23A92762-C443-4B7A-B38D-35EFA3A6A5F3}">
      <text>
        <t>[Threaded comment]
Your version of Excel allows you to read this threaded comment; however, any edits to it will get removed if the file is opened in a newer version of Excel. Learn more: https://go.microsoft.com/fwlink/?linkid=870924
Comment:
    DOI: 10.1016/j.chemosphere.2022.134733
Table 2, TB data</t>
      </text>
    </comment>
    <comment ref="AB12" authorId="23" shapeId="0" xr:uid="{C1702CAA-BC79-46A2-82B0-E673BCEF99FE}">
      <text>
        <t>[Threaded comment]
Your version of Excel allows you to read this threaded comment; however, any edits to it will get removed if the file is opened in a newer version of Excel. Learn more: https://go.microsoft.com/fwlink/?linkid=870924
Comment:
    DOI: 10.1016/j.chemosphere.2022.134733
Table 2, TB data</t>
      </text>
    </comment>
    <comment ref="AC12" authorId="24" shapeId="0" xr:uid="{82EBD3B5-9415-4651-8C46-9BD6BD28E94A}">
      <text>
        <t>[Threaded comment]
Your version of Excel allows you to read this threaded comment; however, any edits to it will get removed if the file is opened in a newer version of Excel. Learn more: https://go.microsoft.com/fwlink/?linkid=870924
Comment:
    DOI: 10.1016/j.chemosphere.2022.134733
Table 2, TB data</t>
      </text>
    </comment>
    <comment ref="AD12" authorId="25" shapeId="0" xr:uid="{BB6F0537-EC69-4064-B70F-6A216C78712D}">
      <text>
        <t>[Threaded comment]
Your version of Excel allows you to read this threaded comment; however, any edits to it will get removed if the file is opened in a newer version of Excel. Learn more: https://go.microsoft.com/fwlink/?linkid=870924
Comment:
    DOI: 10.1016/j.chemosphere.2022.134733
Table 2, TB data</t>
      </text>
    </comment>
    <comment ref="AA13" authorId="26" shapeId="0" xr:uid="{3E14F737-1472-41CC-B323-6897A9477C41}">
      <text>
        <t>[Threaded comment]
Your version of Excel allows you to read this threaded comment; however, any edits to it will get removed if the file is opened in a newer version of Excel. Learn more: https://go.microsoft.com/fwlink/?linkid=870924
Comment:
    DOI: doi.org/10.1016/j.chemosphere.2014.03.098
Table S2</t>
      </text>
    </comment>
    <comment ref="AB13" authorId="27" shapeId="0" xr:uid="{45B22699-0A7E-4AC5-9C63-BD9D96FB9937}">
      <text>
        <t>[Threaded comment]
Your version of Excel allows you to read this threaded comment; however, any edits to it will get removed if the file is opened in a newer version of Excel. Learn more: https://go.microsoft.com/fwlink/?linkid=870924
Comment:
    DOI: doi.org/10.1016/j.chemosphere.2014.03.098
Table S2</t>
      </text>
    </comment>
    <comment ref="AC13" authorId="28" shapeId="0" xr:uid="{99A43872-D556-4AEC-802F-8EA6FF19BB48}">
      <text>
        <t>[Threaded comment]
Your version of Excel allows you to read this threaded comment; however, any edits to it will get removed if the file is opened in a newer version of Excel. Learn more: https://go.microsoft.com/fwlink/?linkid=870924
Comment:
    DOI: doi.org/10.1016/j.chemosphere.2014.03.098
Figure 1 estimate</t>
      </text>
    </comment>
    <comment ref="AD13" authorId="29" shapeId="0" xr:uid="{3B009484-2A00-4828-93A0-E80F207F9185}">
      <text>
        <t>[Threaded comment]
Your version of Excel allows you to read this threaded comment; however, any edits to it will get removed if the file is opened in a newer version of Excel. Learn more: https://go.microsoft.com/fwlink/?linkid=870924
Comment:
    DOI: doi.org/10.1016/j.chemosphere.2014.03.098
Table S2, n close to 1</t>
      </text>
    </comment>
    <comment ref="AB15" authorId="30" shapeId="0" xr:uid="{CC3A8982-6697-4970-9C83-AB957831DEE6}">
      <text>
        <t>[Threaded comment]
Your version of Excel allows you to read this threaded comment; however, any edits to it will get removed if the file is opened in a newer version of Excel. Learn more: https://go.microsoft.com/fwlink/?linkid=870924
Comment:
    DOI: 10.1039/D2EM00047D
Table S2
C6 PFSA</t>
      </text>
    </comment>
    <comment ref="AC15" authorId="31" shapeId="0" xr:uid="{2A815DA2-4878-4E68-9DAC-6CE504677FB9}">
      <text>
        <t>[Threaded comment]
Your version of Excel allows you to read this threaded comment; however, any edits to it will get removed if the file is opened in a newer version of Excel. Learn more: https://go.microsoft.com/fwlink/?linkid=870924
Comment:
    DOI: 10.1039/D2EM00047D
Table S2
C8 PFCA</t>
      </text>
    </comment>
    <comment ref="AD15" authorId="32" shapeId="0" xr:uid="{6909C4D3-EA4A-4939-87DD-E05C90784EE1}">
      <text>
        <t>[Threaded comment]
Your version of Excel allows you to read this threaded comment; however, any edits to it will get removed if the file is opened in a newer version of Excel. Learn more: https://go.microsoft.com/fwlink/?linkid=870924
Comment:
    DOI: 10.1039/D2EM00047D
Table S2
C8 PFSA</t>
      </text>
    </comment>
    <comment ref="P34" authorId="12" shapeId="0" xr:uid="{FA52DE5B-DF69-4897-8846-C54C9AF49CE1}">
      <text>
        <r>
          <rPr>
            <b/>
            <sz val="9"/>
            <color indexed="81"/>
            <rFont val="Tahoma"/>
            <family val="2"/>
          </rPr>
          <t>Li Li:</t>
        </r>
        <r>
          <rPr>
            <sz val="9"/>
            <color indexed="81"/>
            <rFont val="Tahoma"/>
            <family val="2"/>
          </rPr>
          <t xml:space="preserve">
OPERA predictions for biodegradation</t>
        </r>
      </text>
    </comment>
    <comment ref="Q34" authorId="12" shapeId="0" xr:uid="{B92E107A-9782-4BA6-A9B9-E268583BC734}">
      <text>
        <r>
          <rPr>
            <b/>
            <sz val="9"/>
            <color indexed="81"/>
            <rFont val="Tahoma"/>
            <family val="2"/>
          </rPr>
          <t>Li Li:</t>
        </r>
        <r>
          <rPr>
            <sz val="9"/>
            <color indexed="81"/>
            <rFont val="Tahoma"/>
            <family val="2"/>
          </rPr>
          <t xml:space="preserve">
OPERA predictions for biodegradation</t>
        </r>
      </text>
    </comment>
    <comment ref="R34" authorId="12" shapeId="0" xr:uid="{DBA5C5DC-DA51-4449-80E0-108082089CE8}">
      <text>
        <r>
          <rPr>
            <b/>
            <sz val="9"/>
            <color indexed="81"/>
            <rFont val="Tahoma"/>
            <family val="2"/>
          </rPr>
          <t>Li Li:</t>
        </r>
        <r>
          <rPr>
            <sz val="9"/>
            <color indexed="81"/>
            <rFont val="Tahoma"/>
            <family val="2"/>
          </rPr>
          <t xml:space="preserve">
Taken from Li et al. Environ. Sci. Technol. 2015, 49: 212-222</t>
        </r>
      </text>
    </comment>
    <comment ref="S34" authorId="12" shapeId="0" xr:uid="{F6338655-32EA-447D-893C-F87C8CF0465D}">
      <text>
        <r>
          <rPr>
            <b/>
            <sz val="9"/>
            <color indexed="81"/>
            <rFont val="Tahoma"/>
            <family val="2"/>
          </rPr>
          <t>Li Li:</t>
        </r>
        <r>
          <rPr>
            <sz val="9"/>
            <color indexed="81"/>
            <rFont val="Tahoma"/>
            <family val="2"/>
          </rPr>
          <t xml:space="preserve">
OPERA predictions for biodegradation</t>
        </r>
      </text>
    </comment>
    <comment ref="D36" authorId="12" shapeId="0" xr:uid="{E68FB19E-35D5-4B62-9CA7-A32E3F2F62DE}">
      <text>
        <r>
          <rPr>
            <b/>
            <sz val="9"/>
            <color indexed="81"/>
            <rFont val="Tahoma"/>
            <family val="2"/>
          </rPr>
          <t>Data source:</t>
        </r>
        <r>
          <rPr>
            <sz val="9"/>
            <color indexed="81"/>
            <rFont val="Tahoma"/>
            <family val="2"/>
          </rPr>
          <t xml:space="preserve">
Average of "mass and temperature normalized" values (with 1=very high; 2=high; 3=good; 4=moderate confidence) in Arnot et al., Environ. Toxicol. Chem.,  2008, 27, 2263-2270</t>
        </r>
      </text>
    </comment>
    <comment ref="E36" authorId="12" shapeId="0" xr:uid="{17307AE1-2EDD-4808-BA8B-C4B581EA9A6C}">
      <text>
        <r>
          <rPr>
            <b/>
            <sz val="9"/>
            <color indexed="81"/>
            <rFont val="Tahoma"/>
            <family val="2"/>
          </rPr>
          <t>Data source:</t>
        </r>
        <r>
          <rPr>
            <sz val="9"/>
            <color indexed="81"/>
            <rFont val="Tahoma"/>
            <family val="2"/>
          </rPr>
          <t xml:space="preserve">
Average of "mass and temperature normalized" values (with 1=very high; 2=high; 3=good; 4=moderate confidence) in Arnot et al., Environ. Toxicol. Chem.,  2008, 27, 2263-2270</t>
        </r>
      </text>
    </comment>
    <comment ref="F36" authorId="12" shapeId="0" xr:uid="{1CD6F88C-B2B9-49D9-8C86-910C81A6949B}">
      <text>
        <r>
          <rPr>
            <b/>
            <sz val="9"/>
            <color indexed="81"/>
            <rFont val="Tahoma"/>
            <family val="2"/>
          </rPr>
          <t>Data source:</t>
        </r>
        <r>
          <rPr>
            <sz val="9"/>
            <color indexed="81"/>
            <rFont val="Tahoma"/>
            <family val="2"/>
          </rPr>
          <t xml:space="preserve">
Average of "mass and temperature normalized" values (with 1=very high; 2=high; 3=good; 4=moderate confidence) in Arnot et al., Environ. Toxicol. Chem.,  2008, 27, 2263-2270</t>
        </r>
      </text>
    </comment>
    <comment ref="G36" authorId="12" shapeId="0" xr:uid="{DF7CECAA-E80C-4729-99C4-DDEBFF7848EC}">
      <text>
        <r>
          <rPr>
            <b/>
            <sz val="9"/>
            <color indexed="81"/>
            <rFont val="Tahoma"/>
            <family val="2"/>
          </rPr>
          <t>Data source:</t>
        </r>
        <r>
          <rPr>
            <sz val="9"/>
            <color indexed="81"/>
            <rFont val="Tahoma"/>
            <family val="2"/>
          </rPr>
          <t xml:space="preserve">
Average of "mass and temperature normalized" values (with 1=very high; 2=high; 3=good; 4=moderate confidence) in Arnot et al., Environ. Toxicol. Chem.,  2008, 27, 2263-2270</t>
        </r>
      </text>
    </comment>
    <comment ref="H36" authorId="12" shapeId="0" xr:uid="{DC2C2A1F-BFB1-4CD6-9D5F-B29E402C7B89}">
      <text>
        <r>
          <rPr>
            <b/>
            <sz val="9"/>
            <color indexed="81"/>
            <rFont val="Tahoma"/>
            <family val="2"/>
          </rPr>
          <t>Li Li:</t>
        </r>
        <r>
          <rPr>
            <sz val="9"/>
            <color indexed="81"/>
            <rFont val="Tahoma"/>
            <family val="2"/>
          </rPr>
          <t xml:space="preserve">
Calculated using IFS method (others are from experimental dataset for developing IFS)</t>
        </r>
      </text>
    </comment>
    <comment ref="P36" authorId="12" shapeId="0" xr:uid="{9DA84424-01B8-4C87-B7BE-21A977B4C0AB}">
      <text>
        <r>
          <rPr>
            <b/>
            <sz val="9"/>
            <color indexed="81"/>
            <rFont val="Tahoma"/>
            <family val="2"/>
          </rPr>
          <t>Li Li:</t>
        </r>
        <r>
          <rPr>
            <sz val="9"/>
            <color indexed="81"/>
            <rFont val="Tahoma"/>
            <family val="2"/>
          </rPr>
          <t xml:space="preserve">
Experimental data taken from Papa et al. Sci Total Environ, 2014, 470-471: 1040-1046</t>
        </r>
      </text>
    </comment>
    <comment ref="Q36" authorId="12" shapeId="0" xr:uid="{D2FBF2C9-F03B-4AFE-B428-577A01296267}">
      <text>
        <r>
          <rPr>
            <b/>
            <sz val="9"/>
            <color indexed="81"/>
            <rFont val="Tahoma"/>
            <family val="2"/>
          </rPr>
          <t>Li Li:</t>
        </r>
        <r>
          <rPr>
            <sz val="9"/>
            <color indexed="81"/>
            <rFont val="Tahoma"/>
            <family val="2"/>
          </rPr>
          <t xml:space="preserve">
Experimental data taken from Papa et al. Sci Total Environ, 2014, 470-471: 1040-1046</t>
        </r>
      </text>
    </comment>
    <comment ref="R36" authorId="12" shapeId="0" xr:uid="{21A74BDA-4BA4-4FB1-A239-E10F271AF047}">
      <text>
        <r>
          <rPr>
            <b/>
            <sz val="9"/>
            <color indexed="81"/>
            <rFont val="Tahoma"/>
            <family val="2"/>
          </rPr>
          <t>Li Li:</t>
        </r>
        <r>
          <rPr>
            <sz val="9"/>
            <color indexed="81"/>
            <rFont val="Tahoma"/>
            <family val="2"/>
          </rPr>
          <t xml:space="preserve">
Experimental data taken from Papa et al. Sci Total Environ, 2014, 470-471: 1040-1046</t>
        </r>
      </text>
    </comment>
    <comment ref="S36" authorId="12" shapeId="0" xr:uid="{A6E1E5A6-EB95-497F-B207-7D64E4517FCA}">
      <text>
        <r>
          <rPr>
            <b/>
            <sz val="9"/>
            <color indexed="81"/>
            <rFont val="Tahoma"/>
            <family val="2"/>
          </rPr>
          <t>Li Li:</t>
        </r>
        <r>
          <rPr>
            <sz val="9"/>
            <color indexed="81"/>
            <rFont val="Tahoma"/>
            <family val="2"/>
          </rPr>
          <t xml:space="preserve">
Experimental data taken from Papa et al. Sci Total Environ, 2014, 470-471: 1040-1046</t>
        </r>
      </text>
    </comment>
    <comment ref="D40" authorId="12" shapeId="0" xr:uid="{014183FB-A8DD-47D5-A4C8-401204B9F524}">
      <text>
        <r>
          <rPr>
            <b/>
            <sz val="9"/>
            <color indexed="81"/>
            <rFont val="Tahoma"/>
            <family val="2"/>
          </rPr>
          <t>Data source:</t>
        </r>
        <r>
          <rPr>
            <sz val="9"/>
            <color indexed="81"/>
            <rFont val="Tahoma"/>
            <family val="2"/>
          </rPr>
          <t xml:space="preserve">
Geomean of (i) Ritter et al. Environ. Health Perspect. 2011, 119, 225-231
and (ii) Arnot et al. Environ. Sci. Technol. 2014, 48, 723−730</t>
        </r>
      </text>
    </comment>
    <comment ref="E40" authorId="12" shapeId="0" xr:uid="{2FA71EA1-335A-44BF-98BA-54EC10C61C3B}">
      <text>
        <r>
          <rPr>
            <b/>
            <sz val="9"/>
            <color indexed="81"/>
            <rFont val="Tahoma"/>
            <family val="2"/>
          </rPr>
          <t>Data source:</t>
        </r>
        <r>
          <rPr>
            <sz val="9"/>
            <color indexed="81"/>
            <rFont val="Tahoma"/>
            <family val="2"/>
          </rPr>
          <t xml:space="preserve">
From Ritter et al. Environ. Health Perspect. 2011, 119, 225-231
No available data in Arnot et al. Environ. Sci. Technol. 2014, 48, 723−730</t>
        </r>
      </text>
    </comment>
    <comment ref="F40" authorId="12" shapeId="0" xr:uid="{BE313E6C-AF00-4CE4-99CD-86EC21CD7DD1}">
      <text>
        <r>
          <rPr>
            <b/>
            <sz val="9"/>
            <color indexed="81"/>
            <rFont val="Tahoma"/>
            <family val="2"/>
          </rPr>
          <t>Data source:</t>
        </r>
        <r>
          <rPr>
            <sz val="9"/>
            <color indexed="81"/>
            <rFont val="Tahoma"/>
            <family val="2"/>
          </rPr>
          <t xml:space="preserve">
From Ritter et al. Environ. Health Perspect. 2011, 119, 225-231
No available data in Arnot et al. Environ. Sci. Technol. 2014, 48, 723−730</t>
        </r>
      </text>
    </comment>
    <comment ref="G40" authorId="12" shapeId="0" xr:uid="{ACFD55EE-9770-4E1D-BDD8-07E4DF31D3D5}">
      <text>
        <r>
          <rPr>
            <b/>
            <sz val="9"/>
            <color indexed="81"/>
            <rFont val="Tahoma"/>
            <family val="2"/>
          </rPr>
          <t>Data source:</t>
        </r>
        <r>
          <rPr>
            <sz val="9"/>
            <color indexed="81"/>
            <rFont val="Tahoma"/>
            <family val="2"/>
          </rPr>
          <t xml:space="preserve">
Geomean of (i) Ritter et al. Environ. Health Perspect. 2011, 119, 225-231
and (ii) Arnot et al. Environ. Sci. Technol. 2014, 48, 723−730</t>
        </r>
      </text>
    </comment>
    <comment ref="K40" authorId="12" shapeId="0" xr:uid="{C8C3D5DB-463B-4134-89ED-60B4AAE124F5}">
      <text>
        <r>
          <rPr>
            <b/>
            <sz val="9"/>
            <color indexed="81"/>
            <rFont val="Tahoma"/>
            <family val="2"/>
          </rPr>
          <t>Li Li:</t>
        </r>
        <r>
          <rPr>
            <sz val="9"/>
            <color indexed="81"/>
            <rFont val="Tahoma"/>
            <family val="2"/>
          </rPr>
          <t xml:space="preserve">
Calculated using IFS method (others are from experimental dataset for developing IFS)
Warning: "High leverage"</t>
        </r>
      </text>
    </comment>
    <comment ref="N40" authorId="12" shapeId="0" xr:uid="{DE6F6E80-B41B-4EE5-9EE4-A7E1D2D227F2}">
      <text>
        <r>
          <rPr>
            <b/>
            <sz val="9"/>
            <color indexed="81"/>
            <rFont val="Tahoma"/>
            <family val="2"/>
          </rPr>
          <t>Li Li:</t>
        </r>
        <r>
          <rPr>
            <sz val="9"/>
            <color indexed="81"/>
            <rFont val="Tahoma"/>
            <family val="2"/>
          </rPr>
          <t xml:space="preserve">
Calculated using IFS method (others are from experimental dataset for developing IFS)
Warning: "Low similarity, high leverage"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tc={A38C1BA3-9BE6-854B-AEDC-6CE9893297D2}</author>
    <author>tc={3D47ED2F-8D8A-E345-A7B5-0360095C7C9C}</author>
    <author>tc={AE11C359-6993-D443-AAAA-3F94C1F0F67F}</author>
    <author>Li Li</author>
  </authors>
  <commentList>
    <comment ref="C35" authorId="0" shapeId="0" xr:uid="{A38C1BA3-9BE6-854B-AEDC-6CE9893297D2}">
      <text>
        <t>[Threaded comment]
Your version of Excel allows you to read this threaded comment; however, any edits to it will get removed if the file is opened in a newer version of Excel. Learn more: https://go.microsoft.com/fwlink/?linkid=870924
Comment:
    Median residence time in Central Europe is 25 years, 25 percentile is 7 years
https://doi.org/10.1007/s00254-004-1013-4</t>
      </text>
    </comment>
    <comment ref="C39" authorId="1" shapeId="0" xr:uid="{3D47ED2F-8D8A-E345-A7B5-0360095C7C9C}">
      <text>
        <t>[Threaded comment]
Your version of Excel allows you to read this threaded comment; however, any edits to it will get removed if the file is opened in a newer version of Excel. Learn more: https://go.microsoft.com/fwlink/?linkid=870924
Comment:
    Median residence time in Central Europe is 25 years, 25 percentile is 7 years
https://doi.org/10.1007/s00254-004-1013-4</t>
      </text>
    </comment>
    <comment ref="D39" authorId="2" shapeId="0" xr:uid="{AE11C359-6993-D443-AAAA-3F94C1F0F67F}">
      <text>
        <t>[Threaded comment]
Your version of Excel allows you to read this threaded comment; however, any edits to it will get removed if the file is opened in a newer version of Excel. Learn more: https://go.microsoft.com/fwlink/?linkid=870924
Comment:
    USGS report: https://pubs.usgs.gov/wri/wri034058/pdf/wrir034058.pdf
Deep groundwater residence time starting from 180 years</t>
      </text>
    </comment>
    <comment ref="E43" authorId="3" shapeId="0" xr:uid="{8E3014FA-681B-4A21-90A1-E84AD1AB140F}">
      <text>
        <r>
          <rPr>
            <b/>
            <sz val="9"/>
            <color indexed="81"/>
            <rFont val="Tahoma"/>
            <family val="2"/>
          </rPr>
          <t>Li Li:</t>
        </r>
        <r>
          <rPr>
            <sz val="9"/>
            <color indexed="81"/>
            <rFont val="Tahoma"/>
            <family val="2"/>
          </rPr>
          <t xml:space="preserve">
安徽统计年鉴(2020年版)表11—18  各市城市空气质量指标（2019年）
阜阳市：可吸入颗粒物PM10</t>
        </r>
      </text>
    </comment>
    <comment ref="B53" authorId="3" shapeId="0" xr:uid="{00000000-0006-0000-0200-000017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53" authorId="3" shapeId="0" xr:uid="{705F235C-993E-4FAA-A0E3-493AEB7C77BC}">
      <text>
        <r>
          <rPr>
            <b/>
            <sz val="9"/>
            <color indexed="81"/>
            <rFont val="Tahoma"/>
            <family val="2"/>
          </rPr>
          <t>Li Li:</t>
        </r>
        <r>
          <rPr>
            <sz val="9"/>
            <color indexed="81"/>
            <rFont val="Tahoma"/>
            <family val="2"/>
          </rPr>
          <t xml:space="preserve">
Data for Los Angeles</t>
        </r>
      </text>
    </comment>
    <comment ref="B54" authorId="3" shapeId="0" xr:uid="{00000000-0006-0000-0200-000018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54" authorId="3" shapeId="0" xr:uid="{CDBCAC3B-BFCA-47A8-8A16-8A20D46AAC8E}">
      <text>
        <r>
          <rPr>
            <b/>
            <sz val="9"/>
            <color indexed="81"/>
            <rFont val="Tahoma"/>
            <family val="2"/>
          </rPr>
          <t>Li Li:</t>
        </r>
        <r>
          <rPr>
            <sz val="9"/>
            <color indexed="81"/>
            <rFont val="Tahoma"/>
            <family val="2"/>
          </rPr>
          <t xml:space="preserve">
Data for Los Angeles</t>
        </r>
      </text>
    </comment>
    <comment ref="B55" authorId="3" shapeId="0" xr:uid="{00000000-0006-0000-0200-000019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55" authorId="3" shapeId="0" xr:uid="{0CF3E471-4200-4B7C-8D07-14BF45FDEA98}">
      <text>
        <r>
          <rPr>
            <b/>
            <sz val="9"/>
            <color indexed="81"/>
            <rFont val="Tahoma"/>
            <family val="2"/>
          </rPr>
          <t>Li Li:</t>
        </r>
        <r>
          <rPr>
            <sz val="9"/>
            <color indexed="81"/>
            <rFont val="Tahoma"/>
            <family val="2"/>
          </rPr>
          <t xml:space="preserve">
Data for Los Angeles</t>
        </r>
      </text>
    </comment>
    <comment ref="B56" authorId="3" shapeId="0" xr:uid="{00000000-0006-0000-0200-00001A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56" authorId="3" shapeId="0" xr:uid="{AD276F9A-A5FE-42EE-8515-42618EC7D473}">
      <text>
        <r>
          <rPr>
            <b/>
            <sz val="9"/>
            <color indexed="81"/>
            <rFont val="Tahoma"/>
            <family val="2"/>
          </rPr>
          <t>Li Li:</t>
        </r>
        <r>
          <rPr>
            <sz val="9"/>
            <color indexed="81"/>
            <rFont val="Tahoma"/>
            <family val="2"/>
          </rPr>
          <t xml:space="preserve">
Data for Los Angeles</t>
        </r>
      </text>
    </comment>
    <comment ref="B57" authorId="3" shapeId="0" xr:uid="{00000000-0006-0000-0200-00001B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57" authorId="3" shapeId="0" xr:uid="{30694956-6CFB-479E-8C66-32EAC872B0A0}">
      <text>
        <r>
          <rPr>
            <b/>
            <sz val="9"/>
            <color indexed="81"/>
            <rFont val="Tahoma"/>
            <family val="2"/>
          </rPr>
          <t>Li Li:</t>
        </r>
        <r>
          <rPr>
            <sz val="9"/>
            <color indexed="81"/>
            <rFont val="Tahoma"/>
            <family val="2"/>
          </rPr>
          <t xml:space="preserve">
Data for Los Angeles</t>
        </r>
      </text>
    </comment>
    <comment ref="B58" authorId="3" shapeId="0" xr:uid="{00000000-0006-0000-0200-00001C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58" authorId="3" shapeId="0" xr:uid="{16101B3E-79D0-4212-BD97-3C3683BB7452}">
      <text>
        <r>
          <rPr>
            <b/>
            <sz val="9"/>
            <color indexed="81"/>
            <rFont val="Tahoma"/>
            <family val="2"/>
          </rPr>
          <t>Li Li:</t>
        </r>
        <r>
          <rPr>
            <sz val="9"/>
            <color indexed="81"/>
            <rFont val="Tahoma"/>
            <family val="2"/>
          </rPr>
          <t xml:space="preserve">
Data for Los Angeles</t>
        </r>
      </text>
    </comment>
    <comment ref="B59" authorId="3" shapeId="0" xr:uid="{00000000-0006-0000-0200-00001D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59" authorId="3" shapeId="0" xr:uid="{947031D7-8C14-473E-9A27-A18B5699238B}">
      <text>
        <r>
          <rPr>
            <b/>
            <sz val="9"/>
            <color indexed="81"/>
            <rFont val="Tahoma"/>
            <family val="2"/>
          </rPr>
          <t>Li Li:</t>
        </r>
        <r>
          <rPr>
            <sz val="9"/>
            <color indexed="81"/>
            <rFont val="Tahoma"/>
            <family val="2"/>
          </rPr>
          <t xml:space="preserve">
Data for Los Angeles</t>
        </r>
      </text>
    </comment>
    <comment ref="B60" authorId="3" shapeId="0" xr:uid="{00000000-0006-0000-0200-00001E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60" authorId="3" shapeId="0" xr:uid="{42CEAE23-ED9A-4181-A84F-3A9083B7176B}">
      <text>
        <r>
          <rPr>
            <b/>
            <sz val="9"/>
            <color indexed="81"/>
            <rFont val="Tahoma"/>
            <family val="2"/>
          </rPr>
          <t>Li Li:</t>
        </r>
        <r>
          <rPr>
            <sz val="9"/>
            <color indexed="81"/>
            <rFont val="Tahoma"/>
            <family val="2"/>
          </rPr>
          <t xml:space="preserve">
Data for Los Angeles</t>
        </r>
      </text>
    </comment>
    <comment ref="B61" authorId="3" shapeId="0" xr:uid="{00000000-0006-0000-0200-00001F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61" authorId="3" shapeId="0" xr:uid="{7213A733-70DE-4635-BF6F-39DB52D9F71E}">
      <text>
        <r>
          <rPr>
            <b/>
            <sz val="9"/>
            <color indexed="81"/>
            <rFont val="Tahoma"/>
            <family val="2"/>
          </rPr>
          <t>Li Li:</t>
        </r>
        <r>
          <rPr>
            <sz val="9"/>
            <color indexed="81"/>
            <rFont val="Tahoma"/>
            <family val="2"/>
          </rPr>
          <t xml:space="preserve">
Data for Los Angeles</t>
        </r>
      </text>
    </comment>
    <comment ref="B62" authorId="3" shapeId="0" xr:uid="{00000000-0006-0000-0200-000020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62" authorId="3" shapeId="0" xr:uid="{9475F81F-DB09-451E-9CFA-6CA887B2A7AC}">
      <text>
        <r>
          <rPr>
            <b/>
            <sz val="9"/>
            <color indexed="81"/>
            <rFont val="Tahoma"/>
            <family val="2"/>
          </rPr>
          <t>Li Li:</t>
        </r>
        <r>
          <rPr>
            <sz val="9"/>
            <color indexed="81"/>
            <rFont val="Tahoma"/>
            <family val="2"/>
          </rPr>
          <t xml:space="preserve">
Data for Los Angeles</t>
        </r>
      </text>
    </comment>
    <comment ref="B63" authorId="3" shapeId="0" xr:uid="{00000000-0006-0000-0200-000021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63" authorId="3" shapeId="0" xr:uid="{C48D3874-E341-4A8E-914A-72E56C79D49B}">
      <text>
        <r>
          <rPr>
            <b/>
            <sz val="9"/>
            <color rgb="FF000000"/>
            <rFont val="Tahoma"/>
            <family val="2"/>
          </rPr>
          <t>Li Li:</t>
        </r>
        <r>
          <rPr>
            <sz val="9"/>
            <color rgb="FF000000"/>
            <rFont val="Tahoma"/>
            <family val="2"/>
          </rPr>
          <t xml:space="preserve">
</t>
        </r>
        <r>
          <rPr>
            <sz val="9"/>
            <color rgb="FF000000"/>
            <rFont val="Tahoma"/>
            <family val="2"/>
          </rPr>
          <t>Data for Los Angeles</t>
        </r>
      </text>
    </comment>
    <comment ref="B64" authorId="3" shapeId="0" xr:uid="{00000000-0006-0000-0200-000022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64" authorId="3" shapeId="0" xr:uid="{EA9B9A68-FCD9-4164-9868-5B34A6256825}">
      <text>
        <r>
          <rPr>
            <b/>
            <sz val="9"/>
            <color rgb="FF000000"/>
            <rFont val="Tahoma"/>
            <family val="2"/>
          </rPr>
          <t>Li Li:</t>
        </r>
        <r>
          <rPr>
            <sz val="9"/>
            <color rgb="FF000000"/>
            <rFont val="Tahoma"/>
            <family val="2"/>
          </rPr>
          <t xml:space="preserve">
</t>
        </r>
        <r>
          <rPr>
            <sz val="9"/>
            <color rgb="FF000000"/>
            <rFont val="Tahoma"/>
            <family val="2"/>
          </rPr>
          <t>Data for Los Angeles</t>
        </r>
      </text>
    </comment>
    <comment ref="B73" authorId="3" shapeId="0" xr:uid="{00000000-0006-0000-0200-000023000000}">
      <text>
        <r>
          <rPr>
            <b/>
            <sz val="9"/>
            <color indexed="81"/>
            <rFont val="Tahoma"/>
            <family val="2"/>
          </rPr>
          <t>Li Li:</t>
        </r>
        <r>
          <rPr>
            <sz val="9"/>
            <color indexed="81"/>
            <rFont val="Tahoma"/>
            <family val="2"/>
          </rPr>
          <t xml:space="preserve">
https://weatherspark.com/y/19863/Average-Weather-in-Toronto-Canada-Year-Round</t>
        </r>
      </text>
    </comment>
    <comment ref="B74" authorId="3" shapeId="0" xr:uid="{00000000-0006-0000-0200-000024000000}">
      <text>
        <r>
          <rPr>
            <b/>
            <sz val="9"/>
            <color indexed="81"/>
            <rFont val="Tahoma"/>
            <family val="2"/>
          </rPr>
          <t>Li Li:</t>
        </r>
        <r>
          <rPr>
            <sz val="9"/>
            <color indexed="81"/>
            <rFont val="Tahoma"/>
            <family val="2"/>
          </rPr>
          <t xml:space="preserve">
https://weatherspark.com/y/19863/Average-Weather-in-Toronto-Canada-Year-Round</t>
        </r>
      </text>
    </comment>
    <comment ref="B75" authorId="3" shapeId="0" xr:uid="{00000000-0006-0000-0200-000025000000}">
      <text>
        <r>
          <rPr>
            <b/>
            <sz val="9"/>
            <color indexed="81"/>
            <rFont val="Tahoma"/>
            <family val="2"/>
          </rPr>
          <t>Li Li:</t>
        </r>
        <r>
          <rPr>
            <sz val="9"/>
            <color indexed="81"/>
            <rFont val="Tahoma"/>
            <family val="2"/>
          </rPr>
          <t xml:space="preserve">
https://weatherspark.com/y/19863/Average-Weather-in-Toronto-Canada-Year-Round</t>
        </r>
      </text>
    </comment>
    <comment ref="B76" authorId="3" shapeId="0" xr:uid="{00000000-0006-0000-0200-000026000000}">
      <text>
        <r>
          <rPr>
            <b/>
            <sz val="9"/>
            <color indexed="81"/>
            <rFont val="Tahoma"/>
            <family val="2"/>
          </rPr>
          <t>Li Li:</t>
        </r>
        <r>
          <rPr>
            <sz val="9"/>
            <color indexed="81"/>
            <rFont val="Tahoma"/>
            <family val="2"/>
          </rPr>
          <t xml:space="preserve">
https://weatherspark.com/y/19863/Average-Weather-in-Toronto-Canada-Year-Round</t>
        </r>
      </text>
    </comment>
    <comment ref="B77" authorId="3" shapeId="0" xr:uid="{00000000-0006-0000-0200-000027000000}">
      <text>
        <r>
          <rPr>
            <b/>
            <sz val="9"/>
            <color indexed="81"/>
            <rFont val="Tahoma"/>
            <family val="2"/>
          </rPr>
          <t>Li Li:</t>
        </r>
        <r>
          <rPr>
            <sz val="9"/>
            <color indexed="81"/>
            <rFont val="Tahoma"/>
            <family val="2"/>
          </rPr>
          <t xml:space="preserve">
https://weatherspark.com/y/19863/Average-Weather-in-Toronto-Canada-Year-Round</t>
        </r>
      </text>
    </comment>
    <comment ref="B78" authorId="3" shapeId="0" xr:uid="{00000000-0006-0000-0200-000028000000}">
      <text>
        <r>
          <rPr>
            <b/>
            <sz val="9"/>
            <color indexed="81"/>
            <rFont val="Tahoma"/>
            <family val="2"/>
          </rPr>
          <t>Li Li:</t>
        </r>
        <r>
          <rPr>
            <sz val="9"/>
            <color indexed="81"/>
            <rFont val="Tahoma"/>
            <family val="2"/>
          </rPr>
          <t xml:space="preserve">
https://weatherspark.com/y/19863/Average-Weather-in-Toronto-Canada-Year-Round</t>
        </r>
      </text>
    </comment>
    <comment ref="B79" authorId="3" shapeId="0" xr:uid="{00000000-0006-0000-0200-000029000000}">
      <text>
        <r>
          <rPr>
            <b/>
            <sz val="9"/>
            <color indexed="81"/>
            <rFont val="Tahoma"/>
            <family val="2"/>
          </rPr>
          <t>Li Li:</t>
        </r>
        <r>
          <rPr>
            <sz val="9"/>
            <color indexed="81"/>
            <rFont val="Tahoma"/>
            <family val="2"/>
          </rPr>
          <t xml:space="preserve">
https://weatherspark.com/y/19863/Average-Weather-in-Toronto-Canada-Year-Round</t>
        </r>
      </text>
    </comment>
    <comment ref="B80" authorId="3" shapeId="0" xr:uid="{00000000-0006-0000-0200-00002A000000}">
      <text>
        <r>
          <rPr>
            <b/>
            <sz val="9"/>
            <color indexed="81"/>
            <rFont val="Tahoma"/>
            <family val="2"/>
          </rPr>
          <t>Li Li:</t>
        </r>
        <r>
          <rPr>
            <sz val="9"/>
            <color indexed="81"/>
            <rFont val="Tahoma"/>
            <family val="2"/>
          </rPr>
          <t xml:space="preserve">
https://weatherspark.com/y/19863/Average-Weather-in-Toronto-Canada-Year-Round</t>
        </r>
      </text>
    </comment>
    <comment ref="B81" authorId="3" shapeId="0" xr:uid="{00000000-0006-0000-0200-00002B000000}">
      <text>
        <r>
          <rPr>
            <b/>
            <sz val="9"/>
            <color indexed="81"/>
            <rFont val="Tahoma"/>
            <family val="2"/>
          </rPr>
          <t>Li Li:</t>
        </r>
        <r>
          <rPr>
            <sz val="9"/>
            <color indexed="81"/>
            <rFont val="Tahoma"/>
            <family val="2"/>
          </rPr>
          <t xml:space="preserve">
https://weatherspark.com/y/19863/Average-Weather-in-Toronto-Canada-Year-Round</t>
        </r>
      </text>
    </comment>
    <comment ref="B82" authorId="3" shapeId="0" xr:uid="{00000000-0006-0000-0200-00002C000000}">
      <text>
        <r>
          <rPr>
            <b/>
            <sz val="9"/>
            <color indexed="81"/>
            <rFont val="Tahoma"/>
            <family val="2"/>
          </rPr>
          <t>Li Li:</t>
        </r>
        <r>
          <rPr>
            <sz val="9"/>
            <color indexed="81"/>
            <rFont val="Tahoma"/>
            <family val="2"/>
          </rPr>
          <t xml:space="preserve">
https://weatherspark.com/y/19863/Average-Weather-in-Toronto-Canada-Year-Round</t>
        </r>
      </text>
    </comment>
    <comment ref="B83" authorId="3" shapeId="0" xr:uid="{00000000-0006-0000-0200-00002D000000}">
      <text>
        <r>
          <rPr>
            <b/>
            <sz val="9"/>
            <color indexed="81"/>
            <rFont val="Tahoma"/>
            <family val="2"/>
          </rPr>
          <t>Li Li:</t>
        </r>
        <r>
          <rPr>
            <sz val="9"/>
            <color indexed="81"/>
            <rFont val="Tahoma"/>
            <family val="2"/>
          </rPr>
          <t xml:space="preserve">
https://weatherspark.com/y/19863/Average-Weather-in-Toronto-Canada-Year-Round</t>
        </r>
      </text>
    </comment>
    <comment ref="B84" authorId="3" shapeId="0" xr:uid="{00000000-0006-0000-0200-00002E000000}">
      <text>
        <r>
          <rPr>
            <b/>
            <sz val="9"/>
            <color indexed="81"/>
            <rFont val="Tahoma"/>
            <family val="2"/>
          </rPr>
          <t>Li Li:</t>
        </r>
        <r>
          <rPr>
            <sz val="9"/>
            <color indexed="81"/>
            <rFont val="Tahoma"/>
            <family val="2"/>
          </rPr>
          <t xml:space="preserve">
https://weatherspark.com/y/19863/Average-Weather-in-Toronto-Canada-Year-Round</t>
        </r>
      </text>
    </comment>
    <comment ref="B85" authorId="3" shapeId="0" xr:uid="{00000000-0006-0000-0200-00002F000000}">
      <text>
        <r>
          <rPr>
            <b/>
            <sz val="9"/>
            <color indexed="81"/>
            <rFont val="Tahoma"/>
            <family val="2"/>
          </rPr>
          <t>Li Li:</t>
        </r>
        <r>
          <rPr>
            <sz val="9"/>
            <color indexed="81"/>
            <rFont val="Tahoma"/>
            <family val="2"/>
          </rPr>
          <t xml:space="preserve">
https://weatherspark.com/y/19863/Average-Weather-in-Toronto-Canada-Year-Round</t>
        </r>
      </text>
    </comment>
    <comment ref="B93" authorId="3" shapeId="0" xr:uid="{00000000-0006-0000-0200-000030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93" authorId="3" shapeId="0" xr:uid="{8BC0E522-7931-41FA-9FCD-BE6C10CC2DA6}">
      <text>
        <r>
          <rPr>
            <b/>
            <sz val="9"/>
            <color indexed="81"/>
            <rFont val="Tahoma"/>
            <family val="2"/>
          </rPr>
          <t>Li Li:</t>
        </r>
        <r>
          <rPr>
            <sz val="9"/>
            <color indexed="81"/>
            <rFont val="Tahoma"/>
            <family val="2"/>
          </rPr>
          <t xml:space="preserve">
Scaled based on data for BETR-Global #77 cell</t>
        </r>
      </text>
    </comment>
    <comment ref="E93" authorId="3" shapeId="0" xr:uid="{7A5618A2-6B4B-4DCB-96D7-9CA183498113}">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94" authorId="3" shapeId="0" xr:uid="{00000000-0006-0000-0200-000031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94" authorId="3" shapeId="0" xr:uid="{749DC78B-9825-4244-8C5F-1D3E636CE992}">
      <text>
        <r>
          <rPr>
            <b/>
            <sz val="9"/>
            <color indexed="81"/>
            <rFont val="Tahoma"/>
            <family val="2"/>
          </rPr>
          <t>Li Li:</t>
        </r>
        <r>
          <rPr>
            <sz val="9"/>
            <color indexed="81"/>
            <rFont val="Tahoma"/>
            <family val="2"/>
          </rPr>
          <t xml:space="preserve">
Scaled based on data for BETR-Global #77 cell</t>
        </r>
      </text>
    </comment>
    <comment ref="E94" authorId="3" shapeId="0" xr:uid="{38C495BF-1E2D-4178-B130-AFAB2DAA8025}">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95" authorId="3" shapeId="0" xr:uid="{00000000-0006-0000-0200-000032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95" authorId="3" shapeId="0" xr:uid="{0EA03F3C-E505-4C7B-AC38-8389AD3B5DED}">
      <text>
        <r>
          <rPr>
            <b/>
            <sz val="9"/>
            <color indexed="81"/>
            <rFont val="Tahoma"/>
            <family val="2"/>
          </rPr>
          <t>Li Li:</t>
        </r>
        <r>
          <rPr>
            <sz val="9"/>
            <color indexed="81"/>
            <rFont val="Tahoma"/>
            <family val="2"/>
          </rPr>
          <t xml:space="preserve">
Scaled based on data for BETR-Global #77 cell</t>
        </r>
      </text>
    </comment>
    <comment ref="E95" authorId="3" shapeId="0" xr:uid="{758DE64A-34A1-432C-BF8D-FECBA469AE5D}">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96" authorId="3" shapeId="0" xr:uid="{00000000-0006-0000-0200-000033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96" authorId="3" shapeId="0" xr:uid="{D840D154-AF91-4DEA-BBBB-AF65D8DA27CC}">
      <text>
        <r>
          <rPr>
            <b/>
            <sz val="9"/>
            <color indexed="81"/>
            <rFont val="Tahoma"/>
            <family val="2"/>
          </rPr>
          <t>Li Li:</t>
        </r>
        <r>
          <rPr>
            <sz val="9"/>
            <color indexed="81"/>
            <rFont val="Tahoma"/>
            <family val="2"/>
          </rPr>
          <t xml:space="preserve">
Scaled based on data for BETR-Global #77 cell</t>
        </r>
      </text>
    </comment>
    <comment ref="E96" authorId="3" shapeId="0" xr:uid="{CE0578D3-FCDC-4ED4-88D1-929B99C1269E}">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97" authorId="3" shapeId="0" xr:uid="{00000000-0006-0000-0200-000034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97" authorId="3" shapeId="0" xr:uid="{F5932B5B-D579-4FE1-838E-278AE1D48B86}">
      <text>
        <r>
          <rPr>
            <b/>
            <sz val="9"/>
            <color indexed="81"/>
            <rFont val="Tahoma"/>
            <family val="2"/>
          </rPr>
          <t>Li Li:</t>
        </r>
        <r>
          <rPr>
            <sz val="9"/>
            <color indexed="81"/>
            <rFont val="Tahoma"/>
            <family val="2"/>
          </rPr>
          <t xml:space="preserve">
Scaled based on data for BETR-Global #77 cell</t>
        </r>
      </text>
    </comment>
    <comment ref="E97" authorId="3" shapeId="0" xr:uid="{2BED219F-698F-4E35-8B50-C91FD5B6E5AF}">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98" authorId="3" shapeId="0" xr:uid="{00000000-0006-0000-0200-000035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98" authorId="3" shapeId="0" xr:uid="{A556C246-0D01-4B0B-B643-9AF2E0F7BA68}">
      <text>
        <r>
          <rPr>
            <b/>
            <sz val="9"/>
            <color indexed="81"/>
            <rFont val="Tahoma"/>
            <family val="2"/>
          </rPr>
          <t>Li Li:</t>
        </r>
        <r>
          <rPr>
            <sz val="9"/>
            <color indexed="81"/>
            <rFont val="Tahoma"/>
            <family val="2"/>
          </rPr>
          <t xml:space="preserve">
Scaled based on data for BETR-Global #77 cell</t>
        </r>
      </text>
    </comment>
    <comment ref="E98" authorId="3" shapeId="0" xr:uid="{C875542B-EDDD-402A-B8D0-6F51EFD4A724}">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99" authorId="3" shapeId="0" xr:uid="{00000000-0006-0000-0200-000036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99" authorId="3" shapeId="0" xr:uid="{4849208E-8D1A-4646-B1F3-5A41AF36A06B}">
      <text>
        <r>
          <rPr>
            <b/>
            <sz val="9"/>
            <color indexed="81"/>
            <rFont val="Tahoma"/>
            <family val="2"/>
          </rPr>
          <t>Li Li:</t>
        </r>
        <r>
          <rPr>
            <sz val="9"/>
            <color indexed="81"/>
            <rFont val="Tahoma"/>
            <family val="2"/>
          </rPr>
          <t xml:space="preserve">
Scaled based on data for BETR-Global #77 cell</t>
        </r>
      </text>
    </comment>
    <comment ref="E99" authorId="3" shapeId="0" xr:uid="{DD146EDF-2334-4E54-851A-F587853E7BB5}">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100" authorId="3" shapeId="0" xr:uid="{00000000-0006-0000-0200-000037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100" authorId="3" shapeId="0" xr:uid="{A4CC5F9F-4E9E-4487-9AE8-5E7450BE0337}">
      <text>
        <r>
          <rPr>
            <b/>
            <sz val="9"/>
            <color indexed="81"/>
            <rFont val="Tahoma"/>
            <family val="2"/>
          </rPr>
          <t>Li Li:</t>
        </r>
        <r>
          <rPr>
            <sz val="9"/>
            <color indexed="81"/>
            <rFont val="Tahoma"/>
            <family val="2"/>
          </rPr>
          <t xml:space="preserve">
Scaled based on data for BETR-Global #77 cell</t>
        </r>
      </text>
    </comment>
    <comment ref="E100" authorId="3" shapeId="0" xr:uid="{46DDA9F9-BE04-4F8C-A7AB-D3A50D5ED6AC}">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101" authorId="3" shapeId="0" xr:uid="{00000000-0006-0000-0200-000038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101" authorId="3" shapeId="0" xr:uid="{8CB846C0-D57E-45A1-BF75-15F2217D46F9}">
      <text>
        <r>
          <rPr>
            <b/>
            <sz val="9"/>
            <color indexed="81"/>
            <rFont val="Tahoma"/>
            <family val="2"/>
          </rPr>
          <t>Li Li:</t>
        </r>
        <r>
          <rPr>
            <sz val="9"/>
            <color indexed="81"/>
            <rFont val="Tahoma"/>
            <family val="2"/>
          </rPr>
          <t xml:space="preserve">
Scaled based on data for BETR-Global #77 cell</t>
        </r>
      </text>
    </comment>
    <comment ref="E101" authorId="3" shapeId="0" xr:uid="{7C0E1901-0727-4096-BB90-014576FE36EF}">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102" authorId="3" shapeId="0" xr:uid="{00000000-0006-0000-0200-000039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102" authorId="3" shapeId="0" xr:uid="{A69A7899-4148-4CFD-9454-A5E5505F50FF}">
      <text>
        <r>
          <rPr>
            <b/>
            <sz val="9"/>
            <color indexed="81"/>
            <rFont val="Tahoma"/>
            <family val="2"/>
          </rPr>
          <t>Li Li:</t>
        </r>
        <r>
          <rPr>
            <sz val="9"/>
            <color indexed="81"/>
            <rFont val="Tahoma"/>
            <family val="2"/>
          </rPr>
          <t xml:space="preserve">
Scaled based on data for BETR-Global #77 cell</t>
        </r>
      </text>
    </comment>
    <comment ref="E102" authorId="3" shapeId="0" xr:uid="{3D176A1B-8559-4EEE-96F7-BDDDC1851AAB}">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103" authorId="3" shapeId="0" xr:uid="{00000000-0006-0000-0200-00003A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103" authorId="3" shapeId="0" xr:uid="{65E664DA-9A09-49E8-9B0C-9089B212DFC5}">
      <text>
        <r>
          <rPr>
            <b/>
            <sz val="9"/>
            <color indexed="81"/>
            <rFont val="Tahoma"/>
            <family val="2"/>
          </rPr>
          <t>Li Li:</t>
        </r>
        <r>
          <rPr>
            <sz val="9"/>
            <color indexed="81"/>
            <rFont val="Tahoma"/>
            <family val="2"/>
          </rPr>
          <t xml:space="preserve">
Scaled based on data for BETR-Global #77 cell</t>
        </r>
      </text>
    </comment>
    <comment ref="E103" authorId="3" shapeId="0" xr:uid="{22DA14DB-1CAA-4100-8012-0262891C8D0B}">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104" authorId="3" shapeId="0" xr:uid="{00000000-0006-0000-0200-00003B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104" authorId="3" shapeId="0" xr:uid="{2CEF9F9B-83C5-440B-98E1-346969FD29A4}">
      <text>
        <r>
          <rPr>
            <b/>
            <sz val="9"/>
            <color indexed="81"/>
            <rFont val="Tahoma"/>
            <family val="2"/>
          </rPr>
          <t>Li Li:</t>
        </r>
        <r>
          <rPr>
            <sz val="9"/>
            <color indexed="81"/>
            <rFont val="Tahoma"/>
            <family val="2"/>
          </rPr>
          <t xml:space="preserve">
Scaled based on data for BETR-Global #77 cell</t>
        </r>
      </text>
    </comment>
    <comment ref="E104" authorId="3" shapeId="0" xr:uid="{B032D3B5-B710-4FDB-A705-B17E7538E48E}">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A111" authorId="3" shapeId="0" xr:uid="{5165ECAB-8008-4289-9C55-72E42BEE8F7A}">
      <text>
        <r>
          <rPr>
            <b/>
            <sz val="9"/>
            <color indexed="81"/>
            <rFont val="Tahoma"/>
            <family val="2"/>
          </rPr>
          <t>Li Li:</t>
        </r>
        <r>
          <rPr>
            <sz val="9"/>
            <color indexed="81"/>
            <rFont val="Tahoma"/>
            <family val="2"/>
          </rPr>
          <t xml:space="preserve">
"A series studies showed that the urban rainfall is 20%-30% higher than areas around." See: Changnon et al., J. Appl. Meteorol. 1975, 15: 544-560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Li Li</author>
  </authors>
  <commentList>
    <comment ref="B7" authorId="0" shapeId="0" xr:uid="{CCB1B7AA-2642-4D45-A974-266A9E465194}">
      <text>
        <r>
          <rPr>
            <b/>
            <sz val="9"/>
            <color indexed="81"/>
            <rFont val="Tahoma"/>
            <family val="2"/>
          </rPr>
          <t>Li Li:</t>
        </r>
        <r>
          <rPr>
            <sz val="9"/>
            <color indexed="81"/>
            <rFont val="Tahoma"/>
            <family val="2"/>
          </rPr>
          <t xml:space="preserve">
Taken from Canadian exposure factors used in human health risk assessments</t>
        </r>
      </text>
    </comment>
    <comment ref="D7" authorId="0" shapeId="0" xr:uid="{23AA6F12-CA8A-42BD-8197-12414BF08424}">
      <text>
        <r>
          <rPr>
            <b/>
            <sz val="9"/>
            <color indexed="81"/>
            <rFont val="Tahoma"/>
            <family val="2"/>
          </rPr>
          <t>Li Li:</t>
        </r>
        <r>
          <rPr>
            <sz val="9"/>
            <color indexed="81"/>
            <rFont val="Tahoma"/>
            <family val="2"/>
          </rPr>
          <t xml:space="preserve">
USEPA Exposure Factor Handbook 2011, Table 6-1 for 21-31 age group</t>
        </r>
      </text>
    </comment>
    <comment ref="B8" authorId="0" shapeId="0" xr:uid="{478E8A78-8BAF-42F1-A7C1-94266C585308}">
      <text>
        <r>
          <rPr>
            <b/>
            <sz val="9"/>
            <color indexed="81"/>
            <rFont val="Tahoma"/>
            <family val="2"/>
          </rPr>
          <t>Li Li:</t>
        </r>
        <r>
          <rPr>
            <sz val="9"/>
            <color indexed="81"/>
            <rFont val="Tahoma"/>
            <family val="2"/>
          </rPr>
          <t xml:space="preserve">
Taken from Canadian exposure factors used in human health risk assessments</t>
        </r>
      </text>
    </comment>
    <comment ref="D9" authorId="0" shapeId="0" xr:uid="{671B88A4-4F9E-406B-BB15-DC47527F0D11}">
      <text>
        <r>
          <rPr>
            <b/>
            <sz val="9"/>
            <color indexed="81"/>
            <rFont val="Tahoma"/>
            <family val="2"/>
          </rPr>
          <t>Li Li:</t>
        </r>
        <r>
          <rPr>
            <sz val="9"/>
            <color indexed="81"/>
            <rFont val="Tahoma"/>
            <family val="2"/>
          </rPr>
          <t xml:space="preserve">
USEPA Exposure Factor Handbook 2011, Table 5-1 for adult</t>
        </r>
      </text>
    </comment>
    <comment ref="E9" authorId="0" shapeId="0" xr:uid="{C17B273A-2C30-450E-8A3C-6F4FF7E0FF15}">
      <text>
        <r>
          <rPr>
            <b/>
            <sz val="9"/>
            <color indexed="81"/>
            <rFont val="Tahoma"/>
            <family val="2"/>
          </rPr>
          <t>Li Li:</t>
        </r>
        <r>
          <rPr>
            <sz val="9"/>
            <color indexed="81"/>
            <rFont val="Tahoma"/>
            <family val="2"/>
          </rPr>
          <t xml:space="preserve">
USEPA Exposure Factor Handbook 2011, Table 5-1 for adult</t>
        </r>
      </text>
    </comment>
    <comment ref="F9" authorId="0" shapeId="0" xr:uid="{C41E1C0B-71C1-4929-AB02-78A31ED2CE77}">
      <text>
        <r>
          <rPr>
            <b/>
            <sz val="9"/>
            <color indexed="81"/>
            <rFont val="Tahoma"/>
            <family val="2"/>
          </rPr>
          <t>Li Li:</t>
        </r>
        <r>
          <rPr>
            <sz val="9"/>
            <color indexed="81"/>
            <rFont val="Tahoma"/>
            <family val="2"/>
          </rPr>
          <t xml:space="preserve">
USEPA Exposure Factor Handbook 2011, Table 5-1 for adult</t>
        </r>
      </text>
    </comment>
    <comment ref="G9" authorId="0" shapeId="0" xr:uid="{1E10AD00-E933-4B01-B8D8-D414D43BB738}">
      <text>
        <r>
          <rPr>
            <b/>
            <sz val="9"/>
            <color indexed="81"/>
            <rFont val="Tahoma"/>
            <family val="2"/>
          </rPr>
          <t>Li Li:</t>
        </r>
        <r>
          <rPr>
            <sz val="9"/>
            <color indexed="81"/>
            <rFont val="Tahoma"/>
            <family val="2"/>
          </rPr>
          <t xml:space="preserve">
USEPA Exposure Factor Handbook 2011, Table 5-1 for adult</t>
        </r>
      </text>
    </comment>
    <comment ref="H9" authorId="0" shapeId="0" xr:uid="{1424D643-8084-4EC4-AEF7-EA37837233EB}">
      <text>
        <r>
          <rPr>
            <b/>
            <sz val="9"/>
            <color indexed="81"/>
            <rFont val="Tahoma"/>
            <family val="2"/>
          </rPr>
          <t>Li Li:</t>
        </r>
        <r>
          <rPr>
            <sz val="9"/>
            <color indexed="81"/>
            <rFont val="Tahoma"/>
            <family val="2"/>
          </rPr>
          <t xml:space="preserve">
USEPA Exposure Factor Handbook 2011, Table 5-1 for adult</t>
        </r>
      </text>
    </comment>
    <comment ref="D10" authorId="0" shapeId="0" xr:uid="{C2262756-86D2-4AC4-A256-986B6F3BFC09}">
      <text>
        <r>
          <rPr>
            <b/>
            <sz val="9"/>
            <color indexed="81"/>
            <rFont val="Tahoma"/>
            <family val="2"/>
          </rPr>
          <t>Li Li:</t>
        </r>
        <r>
          <rPr>
            <sz val="9"/>
            <color indexed="81"/>
            <rFont val="Tahoma"/>
            <family val="2"/>
          </rPr>
          <t xml:space="preserve">
USEPA Exposure Factor Handbook 2011, Table 5-1 for adult</t>
        </r>
      </text>
    </comment>
    <comment ref="E10" authorId="0" shapeId="0" xr:uid="{9689465F-2441-4095-BAF2-1FCBEB9E513F}">
      <text>
        <r>
          <rPr>
            <b/>
            <sz val="9"/>
            <color indexed="81"/>
            <rFont val="Tahoma"/>
            <family val="2"/>
          </rPr>
          <t>Li Li:</t>
        </r>
        <r>
          <rPr>
            <sz val="9"/>
            <color indexed="81"/>
            <rFont val="Tahoma"/>
            <family val="2"/>
          </rPr>
          <t xml:space="preserve">
USEPA Exposure Factor Handbook 2011, Table 5-1 for adult</t>
        </r>
      </text>
    </comment>
    <comment ref="F10" authorId="0" shapeId="0" xr:uid="{832FC1B6-5480-4DF6-8CBA-2093FF362DCB}">
      <text>
        <r>
          <rPr>
            <b/>
            <sz val="9"/>
            <color indexed="81"/>
            <rFont val="Tahoma"/>
            <family val="2"/>
          </rPr>
          <t>Li Li:</t>
        </r>
        <r>
          <rPr>
            <sz val="9"/>
            <color indexed="81"/>
            <rFont val="Tahoma"/>
            <family val="2"/>
          </rPr>
          <t xml:space="preserve">
USEPA Exposure Factor Handbook 2011, Table 5-1 for adult</t>
        </r>
      </text>
    </comment>
    <comment ref="G10" authorId="0" shapeId="0" xr:uid="{90280EC6-D8BC-4557-9F04-5D147C5CB09F}">
      <text>
        <r>
          <rPr>
            <b/>
            <sz val="9"/>
            <color indexed="81"/>
            <rFont val="Tahoma"/>
            <family val="2"/>
          </rPr>
          <t>Li Li:</t>
        </r>
        <r>
          <rPr>
            <sz val="9"/>
            <color indexed="81"/>
            <rFont val="Tahoma"/>
            <family val="2"/>
          </rPr>
          <t xml:space="preserve">
USEPA Exposure Factor Handbook 2011, Table 5-1 for adult</t>
        </r>
      </text>
    </comment>
    <comment ref="H10" authorId="0" shapeId="0" xr:uid="{1A52F871-D9ED-4C01-95A7-5DAE723B2233}">
      <text>
        <r>
          <rPr>
            <b/>
            <sz val="9"/>
            <color indexed="81"/>
            <rFont val="Tahoma"/>
            <family val="2"/>
          </rPr>
          <t>Li Li:</t>
        </r>
        <r>
          <rPr>
            <sz val="9"/>
            <color indexed="81"/>
            <rFont val="Tahoma"/>
            <family val="2"/>
          </rPr>
          <t xml:space="preserve">
USEPA Exposure Factor Handbook 2011, Table 5-1 for adult</t>
        </r>
      </text>
    </comment>
    <comment ref="B12" authorId="0" shapeId="0" xr:uid="{00000000-0006-0000-0200-000040000000}">
      <text>
        <r>
          <rPr>
            <b/>
            <sz val="9"/>
            <color indexed="81"/>
            <rFont val="Tahoma"/>
            <family val="2"/>
          </rPr>
          <t>Li Li:</t>
        </r>
        <r>
          <rPr>
            <sz val="9"/>
            <color indexed="81"/>
            <rFont val="Tahoma"/>
            <family val="2"/>
          </rPr>
          <t xml:space="preserve">
Converted from statistics of the annual fish consumption rate of 6.8 kg per person, per year by Ontario residents (obtained from www.dfo-mpo.gc.ca), assuming that the fish consumption is composed of 75% planktivorous fish and 25% piscivorous fish.
</t>
        </r>
      </text>
    </comment>
    <comment ref="C12" authorId="0" shapeId="0" xr:uid="{00000000-0006-0000-0200-000041000000}">
      <text>
        <r>
          <rPr>
            <b/>
            <sz val="9"/>
            <color indexed="81"/>
            <rFont val="Tahoma"/>
            <family val="2"/>
          </rPr>
          <t>Li Li:</t>
        </r>
        <r>
          <rPr>
            <sz val="9"/>
            <color indexed="81"/>
            <rFont val="Tahoma"/>
            <family val="2"/>
          </rPr>
          <t xml:space="preserve">
ACC-Human assumes that a 25-yr-old man takes up 74.7 g-ww fish per day,
with 75% from herbivore fish and 25% from carnivore fish
fish density is 10^6 gww/m3</t>
        </r>
      </text>
    </comment>
    <comment ref="E12" authorId="0" shapeId="0" xr:uid="{E75C614B-FD9A-4268-B152-5B69C6244644}">
      <text>
        <r>
          <rPr>
            <b/>
            <sz val="9"/>
            <color indexed="81"/>
            <rFont val="Tahoma"/>
            <family val="2"/>
          </rPr>
          <t>Li Li:</t>
        </r>
        <r>
          <rPr>
            <sz val="9"/>
            <color indexed="81"/>
            <rFont val="Tahoma"/>
            <family val="2"/>
          </rPr>
          <t xml:space="preserve">
"Seafood low n-3" and "seafood high n-3" in the "Protein Foods" table
in USDA's Food Patterns Equivalent Database (FPED) 2015-2016
Coversion factor
seafood 28.35 g/cup equivalent</t>
        </r>
      </text>
    </comment>
    <comment ref="F12" authorId="0" shapeId="0" xr:uid="{6A22ABD6-5512-4E43-A492-5B7FA83BCC95}">
      <text>
        <r>
          <rPr>
            <b/>
            <sz val="9"/>
            <color indexed="81"/>
            <rFont val="Tahoma"/>
            <family val="2"/>
          </rPr>
          <t>Li Li:</t>
        </r>
        <r>
          <rPr>
            <sz val="9"/>
            <color indexed="81"/>
            <rFont val="Tahoma"/>
            <family val="2"/>
          </rPr>
          <t xml:space="preserve">
"Seafood low n-3" and "seafood high n-3" in the "Protein Foods" table
in USDA's Food Patterns Equivalent Database (FPED) 2015-2016
Coversion factor
seafood 28.35 g/cup equivalent</t>
        </r>
      </text>
    </comment>
    <comment ref="G12" authorId="0" shapeId="0" xr:uid="{0B0370EC-8385-487B-9853-9C7984E3BC9E}">
      <text>
        <r>
          <rPr>
            <b/>
            <sz val="9"/>
            <color indexed="81"/>
            <rFont val="Tahoma"/>
            <family val="2"/>
          </rPr>
          <t>Li Li:</t>
        </r>
        <r>
          <rPr>
            <sz val="9"/>
            <color indexed="81"/>
            <rFont val="Tahoma"/>
            <family val="2"/>
          </rPr>
          <t xml:space="preserve">
"Seafood low n-3" and "seafood high n-3" in the "Protein Foods" table
in USDA's Food Patterns Equivalent Database (FPED) 2015-2016
Coversion factor
seafood 28.35 g/cup equivalent</t>
        </r>
      </text>
    </comment>
    <comment ref="H12" authorId="0" shapeId="0" xr:uid="{54CE0A65-BF02-4969-9C1D-E1E4C1306C2B}">
      <text>
        <r>
          <rPr>
            <b/>
            <sz val="9"/>
            <color indexed="81"/>
            <rFont val="Tahoma"/>
            <family val="2"/>
          </rPr>
          <t>Li Li:</t>
        </r>
        <r>
          <rPr>
            <sz val="9"/>
            <color indexed="81"/>
            <rFont val="Tahoma"/>
            <family val="2"/>
          </rPr>
          <t xml:space="preserve">
"Seafood low n-3" and "seafood high n-3" in the "Protein Foods" table
in USDA's Food Patterns Equivalent Database (FPED) 2015-2016
Coversion factor
seafood 28.35 g/cup equivalent</t>
        </r>
      </text>
    </comment>
    <comment ref="B13" authorId="0" shapeId="0" xr:uid="{00000000-0006-0000-0200-000042000000}">
      <text>
        <r>
          <rPr>
            <b/>
            <sz val="9"/>
            <color indexed="81"/>
            <rFont val="Tahoma"/>
            <family val="2"/>
          </rPr>
          <t>Li Li:</t>
        </r>
        <r>
          <rPr>
            <sz val="9"/>
            <color indexed="81"/>
            <rFont val="Tahoma"/>
            <family val="2"/>
          </rPr>
          <t xml:space="preserve">
Converted from statistics of the annual fish consumption rate of 6.8 kg per person, per year by Ontario residents (obtained from www.dfo-mpo.gc.ca), assuming that the fish consumption is composed of 75% planktivorous fish and 25% piscivorous fish.
</t>
        </r>
      </text>
    </comment>
    <comment ref="C13" authorId="0" shapeId="0" xr:uid="{00000000-0006-0000-0200-000043000000}">
      <text>
        <r>
          <rPr>
            <b/>
            <sz val="9"/>
            <color indexed="81"/>
            <rFont val="Tahoma"/>
            <family val="2"/>
          </rPr>
          <t>Li Li:</t>
        </r>
        <r>
          <rPr>
            <sz val="9"/>
            <color indexed="81"/>
            <rFont val="Tahoma"/>
            <family val="2"/>
          </rPr>
          <t xml:space="preserve">
ACC-Human assumes that a 25-yr-old man takes up 74.7 g-ww fish per day,
with 75% from herbivore fish and 25% from carnivore fish
fish density is 10^6 gww/m3</t>
        </r>
      </text>
    </comment>
    <comment ref="E13" authorId="0" shapeId="0" xr:uid="{34A3D30F-EC2D-475B-BF26-242A59A9E198}">
      <text>
        <r>
          <rPr>
            <b/>
            <sz val="9"/>
            <color indexed="81"/>
            <rFont val="Tahoma"/>
            <family val="2"/>
          </rPr>
          <t>Li Li:</t>
        </r>
        <r>
          <rPr>
            <sz val="9"/>
            <color indexed="81"/>
            <rFont val="Tahoma"/>
            <family val="2"/>
          </rPr>
          <t xml:space="preserve">
"Seafood low n-3" and "seafood high n-3" in the "Protein Foods" table
in USDA's Food Patterns Equivalent Database (FPED) 2015-2016
Coversion factor
seafood 28.35 g/cup equivalent</t>
        </r>
      </text>
    </comment>
    <comment ref="F13" authorId="0" shapeId="0" xr:uid="{CE8B93A2-8D26-4869-AB12-46B37DBBE709}">
      <text>
        <r>
          <rPr>
            <b/>
            <sz val="9"/>
            <color indexed="81"/>
            <rFont val="Tahoma"/>
            <family val="2"/>
          </rPr>
          <t>Li Li:</t>
        </r>
        <r>
          <rPr>
            <sz val="9"/>
            <color indexed="81"/>
            <rFont val="Tahoma"/>
            <family val="2"/>
          </rPr>
          <t xml:space="preserve">
"Seafood low n-3" and "seafood high n-3" in the "Protein Foods" table
in USDA's Food Patterns Equivalent Database (FPED) 2015-2016
Coversion factor
seafood 28.35 g/cup equivalent</t>
        </r>
      </text>
    </comment>
    <comment ref="G13" authorId="0" shapeId="0" xr:uid="{F7B9BEF7-D614-412F-8A2E-38C7B5851403}">
      <text>
        <r>
          <rPr>
            <b/>
            <sz val="9"/>
            <color indexed="81"/>
            <rFont val="Tahoma"/>
            <family val="2"/>
          </rPr>
          <t>Li Li:</t>
        </r>
        <r>
          <rPr>
            <sz val="9"/>
            <color indexed="81"/>
            <rFont val="Tahoma"/>
            <family val="2"/>
          </rPr>
          <t xml:space="preserve">
"Seafood low n-3" and "seafood high n-3" in the "Protein Foods" table
in USDA's Food Patterns Equivalent Database (FPED) 2015-2016
Coversion factor
seafood 28.35 g/cup equivalent</t>
        </r>
      </text>
    </comment>
    <comment ref="H13" authorId="0" shapeId="0" xr:uid="{CC3050E4-F6DA-4B35-93AD-3831EBE4FF51}">
      <text>
        <r>
          <rPr>
            <b/>
            <sz val="9"/>
            <color indexed="81"/>
            <rFont val="Tahoma"/>
            <family val="2"/>
          </rPr>
          <t>Li Li:</t>
        </r>
        <r>
          <rPr>
            <sz val="9"/>
            <color indexed="81"/>
            <rFont val="Tahoma"/>
            <family val="2"/>
          </rPr>
          <t xml:space="preserve">
"Seafood low n-3" and "seafood high n-3" in the "Protein Foods" table
in USDA's Food Patterns Equivalent Database (FPED) 2015-2016
Coversion factor
seafood 28.35 g/cup equivalent</t>
        </r>
      </text>
    </comment>
    <comment ref="B14" authorId="0" shapeId="0" xr:uid="{00000000-0006-0000-0200-000044000000}">
      <text>
        <r>
          <rPr>
            <b/>
            <sz val="9"/>
            <color indexed="81"/>
            <rFont val="Tahoma"/>
            <family val="2"/>
          </rPr>
          <t>Li Li:</t>
        </r>
        <r>
          <rPr>
            <sz val="9"/>
            <color indexed="81"/>
            <rFont val="Tahoma"/>
            <family val="2"/>
          </rPr>
          <t xml:space="preserve">
"One serving would be, for example, a medium-sized apple, two stalks of broccoli, or 125 millilitres (1/2 cup) of juice"
for adults, the average is 5.2 servings.
See: http://publications.gc.ca/Collection/Statcan/82-620-M/82-620-MIE2006002.pdf</t>
        </r>
      </text>
    </comment>
    <comment ref="C14" authorId="0" shapeId="0" xr:uid="{00000000-0006-0000-0200-000045000000}">
      <text>
        <r>
          <rPr>
            <b/>
            <sz val="9"/>
            <color indexed="81"/>
            <rFont val="Tahoma"/>
            <family val="2"/>
          </rPr>
          <t>Li Li:</t>
        </r>
        <r>
          <rPr>
            <sz val="9"/>
            <color indexed="81"/>
            <rFont val="Tahoma"/>
            <family val="2"/>
          </rPr>
          <t xml:space="preserve">
intake of vegetables: 275 g/day
vegetable density is 10^6 gww/m3
Filipsson et al. Risk Anal. 2011, 31, 108-119</t>
        </r>
      </text>
    </comment>
    <comment ref="E14" authorId="0" shapeId="0" xr:uid="{FB6D7A5F-2D05-49D1-B450-9FF786088F61}">
      <text>
        <r>
          <rPr>
            <b/>
            <sz val="9"/>
            <color indexed="81"/>
            <rFont val="Tahoma"/>
            <family val="2"/>
          </rPr>
          <t>Li Li:</t>
        </r>
        <r>
          <rPr>
            <sz val="9"/>
            <color indexed="81"/>
            <rFont val="Tahoma"/>
            <family val="2"/>
          </rPr>
          <t xml:space="preserve">
Sum of 
"total red and orange", "dark green", and "other" in the "Vegetables" table
"legumes as vegetable" in the "Legumes" table
"total fruit" in the "Fruit" table
in USDA's Food Patterns Equivalent Database (FPED) 2015-2016
Coversion factor
Tomatoes 140 g/cup equivalent
Other red and orange 147.82 g/cup equivalent
Dark green 116.52 g/cup equivalent
Other 130.86 g/cup equivalent
legumes as vegetable 117.5 g/cup equivalent
citrus, melons, berries 167 g/cup equivalent
other 127.875 g/cup equivalent
fruit juice 250 g/cup equivalent
</t>
        </r>
      </text>
    </comment>
    <comment ref="F14" authorId="0" shapeId="0" xr:uid="{4774225B-12C4-41DA-A5B3-1898D20B29B8}">
      <text>
        <r>
          <rPr>
            <b/>
            <sz val="9"/>
            <color indexed="81"/>
            <rFont val="Tahoma"/>
            <family val="2"/>
          </rPr>
          <t>Li Li:</t>
        </r>
        <r>
          <rPr>
            <sz val="9"/>
            <color indexed="81"/>
            <rFont val="Tahoma"/>
            <family val="2"/>
          </rPr>
          <t xml:space="preserve">
Sum of 
"total red and orange", "dark green", and "other" in the "Vegetables" table
"legumes as vegetable" in the "Legumes" table
"total fruit" in the "Fruit" table
in USDA's Food Patterns Equivalent Database (FPED) 2015-2016
Coversion factor
Tomatoes 140 g/cup equivalent
Other red and orange 147.82 g/cup equivalent
Dark green 116.52 g/cup equivalent
Other 130.86 g/cup equivalent
legumes as vegetable 117.5 g/cup equivalent
citrus, melons, berries 167 g/cup equivalent
other 127.875 g/cup equivalent
fruit juice 250 g/cup equivalent
</t>
        </r>
      </text>
    </comment>
    <comment ref="G14" authorId="0" shapeId="0" xr:uid="{AEA35775-3515-4683-8184-B2EA41F25199}">
      <text>
        <r>
          <rPr>
            <b/>
            <sz val="9"/>
            <color rgb="FF000000"/>
            <rFont val="Tahoma"/>
            <family val="2"/>
          </rPr>
          <t>Li Li:</t>
        </r>
        <r>
          <rPr>
            <sz val="9"/>
            <color rgb="FF000000"/>
            <rFont val="Tahoma"/>
            <family val="2"/>
          </rPr>
          <t xml:space="preserve">
</t>
        </r>
        <r>
          <rPr>
            <sz val="9"/>
            <color rgb="FF000000"/>
            <rFont val="Tahoma"/>
            <family val="2"/>
          </rPr>
          <t xml:space="preserve">Sum of 
</t>
        </r>
        <r>
          <rPr>
            <sz val="9"/>
            <color rgb="FF000000"/>
            <rFont val="Tahoma"/>
            <family val="2"/>
          </rPr>
          <t xml:space="preserve">"total red and orange", "dark green", and "other" in the "Vegetables" table
</t>
        </r>
        <r>
          <rPr>
            <sz val="9"/>
            <color rgb="FF000000"/>
            <rFont val="Tahoma"/>
            <family val="2"/>
          </rPr>
          <t xml:space="preserve">"legumes as vegetable" in the "Legumes" table
</t>
        </r>
        <r>
          <rPr>
            <sz val="9"/>
            <color rgb="FF000000"/>
            <rFont val="Tahoma"/>
            <family val="2"/>
          </rPr>
          <t xml:space="preserve">"total fruit" in the "Fruit" table
</t>
        </r>
        <r>
          <rPr>
            <sz val="9"/>
            <color rgb="FF000000"/>
            <rFont val="Tahoma"/>
            <family val="2"/>
          </rPr>
          <t xml:space="preserve">in USDA's Food Patterns Equivalent Database (FPED) 2015-2016
</t>
        </r>
        <r>
          <rPr>
            <sz val="9"/>
            <color rgb="FF000000"/>
            <rFont val="Tahoma"/>
            <family val="2"/>
          </rPr>
          <t xml:space="preserve">
</t>
        </r>
        <r>
          <rPr>
            <sz val="9"/>
            <color rgb="FF000000"/>
            <rFont val="Tahoma"/>
            <family val="2"/>
          </rPr>
          <t xml:space="preserve">Coversion factor
</t>
        </r>
        <r>
          <rPr>
            <sz val="9"/>
            <color rgb="FF000000"/>
            <rFont val="Tahoma"/>
            <family val="2"/>
          </rPr>
          <t xml:space="preserve">Tomatoes 140 g/cup equivalent
</t>
        </r>
        <r>
          <rPr>
            <sz val="9"/>
            <color rgb="FF000000"/>
            <rFont val="Tahoma"/>
            <family val="2"/>
          </rPr>
          <t xml:space="preserve">Other red and orange 147.82 g/cup equivalent
</t>
        </r>
        <r>
          <rPr>
            <sz val="9"/>
            <color rgb="FF000000"/>
            <rFont val="Tahoma"/>
            <family val="2"/>
          </rPr>
          <t xml:space="preserve">Dark green 116.52 g/cup equivalent
</t>
        </r>
        <r>
          <rPr>
            <sz val="9"/>
            <color rgb="FF000000"/>
            <rFont val="Tahoma"/>
            <family val="2"/>
          </rPr>
          <t xml:space="preserve">Other 130.86 g/cup equivalent
</t>
        </r>
        <r>
          <rPr>
            <sz val="9"/>
            <color rgb="FF000000"/>
            <rFont val="Tahoma"/>
            <family val="2"/>
          </rPr>
          <t xml:space="preserve">legumes as vegetable 117.5 g/cup equivalent
</t>
        </r>
        <r>
          <rPr>
            <sz val="9"/>
            <color rgb="FF000000"/>
            <rFont val="Tahoma"/>
            <family val="2"/>
          </rPr>
          <t xml:space="preserve">citrus, melons, berries 167 g/cup equivalent
</t>
        </r>
        <r>
          <rPr>
            <sz val="9"/>
            <color rgb="FF000000"/>
            <rFont val="Tahoma"/>
            <family val="2"/>
          </rPr>
          <t xml:space="preserve">other 127.875 g/cup equivalent
</t>
        </r>
        <r>
          <rPr>
            <sz val="9"/>
            <color rgb="FF000000"/>
            <rFont val="Tahoma"/>
            <family val="2"/>
          </rPr>
          <t xml:space="preserve">fruit juice 250 g/cup equivalent
</t>
        </r>
      </text>
    </comment>
    <comment ref="H14" authorId="0" shapeId="0" xr:uid="{56CE0413-E290-461B-83AF-DBBCB76318B0}">
      <text>
        <r>
          <rPr>
            <b/>
            <sz val="9"/>
            <color indexed="81"/>
            <rFont val="Tahoma"/>
            <family val="2"/>
          </rPr>
          <t>Li Li:</t>
        </r>
        <r>
          <rPr>
            <sz val="9"/>
            <color indexed="81"/>
            <rFont val="Tahoma"/>
            <family val="2"/>
          </rPr>
          <t xml:space="preserve">
Sum of 
"total red and orange", "dark green", and "other" in the "Vegetables" table
"legumes as vegetable" in the "Legumes" table
"total fruit" in the "Fruit" table
in USDA's Food Patterns Equivalent Database (FPED) 2015-2016
Coversion factor
Tomatoes 140 g/cup equivalent
Other red and orange 147.82 g/cup equivalent
Dark green 116.52 g/cup equivalent
Other 130.86 g/cup equivalent
legumes as vegetable 117.5 g/cup equivalent
citrus, melons, berries 167 g/cup equivalent
other 127.875 g/cup equivalent
fruit juice 250 g/cup equivalent
</t>
        </r>
      </text>
    </comment>
    <comment ref="B15" authorId="0" shapeId="0" xr:uid="{41CA502C-0C27-42F1-B5EB-3A94652CA5FF}">
      <text>
        <r>
          <rPr>
            <b/>
            <sz val="9"/>
            <color indexed="81"/>
            <rFont val="Tahoma"/>
            <family val="2"/>
          </rPr>
          <t>Li Li:</t>
        </r>
        <r>
          <rPr>
            <sz val="9"/>
            <color indexed="81"/>
            <rFont val="Tahoma"/>
            <family val="2"/>
          </rPr>
          <t xml:space="preserve">
Potato consumption per capita = 75 kg/year
source: https://www.helgilibrary.com/indicators/egg-consumption-per-capita/canada/</t>
        </r>
      </text>
    </comment>
    <comment ref="E15" authorId="0" shapeId="0" xr:uid="{C754720B-9F49-4996-A193-5F96FC44C964}">
      <text>
        <r>
          <rPr>
            <b/>
            <sz val="9"/>
            <color indexed="81"/>
            <rFont val="Tahoma"/>
            <family val="2"/>
          </rPr>
          <t>Li Li:</t>
        </r>
        <r>
          <rPr>
            <sz val="9"/>
            <color indexed="81"/>
            <rFont val="Tahoma"/>
            <family val="2"/>
          </rPr>
          <t xml:space="preserve">
"Total starchy" in the "Vegetables" table
in USDA's Food Patterns Equivalent Database (FPED) 2015-2016
Coversion factor
Potatoes 110.67 g/cup equivalent
Other starchy 148.11 g/cup equivalent</t>
        </r>
      </text>
    </comment>
    <comment ref="F15" authorId="0" shapeId="0" xr:uid="{2999C6D9-8C12-4CAD-AF46-EC796D06B7C5}">
      <text>
        <r>
          <rPr>
            <b/>
            <sz val="9"/>
            <color indexed="81"/>
            <rFont val="Tahoma"/>
            <family val="2"/>
          </rPr>
          <t>Li Li:</t>
        </r>
        <r>
          <rPr>
            <sz val="9"/>
            <color indexed="81"/>
            <rFont val="Tahoma"/>
            <family val="2"/>
          </rPr>
          <t xml:space="preserve">
"Total starchy" in the "Vegetables" table
in USDA's Food Patterns Equivalent Database (FPED) 2015-2016
Coversion factor
Potatoes 110.67 g/cup equivalent
Other starchy 148.11 g/cup equivalent</t>
        </r>
      </text>
    </comment>
    <comment ref="G15" authorId="0" shapeId="0" xr:uid="{065E2C65-7EF6-4869-A2A9-2FBE4260DCF2}">
      <text>
        <r>
          <rPr>
            <b/>
            <sz val="9"/>
            <color rgb="FF000000"/>
            <rFont val="Tahoma"/>
            <family val="2"/>
          </rPr>
          <t>Li Li:</t>
        </r>
        <r>
          <rPr>
            <sz val="9"/>
            <color rgb="FF000000"/>
            <rFont val="Tahoma"/>
            <family val="2"/>
          </rPr>
          <t xml:space="preserve">
</t>
        </r>
        <r>
          <rPr>
            <sz val="9"/>
            <color rgb="FF000000"/>
            <rFont val="Tahoma"/>
            <family val="2"/>
          </rPr>
          <t xml:space="preserve">"Total starchy" in the "Vegetables" table
</t>
        </r>
        <r>
          <rPr>
            <sz val="9"/>
            <color rgb="FF000000"/>
            <rFont val="Tahoma"/>
            <family val="2"/>
          </rPr>
          <t xml:space="preserve">in USDA's Food Patterns Equivalent Database (FPED) 2015-2016
</t>
        </r>
        <r>
          <rPr>
            <sz val="9"/>
            <color rgb="FF000000"/>
            <rFont val="Tahoma"/>
            <family val="2"/>
          </rPr>
          <t xml:space="preserve">
</t>
        </r>
        <r>
          <rPr>
            <sz val="9"/>
            <color rgb="FF000000"/>
            <rFont val="Tahoma"/>
            <family val="2"/>
          </rPr>
          <t xml:space="preserve">Coversion factor
</t>
        </r>
        <r>
          <rPr>
            <sz val="9"/>
            <color rgb="FF000000"/>
            <rFont val="Tahoma"/>
            <family val="2"/>
          </rPr>
          <t xml:space="preserve">Potatoes 110.67 g/cup equivalent
</t>
        </r>
        <r>
          <rPr>
            <sz val="9"/>
            <color rgb="FF000000"/>
            <rFont val="Tahoma"/>
            <family val="2"/>
          </rPr>
          <t>Other starchy 148.11 g/cup equivalent</t>
        </r>
      </text>
    </comment>
    <comment ref="H15" authorId="0" shapeId="0" xr:uid="{D5B1FD39-1093-48B5-AD72-4BAE598DD19C}">
      <text>
        <r>
          <rPr>
            <b/>
            <sz val="9"/>
            <color indexed="81"/>
            <rFont val="Tahoma"/>
            <family val="2"/>
          </rPr>
          <t>Li Li:</t>
        </r>
        <r>
          <rPr>
            <sz val="9"/>
            <color indexed="81"/>
            <rFont val="Tahoma"/>
            <family val="2"/>
          </rPr>
          <t xml:space="preserve">
"Total starchy" in the "Vegetables" table
in USDA's Food Patterns Equivalent Database (FPED) 2015-2016
Coversion factor
Potatoes 110.67 g/cup equivalent
Other starchy 148.11 g/cup equivalent</t>
        </r>
      </text>
    </comment>
    <comment ref="B17" authorId="0" shapeId="0" xr:uid="{00000000-0006-0000-0200-000046000000}">
      <text>
        <r>
          <rPr>
            <b/>
            <sz val="9"/>
            <color indexed="81"/>
            <rFont val="Tahoma"/>
            <family val="2"/>
          </rPr>
          <t>Li Li:</t>
        </r>
        <r>
          <rPr>
            <sz val="9"/>
            <color indexed="81"/>
            <rFont val="Tahoma"/>
            <family val="2"/>
          </rPr>
          <t xml:space="preserve">
Converted from statistics of protein disappearance of animal protein sources (boneless weights) in Canada (i.e., food available per person, per year)
(obtained from http://www.agr.gc.ca/eng/industry-markets-and-trade/canadian-agri-food-sector-intelligence/poultry-and-eggs/poultry-and-egg-market-information/industry-indicators/per-capita-disappearance/?id=1384971854413).
Average (20.1 kg per person, per year) of yearly data for 2000-2010</t>
        </r>
      </text>
    </comment>
    <comment ref="C17" authorId="0" shapeId="0" xr:uid="{00000000-0006-0000-0200-000047000000}">
      <text>
        <r>
          <rPr>
            <b/>
            <sz val="9"/>
            <color indexed="81"/>
            <rFont val="Tahoma"/>
            <family val="2"/>
          </rPr>
          <t>Li Li:</t>
        </r>
        <r>
          <rPr>
            <sz val="9"/>
            <color indexed="81"/>
            <rFont val="Tahoma"/>
            <family val="2"/>
          </rPr>
          <t xml:space="preserve">
"The food group includes meat from beef, pig, lamb, game and horse"
average of Riksmaten 1997-98 and 2011 in Sweden</t>
        </r>
      </text>
    </comment>
    <comment ref="E17" authorId="0" shapeId="0" xr:uid="{DE94DCE0-1FF4-4A28-BA7F-1368950D072C}">
      <text>
        <r>
          <rPr>
            <b/>
            <sz val="9"/>
            <color indexed="81"/>
            <rFont val="Tahoma"/>
            <family val="2"/>
          </rPr>
          <t>Li Li:</t>
        </r>
        <r>
          <rPr>
            <sz val="9"/>
            <color indexed="81"/>
            <rFont val="Tahoma"/>
            <family val="2"/>
          </rPr>
          <t xml:space="preserve">
"Meat" and "cured meat" in the "Protein Foods" table
Beef 53% of meat consumption
Pork 47% of meat consumption
in USDA's Food Patterns Equivalent Database (FPED) 2015-2016
Coversion factor
Meat and cured meat 28.35 g/cup equivalent</t>
        </r>
      </text>
    </comment>
    <comment ref="F17" authorId="0" shapeId="0" xr:uid="{7B83311B-BFF5-41B8-B180-5377CE8F70D5}">
      <text>
        <r>
          <rPr>
            <b/>
            <sz val="9"/>
            <color indexed="81"/>
            <rFont val="Tahoma"/>
            <family val="2"/>
          </rPr>
          <t>Li Li:</t>
        </r>
        <r>
          <rPr>
            <sz val="9"/>
            <color indexed="81"/>
            <rFont val="Tahoma"/>
            <family val="2"/>
          </rPr>
          <t xml:space="preserve">
"Meat" and "cured meat" in the "Protein Foods" table
Beef 53% of meat consumption
Pork 47% of meat consumption
in USDA's Food Patterns Equivalent Database (FPED) 2015-2016
Coversion factor
Meat and cured meat 28.35 g/cup equivalent</t>
        </r>
      </text>
    </comment>
    <comment ref="G17" authorId="0" shapeId="0" xr:uid="{B662DB77-45DE-4C1F-8351-C164B16BFA3E}">
      <text>
        <r>
          <rPr>
            <b/>
            <sz val="9"/>
            <color indexed="81"/>
            <rFont val="Tahoma"/>
            <family val="2"/>
          </rPr>
          <t>Li Li:</t>
        </r>
        <r>
          <rPr>
            <sz val="9"/>
            <color indexed="81"/>
            <rFont val="Tahoma"/>
            <family val="2"/>
          </rPr>
          <t xml:space="preserve">
"Meat" and "cured meat" in the "Protein Foods" table
Beef 53% of meat consumption
Pork 47% of meat consumption
in USDA's Food Patterns Equivalent Database (FPED) 2015-2016
Coversion factor
Meat and cured meat 28.35 g/cup equivalent</t>
        </r>
      </text>
    </comment>
    <comment ref="H17" authorId="0" shapeId="0" xr:uid="{DE10E5FE-3FBB-4881-AC10-066155F139B6}">
      <text>
        <r>
          <rPr>
            <b/>
            <sz val="9"/>
            <color indexed="81"/>
            <rFont val="Tahoma"/>
            <family val="2"/>
          </rPr>
          <t>Li Li:</t>
        </r>
        <r>
          <rPr>
            <sz val="9"/>
            <color indexed="81"/>
            <rFont val="Tahoma"/>
            <family val="2"/>
          </rPr>
          <t xml:space="preserve">
"Meat" and "cured meat" in the "Protein Foods" table
Beef 53% of meat consumption
Pork 47% of meat consumption
in USDA's Food Patterns Equivalent Database (FPED) 2015-2016
Coversion factor
Meat and cured meat 28.35 g/cup equivalent</t>
        </r>
      </text>
    </comment>
    <comment ref="B18" authorId="0" shapeId="0" xr:uid="{00000000-0006-0000-0200-000048000000}">
      <text>
        <r>
          <rPr>
            <b/>
            <sz val="9"/>
            <color indexed="81"/>
            <rFont val="Tahoma"/>
            <family val="2"/>
          </rPr>
          <t>Li Li:</t>
        </r>
        <r>
          <rPr>
            <sz val="9"/>
            <color indexed="81"/>
            <rFont val="Tahoma"/>
            <family val="2"/>
          </rPr>
          <t xml:space="preserve">
Converted from statistics of annual fluid milk and cream consumption of 91 liters per person, per year by Ontario residents (obtained from www.dairyinfo.gc.ca).
5.5 = lipid content (%) in milk
21 = lipid content (%) in cattle</t>
        </r>
      </text>
    </comment>
    <comment ref="C18" authorId="0" shapeId="0" xr:uid="{00000000-0006-0000-0200-000049000000}">
      <text>
        <r>
          <rPr>
            <b/>
            <sz val="9"/>
            <color indexed="81"/>
            <rFont val="Tahoma"/>
            <family val="2"/>
          </rPr>
          <t>Li Li:</t>
        </r>
        <r>
          <rPr>
            <sz val="9"/>
            <color indexed="81"/>
            <rFont val="Tahoma"/>
            <family val="2"/>
          </rPr>
          <t xml:space="preserve">
average of Riksmaten 1997-98 and 2011 in Sweden</t>
        </r>
      </text>
    </comment>
    <comment ref="E18" authorId="0" shapeId="0" xr:uid="{7DD29A45-9B44-4AE3-A72A-8CC9EFFDEEFB}">
      <text>
        <r>
          <rPr>
            <b/>
            <sz val="9"/>
            <color indexed="81"/>
            <rFont val="Tahoma"/>
            <family val="2"/>
          </rPr>
          <t>Li Li:</t>
        </r>
        <r>
          <rPr>
            <sz val="9"/>
            <color indexed="81"/>
            <rFont val="Tahoma"/>
            <family val="2"/>
          </rPr>
          <t xml:space="preserve">
"Fluid milk" in the "Dairy" table
in USDA's Food Patterns Equivalent Database (FPED) 2015-2016
Coversion factor
Fluid milk 245 g/cup equivalent</t>
        </r>
      </text>
    </comment>
    <comment ref="F18" authorId="0" shapeId="0" xr:uid="{1A564D0F-BE1B-484A-87DA-B4BC04FA3496}">
      <text>
        <r>
          <rPr>
            <b/>
            <sz val="9"/>
            <color indexed="81"/>
            <rFont val="Tahoma"/>
            <family val="2"/>
          </rPr>
          <t>Li Li:</t>
        </r>
        <r>
          <rPr>
            <sz val="9"/>
            <color indexed="81"/>
            <rFont val="Tahoma"/>
            <family val="2"/>
          </rPr>
          <t xml:space="preserve">
"Fluid milk" in the "Dairy" table
in USDA's Food Patterns Equivalent Database (FPED) 2015-2016
Coversion factor
Fluid milk 245 g/cup equivalent</t>
        </r>
      </text>
    </comment>
    <comment ref="G18" authorId="0" shapeId="0" xr:uid="{FD1CA862-AE04-4AFA-8943-11EDAE914EDC}">
      <text>
        <r>
          <rPr>
            <b/>
            <sz val="9"/>
            <color indexed="81"/>
            <rFont val="Tahoma"/>
            <family val="2"/>
          </rPr>
          <t>Li Li:</t>
        </r>
        <r>
          <rPr>
            <sz val="9"/>
            <color indexed="81"/>
            <rFont val="Tahoma"/>
            <family val="2"/>
          </rPr>
          <t xml:space="preserve">
"Fluid milk" in the "Dairy" table
in USDA's Food Patterns Equivalent Database (FPED) 2015-2016
Coversion factor
Fluid milk 245 g/cup equivalent</t>
        </r>
      </text>
    </comment>
    <comment ref="H18" authorId="0" shapeId="0" xr:uid="{39288E6B-A3D9-451A-99CD-55F23D73E597}">
      <text>
        <r>
          <rPr>
            <b/>
            <sz val="9"/>
            <color indexed="81"/>
            <rFont val="Tahoma"/>
            <family val="2"/>
          </rPr>
          <t>Li Li:</t>
        </r>
        <r>
          <rPr>
            <sz val="9"/>
            <color indexed="81"/>
            <rFont val="Tahoma"/>
            <family val="2"/>
          </rPr>
          <t xml:space="preserve">
"Fluid milk" in the "Dairy" table
in USDA's Food Patterns Equivalent Database (FPED) 2015-2016
Coversion factor
Fluid milk 245 g/cup equivalent</t>
        </r>
      </text>
    </comment>
    <comment ref="B19" authorId="0" shapeId="0" xr:uid="{1F84C38F-946E-4850-B09A-B79E425EB6B7}">
      <text>
        <r>
          <rPr>
            <b/>
            <sz val="9"/>
            <color indexed="81"/>
            <rFont val="Tahoma"/>
            <family val="2"/>
          </rPr>
          <t>Li Li:</t>
        </r>
        <r>
          <rPr>
            <sz val="9"/>
            <color indexed="81"/>
            <rFont val="Tahoma"/>
            <family val="2"/>
          </rPr>
          <t xml:space="preserve">
Per Capita Poultry Consumption = 40 kg/yr
Source: https://www.ibisworld.com/ca/bed/per-capita-poultry-consumption/15053/</t>
        </r>
      </text>
    </comment>
    <comment ref="E19" authorId="0" shapeId="0" xr:uid="{11892A67-4EFB-4310-B3BF-A98BB2187B59}">
      <text>
        <r>
          <rPr>
            <b/>
            <sz val="9"/>
            <color indexed="81"/>
            <rFont val="Tahoma"/>
            <family val="2"/>
          </rPr>
          <t>Li Li:</t>
        </r>
        <r>
          <rPr>
            <sz val="9"/>
            <color indexed="81"/>
            <rFont val="Tahoma"/>
            <family val="2"/>
          </rPr>
          <t xml:space="preserve">
"Poultry" in the "Protein Foods" table
in USDA's Food Patterns Equivalent Database (FPED) 2015-2016
Coversion factor
Poultry 28.35 g/cup equivalent</t>
        </r>
      </text>
    </comment>
    <comment ref="F19" authorId="0" shapeId="0" xr:uid="{D73138E8-413B-4862-AE53-55FB6FC9E56D}">
      <text>
        <r>
          <rPr>
            <b/>
            <sz val="9"/>
            <color indexed="81"/>
            <rFont val="Tahoma"/>
            <family val="2"/>
          </rPr>
          <t>Li Li:</t>
        </r>
        <r>
          <rPr>
            <sz val="9"/>
            <color indexed="81"/>
            <rFont val="Tahoma"/>
            <family val="2"/>
          </rPr>
          <t xml:space="preserve">
"Poultry" in the "Protein Foods" table
in USDA's Food Patterns Equivalent Database (FPED) 2015-2016
Coversion factor
Poultry 28.35 g/cup equivalent</t>
        </r>
      </text>
    </comment>
    <comment ref="G19" authorId="0" shapeId="0" xr:uid="{5C2483F1-792A-4D79-A402-3D63FE3C4065}">
      <text>
        <r>
          <rPr>
            <b/>
            <sz val="9"/>
            <color indexed="81"/>
            <rFont val="Tahoma"/>
            <family val="2"/>
          </rPr>
          <t>Li Li:</t>
        </r>
        <r>
          <rPr>
            <sz val="9"/>
            <color indexed="81"/>
            <rFont val="Tahoma"/>
            <family val="2"/>
          </rPr>
          <t xml:space="preserve">
"Poultry" in the "Protein Foods" table
in USDA's Food Patterns Equivalent Database (FPED) 2015-2016
Coversion factor
Poultry 28.35 g/cup equivalent</t>
        </r>
      </text>
    </comment>
    <comment ref="H19" authorId="0" shapeId="0" xr:uid="{E144F1FA-5742-44BB-A919-51E1B102796F}">
      <text>
        <r>
          <rPr>
            <b/>
            <sz val="9"/>
            <color indexed="81"/>
            <rFont val="Tahoma"/>
            <family val="2"/>
          </rPr>
          <t>Li Li:</t>
        </r>
        <r>
          <rPr>
            <sz val="9"/>
            <color indexed="81"/>
            <rFont val="Tahoma"/>
            <family val="2"/>
          </rPr>
          <t xml:space="preserve">
"Poultry" in the "Protein Foods" table
in USDA's Food Patterns Equivalent Database (FPED) 2015-2016
Coversion factor
Poultry 28.35 g/cup equivalent</t>
        </r>
      </text>
    </comment>
    <comment ref="B20" authorId="0" shapeId="0" xr:uid="{05062EC2-48F4-480B-BCAA-43EF28169CD3}">
      <text>
        <r>
          <rPr>
            <b/>
            <sz val="9"/>
            <color indexed="81"/>
            <rFont val="Tahoma"/>
            <family val="2"/>
          </rPr>
          <t>Li Li:</t>
        </r>
        <r>
          <rPr>
            <sz val="9"/>
            <color indexed="81"/>
            <rFont val="Tahoma"/>
            <family val="2"/>
          </rPr>
          <t xml:space="preserve">
Egg consumption per capita = 15 kg/year
source: https://www.helgilibrary.com/indicators/egg-consumption-per-capita/canada/</t>
        </r>
      </text>
    </comment>
    <comment ref="E20" authorId="0" shapeId="0" xr:uid="{9B363BF8-F498-42D0-93F3-883C32EA42A1}">
      <text>
        <r>
          <rPr>
            <b/>
            <sz val="9"/>
            <color indexed="81"/>
            <rFont val="Tahoma"/>
            <family val="2"/>
          </rPr>
          <t>Li Li:</t>
        </r>
        <r>
          <rPr>
            <sz val="9"/>
            <color indexed="81"/>
            <rFont val="Tahoma"/>
            <family val="2"/>
          </rPr>
          <t xml:space="preserve">
"Eggs" in the "Protein Foods" table
in USDA's Food Patterns Equivalent Database (FPED) 2015-2016
Coversion factor
Eggs 50 g/cup equivalent</t>
        </r>
      </text>
    </comment>
    <comment ref="F20" authorId="0" shapeId="0" xr:uid="{8E04046B-365D-4090-B671-0C6628C7ABF5}">
      <text>
        <r>
          <rPr>
            <b/>
            <sz val="9"/>
            <color indexed="81"/>
            <rFont val="Tahoma"/>
            <family val="2"/>
          </rPr>
          <t>Li Li:</t>
        </r>
        <r>
          <rPr>
            <sz val="9"/>
            <color indexed="81"/>
            <rFont val="Tahoma"/>
            <family val="2"/>
          </rPr>
          <t xml:space="preserve">
"Eggs" in the "Protein Foods" table
in USDA's Food Patterns Equivalent Database (FPED) 2015-2016
Coversion factor
Eggs 50 g/cup equivalent</t>
        </r>
      </text>
    </comment>
    <comment ref="G20" authorId="0" shapeId="0" xr:uid="{5DCB1303-C8B4-40A0-810A-9E789FFC3212}">
      <text>
        <r>
          <rPr>
            <b/>
            <sz val="9"/>
            <color indexed="81"/>
            <rFont val="Tahoma"/>
            <family val="2"/>
          </rPr>
          <t>Li Li:</t>
        </r>
        <r>
          <rPr>
            <sz val="9"/>
            <color indexed="81"/>
            <rFont val="Tahoma"/>
            <family val="2"/>
          </rPr>
          <t xml:space="preserve">
"Eggs" in the "Protein Foods" table
in USDA's Food Patterns Equivalent Database (FPED) 2015-2016
Coversion factor
Eggs 50 g/cup equivalent</t>
        </r>
      </text>
    </comment>
    <comment ref="H20" authorId="0" shapeId="0" xr:uid="{0BD7BC83-8AB7-4626-B367-714B9D110BF0}">
      <text>
        <r>
          <rPr>
            <b/>
            <sz val="9"/>
            <color indexed="81"/>
            <rFont val="Tahoma"/>
            <family val="2"/>
          </rPr>
          <t>Li Li:</t>
        </r>
        <r>
          <rPr>
            <sz val="9"/>
            <color indexed="81"/>
            <rFont val="Tahoma"/>
            <family val="2"/>
          </rPr>
          <t xml:space="preserve">
"Eggs" in the "Protein Foods" table
in USDA's Food Patterns Equivalent Database (FPED) 2015-2016
Coversion factor
Eggs 50 g/cup equivalent</t>
        </r>
      </text>
    </comment>
    <comment ref="B21" authorId="0" shapeId="0" xr:uid="{41157AEC-F481-41B3-81F7-0FDC50856F20}">
      <text>
        <r>
          <rPr>
            <b/>
            <sz val="9"/>
            <color indexed="81"/>
            <rFont val="Tahoma"/>
            <family val="2"/>
          </rPr>
          <t>Li Li:</t>
        </r>
        <r>
          <rPr>
            <sz val="9"/>
            <color indexed="81"/>
            <rFont val="Tahoma"/>
            <family val="2"/>
          </rPr>
          <t xml:space="preserve">
Egg consumption per capita = 20 kg/year
source: https://www.swineweb.com/western-canada-commentaries/canadian-pork-market-report-kevin-grier/</t>
        </r>
      </text>
    </comment>
    <comment ref="E21" authorId="0" shapeId="0" xr:uid="{B9C3C216-8534-40C4-90BE-06DF4A427243}">
      <text>
        <r>
          <rPr>
            <b/>
            <sz val="9"/>
            <color indexed="81"/>
            <rFont val="Tahoma"/>
            <family val="2"/>
          </rPr>
          <t>Li Li:</t>
        </r>
        <r>
          <rPr>
            <sz val="9"/>
            <color indexed="81"/>
            <rFont val="Tahoma"/>
            <family val="2"/>
          </rPr>
          <t xml:space="preserve">
"Meat" and "cured meat" in the "Protein Foods" table
Beef 53% of meat consumption
Pork 47% of meat consumption
in USDA's Food Patterns Equivalent Database (FPED) 2015-2016
Coversion factor
Meat and cured meat 28.35 g/cup equivalent</t>
        </r>
      </text>
    </comment>
    <comment ref="F21" authorId="0" shapeId="0" xr:uid="{A4C1219A-4BB3-4806-AFE3-E808B6A65F55}">
      <text>
        <r>
          <rPr>
            <b/>
            <sz val="9"/>
            <color indexed="81"/>
            <rFont val="Tahoma"/>
            <family val="2"/>
          </rPr>
          <t>Li Li:</t>
        </r>
        <r>
          <rPr>
            <sz val="9"/>
            <color indexed="81"/>
            <rFont val="Tahoma"/>
            <family val="2"/>
          </rPr>
          <t xml:space="preserve">
"Meat" and "cured meat" in the "Protein Foods" table
Beef 53% of meat consumption
Pork 47% of meat consumption
in USDA's Food Patterns Equivalent Database (FPED) 2015-2016
Coversion factor
Meat and cured meat 28.35 g/cup equivalent</t>
        </r>
      </text>
    </comment>
    <comment ref="G21" authorId="0" shapeId="0" xr:uid="{B8A3B586-E46B-48B3-A56D-45AE38BE030B}">
      <text>
        <r>
          <rPr>
            <b/>
            <sz val="9"/>
            <color indexed="81"/>
            <rFont val="Tahoma"/>
            <family val="2"/>
          </rPr>
          <t>Li Li:</t>
        </r>
        <r>
          <rPr>
            <sz val="9"/>
            <color indexed="81"/>
            <rFont val="Tahoma"/>
            <family val="2"/>
          </rPr>
          <t xml:space="preserve">
"Meat" and "cured meat" in the "Protein Foods" table
Beef 53% of meat consumption
Pork 47% of meat consumption
in USDA's Food Patterns Equivalent Database (FPED) 2015-2016
Coversion factor
Meat and cured meat 28.35 g/cup equivalent</t>
        </r>
      </text>
    </comment>
    <comment ref="H21" authorId="0" shapeId="0" xr:uid="{DD6D0193-D379-406A-B5A0-DB722C27C7CA}">
      <text>
        <r>
          <rPr>
            <b/>
            <sz val="9"/>
            <color indexed="81"/>
            <rFont val="Tahoma"/>
            <family val="2"/>
          </rPr>
          <t>Li Li:</t>
        </r>
        <r>
          <rPr>
            <sz val="9"/>
            <color indexed="81"/>
            <rFont val="Tahoma"/>
            <family val="2"/>
          </rPr>
          <t xml:space="preserve">
"Meat" and "cured meat" in the "Protein Foods" table
Beef 53% of meat consumption
Pork 47% of meat consumption
in USDA's Food Patterns Equivalent Database (FPED) 2015-2016
Coversion factor
Meat and cured meat 28.35 g/cup equivalent</t>
        </r>
      </text>
    </comment>
    <comment ref="B31" authorId="0" shapeId="0" xr:uid="{00000000-0006-0000-0200-00003F000000}">
      <text>
        <r>
          <rPr>
            <b/>
            <sz val="9"/>
            <color indexed="81"/>
            <rFont val="Tahoma"/>
            <family val="2"/>
          </rPr>
          <t>Li Li:</t>
        </r>
        <r>
          <rPr>
            <sz val="9"/>
            <color indexed="81"/>
            <rFont val="Tahoma"/>
            <family val="2"/>
          </rPr>
          <t xml:space="preserve">
The Canadian Exposure Factors Handbook 2013, Table 8.1</t>
        </r>
      </text>
    </comment>
    <comment ref="D31" authorId="0" shapeId="0" xr:uid="{05F6B265-A830-449D-AC82-A7AA6B9669A9}">
      <text>
        <r>
          <rPr>
            <b/>
            <sz val="9"/>
            <color indexed="81"/>
            <rFont val="Tahoma"/>
            <family val="2"/>
          </rPr>
          <t>Li Li:</t>
        </r>
        <r>
          <rPr>
            <sz val="9"/>
            <color indexed="81"/>
            <rFont val="Tahoma"/>
            <family val="2"/>
          </rPr>
          <t xml:space="preserve">
USEPA Exposure Factor Handbook 2011, Table 16-1 for 18-64 age group</t>
        </r>
      </text>
    </comment>
    <comment ref="B49" authorId="0" shapeId="0" xr:uid="{D10B8899-FE78-45EB-A42F-5D478FB9894B}">
      <text>
        <r>
          <rPr>
            <b/>
            <sz val="9"/>
            <color indexed="81"/>
            <rFont val="Tahoma"/>
            <family val="2"/>
          </rPr>
          <t>Li Li:</t>
        </r>
        <r>
          <rPr>
            <sz val="9"/>
            <color indexed="81"/>
            <rFont val="Tahoma"/>
            <family val="2"/>
          </rPr>
          <t xml:space="preserve">
Curve fitted with Table 5.2 in 2013 Canadian Exposure Factors Hanbook</t>
        </r>
      </text>
    </comment>
    <comment ref="C49" authorId="0" shapeId="0" xr:uid="{680E86A2-77D9-41C1-A48D-1132299E4B9C}">
      <text>
        <r>
          <rPr>
            <b/>
            <sz val="9"/>
            <color indexed="81"/>
            <rFont val="Tahoma"/>
            <family val="2"/>
          </rPr>
          <t>Li Li:</t>
        </r>
        <r>
          <rPr>
            <sz val="9"/>
            <color indexed="81"/>
            <rFont val="Tahoma"/>
            <family val="2"/>
          </rPr>
          <t xml:space="preserve">
Fitting data with ACC-Human default</t>
        </r>
      </text>
    </comment>
    <comment ref="B50" authorId="0" shapeId="0" xr:uid="{8C657969-9395-4EC1-BBFB-E50040B736DF}">
      <text>
        <r>
          <rPr>
            <b/>
            <sz val="9"/>
            <color indexed="81"/>
            <rFont val="Tahoma"/>
            <family val="2"/>
          </rPr>
          <t>Li Li:</t>
        </r>
        <r>
          <rPr>
            <sz val="9"/>
            <color indexed="81"/>
            <rFont val="Tahoma"/>
            <family val="2"/>
          </rPr>
          <t xml:space="preserve">
Curve fitted with Table 5.2 in 2013 Canadian Exposure Factors Hanbook</t>
        </r>
      </text>
    </comment>
    <comment ref="C50" authorId="0" shapeId="0" xr:uid="{24B817AB-359E-4A0C-911F-4FA8272C3EFF}">
      <text>
        <r>
          <rPr>
            <b/>
            <sz val="9"/>
            <color indexed="81"/>
            <rFont val="Tahoma"/>
            <family val="2"/>
          </rPr>
          <t>Li Li:</t>
        </r>
        <r>
          <rPr>
            <sz val="9"/>
            <color indexed="81"/>
            <rFont val="Tahoma"/>
            <family val="2"/>
          </rPr>
          <t xml:space="preserve">
Fitting data with ACC-Human default</t>
        </r>
      </text>
    </comment>
    <comment ref="B51" authorId="0" shapeId="0" xr:uid="{B2D80BE8-F64B-4AD4-89D3-C192E0B75F00}">
      <text>
        <r>
          <rPr>
            <b/>
            <sz val="9"/>
            <color indexed="81"/>
            <rFont val="Tahoma"/>
            <family val="2"/>
          </rPr>
          <t>Li Li:</t>
        </r>
        <r>
          <rPr>
            <sz val="9"/>
            <color indexed="81"/>
            <rFont val="Tahoma"/>
            <family val="2"/>
          </rPr>
          <t xml:space="preserve">
Curve fitted with Table 5.2 in 2013 Canadian Exposure Factors Hanbook</t>
        </r>
      </text>
    </comment>
    <comment ref="C51" authorId="0" shapeId="0" xr:uid="{030E61FB-22CF-409C-AC8D-75B5351A682E}">
      <text>
        <r>
          <rPr>
            <b/>
            <sz val="9"/>
            <color indexed="81"/>
            <rFont val="Tahoma"/>
            <family val="2"/>
          </rPr>
          <t>Li Li:</t>
        </r>
        <r>
          <rPr>
            <sz val="9"/>
            <color indexed="81"/>
            <rFont val="Tahoma"/>
            <family val="2"/>
          </rPr>
          <t xml:space="preserve">
Fitting data with ACC-Human default</t>
        </r>
      </text>
    </comment>
    <comment ref="B52" authorId="0" shapeId="0" xr:uid="{263149B4-74FD-4ECC-8F7B-D7232EDEF04D}">
      <text>
        <r>
          <rPr>
            <b/>
            <sz val="9"/>
            <color indexed="81"/>
            <rFont val="Tahoma"/>
            <family val="2"/>
          </rPr>
          <t>Li Li:</t>
        </r>
        <r>
          <rPr>
            <sz val="9"/>
            <color indexed="81"/>
            <rFont val="Tahoma"/>
            <family val="2"/>
          </rPr>
          <t xml:space="preserve">
Curve fitted with Table 5.2 in 2013 Canadian Exposure Factors Hanbook</t>
        </r>
      </text>
    </comment>
    <comment ref="C52" authorId="0" shapeId="0" xr:uid="{6D929F2B-5D4E-4C02-920B-6B441E18919A}">
      <text>
        <r>
          <rPr>
            <b/>
            <sz val="9"/>
            <color indexed="81"/>
            <rFont val="Tahoma"/>
            <family val="2"/>
          </rPr>
          <t>Li Li:</t>
        </r>
        <r>
          <rPr>
            <sz val="9"/>
            <color indexed="81"/>
            <rFont val="Tahoma"/>
            <family val="2"/>
          </rPr>
          <t xml:space="preserve">
Fitting data with ACC-Human default</t>
        </r>
      </text>
    </comment>
    <comment ref="B53" authorId="0" shapeId="0" xr:uid="{AF395BF4-7F34-4D67-9FB3-836F32A53E05}">
      <text>
        <r>
          <rPr>
            <b/>
            <sz val="9"/>
            <color indexed="81"/>
            <rFont val="Tahoma"/>
            <family val="2"/>
          </rPr>
          <t>Li Li:</t>
        </r>
        <r>
          <rPr>
            <sz val="9"/>
            <color indexed="81"/>
            <rFont val="Tahoma"/>
            <family val="2"/>
          </rPr>
          <t xml:space="preserve">
Curve fitted with Table 5.2 in 2013 Canadian Exposure Factors Hanbook</t>
        </r>
      </text>
    </comment>
    <comment ref="C53" authorId="0" shapeId="0" xr:uid="{D11BD98E-CB52-464B-8EC9-FA9AFF7A9434}">
      <text>
        <r>
          <rPr>
            <b/>
            <sz val="9"/>
            <color indexed="81"/>
            <rFont val="Tahoma"/>
            <family val="2"/>
          </rPr>
          <t>Li Li:</t>
        </r>
        <r>
          <rPr>
            <sz val="9"/>
            <color indexed="81"/>
            <rFont val="Tahoma"/>
            <family val="2"/>
          </rPr>
          <t xml:space="preserve">
Fitting data with ACC-Human default</t>
        </r>
      </text>
    </comment>
    <comment ref="B59" authorId="0" shapeId="0" xr:uid="{B7A35AAC-D6F5-4BD4-9D75-4A7395885F65}">
      <text>
        <r>
          <rPr>
            <b/>
            <sz val="9"/>
            <color indexed="81"/>
            <rFont val="Tahoma"/>
            <family val="2"/>
          </rPr>
          <t>Li Li:</t>
        </r>
        <r>
          <rPr>
            <sz val="9"/>
            <color indexed="81"/>
            <rFont val="Tahoma"/>
            <family val="2"/>
          </rPr>
          <t xml:space="preserve">
Numbers taken from Deurenberg et al., Int. J. Obes.,1998,22,1164-1171</t>
        </r>
      </text>
    </comment>
    <comment ref="C59" authorId="0" shapeId="0" xr:uid="{59845D56-A7C3-4EB8-8363-72E3FF51EBC9}">
      <text>
        <r>
          <rPr>
            <b/>
            <sz val="9"/>
            <color indexed="81"/>
            <rFont val="Tahoma"/>
            <family val="2"/>
          </rPr>
          <t>Li Li:</t>
        </r>
        <r>
          <rPr>
            <sz val="9"/>
            <color indexed="81"/>
            <rFont val="Tahoma"/>
            <family val="2"/>
          </rPr>
          <t xml:space="preserve">
Numbers taken from Deurenberg et al., Int. J. Obes.,1998,22,1164-1171</t>
        </r>
      </text>
    </comment>
    <comment ref="B60" authorId="0" shapeId="0" xr:uid="{FEAE6CFE-C683-41CC-A8F8-6B5A1C853E96}">
      <text>
        <r>
          <rPr>
            <b/>
            <sz val="9"/>
            <color indexed="81"/>
            <rFont val="Tahoma"/>
            <family val="2"/>
          </rPr>
          <t>Li Li:</t>
        </r>
        <r>
          <rPr>
            <sz val="9"/>
            <color indexed="81"/>
            <rFont val="Tahoma"/>
            <family val="2"/>
          </rPr>
          <t xml:space="preserve">
Numbers taken from Deurenberg et al., Int. J. Obes.,1998,22,1164-1171</t>
        </r>
      </text>
    </comment>
    <comment ref="C60" authorId="0" shapeId="0" xr:uid="{EB2903D0-088E-4B59-BEF8-20A3E216DE6A}">
      <text>
        <r>
          <rPr>
            <b/>
            <sz val="9"/>
            <color indexed="81"/>
            <rFont val="Tahoma"/>
            <family val="2"/>
          </rPr>
          <t>Li Li:</t>
        </r>
        <r>
          <rPr>
            <sz val="9"/>
            <color indexed="81"/>
            <rFont val="Tahoma"/>
            <family val="2"/>
          </rPr>
          <t xml:space="preserve">
Numbers taken from Deurenberg et al., Int. J. Obes.,1998,22,1164-1171</t>
        </r>
      </text>
    </comment>
    <comment ref="B61" authorId="0" shapeId="0" xr:uid="{07DD58BF-6A5E-4D69-8B1D-F259CA4D4336}">
      <text>
        <r>
          <rPr>
            <b/>
            <sz val="9"/>
            <color indexed="81"/>
            <rFont val="Tahoma"/>
            <family val="2"/>
          </rPr>
          <t>Li Li:</t>
        </r>
        <r>
          <rPr>
            <sz val="9"/>
            <color indexed="81"/>
            <rFont val="Tahoma"/>
            <family val="2"/>
          </rPr>
          <t xml:space="preserve">
Numbers taken from Deurenberg et al., Int. J. Obes.,1998,22,1164-1171</t>
        </r>
      </text>
    </comment>
    <comment ref="C61" authorId="0" shapeId="0" xr:uid="{3926E0FF-DEBA-4CC7-ADF1-152A7B11DA9E}">
      <text>
        <r>
          <rPr>
            <b/>
            <sz val="9"/>
            <color indexed="81"/>
            <rFont val="Tahoma"/>
            <family val="2"/>
          </rPr>
          <t>Li Li:</t>
        </r>
        <r>
          <rPr>
            <sz val="9"/>
            <color indexed="81"/>
            <rFont val="Tahoma"/>
            <family val="2"/>
          </rPr>
          <t xml:space="preserve">
Numbers taken from Deurenberg et al., Int. J. Obes.,1998,22,1164-1171</t>
        </r>
      </text>
    </comment>
    <comment ref="B62" authorId="0" shapeId="0" xr:uid="{63D5285E-C1ED-4848-9E09-4C57DEEBAA18}">
      <text>
        <r>
          <rPr>
            <b/>
            <sz val="9"/>
            <color indexed="81"/>
            <rFont val="Tahoma"/>
            <family val="2"/>
          </rPr>
          <t>Li Li:</t>
        </r>
        <r>
          <rPr>
            <sz val="9"/>
            <color indexed="81"/>
            <rFont val="Tahoma"/>
            <family val="2"/>
          </rPr>
          <t xml:space="preserve">
Numbers taken from Deurenberg et al., Int. J. Obes.,1998,22,1164-1171</t>
        </r>
      </text>
    </comment>
    <comment ref="C62" authorId="0" shapeId="0" xr:uid="{798B52D6-4655-4573-9133-E9059034753F}">
      <text>
        <r>
          <rPr>
            <b/>
            <sz val="9"/>
            <color indexed="81"/>
            <rFont val="Tahoma"/>
            <family val="2"/>
          </rPr>
          <t>Li Li:</t>
        </r>
        <r>
          <rPr>
            <sz val="9"/>
            <color indexed="81"/>
            <rFont val="Tahoma"/>
            <family val="2"/>
          </rPr>
          <t xml:space="preserve">
Numbers taken from Deurenberg et al., Int. J. Obes.,1998,22,1164-1171</t>
        </r>
      </text>
    </comment>
    <comment ref="B107" authorId="0" shapeId="0" xr:uid="{06201CBB-07C4-4454-8AF0-F0097DC64D26}">
      <text>
        <r>
          <rPr>
            <b/>
            <sz val="9"/>
            <color indexed="81"/>
            <rFont val="Tahoma"/>
            <family val="2"/>
          </rPr>
          <t>Li Li:</t>
        </r>
        <r>
          <rPr>
            <sz val="9"/>
            <color indexed="81"/>
            <rFont val="Tahoma"/>
            <family val="2"/>
          </rPr>
          <t xml:space="preserve">
Taken from Canadian exposure factors used in human health risk assessments</t>
        </r>
      </text>
    </comment>
    <comment ref="D107" authorId="0" shapeId="0" xr:uid="{8C219370-592E-4542-8FF9-8C3818296FE4}">
      <text>
        <r>
          <rPr>
            <b/>
            <sz val="9"/>
            <color indexed="81"/>
            <rFont val="Tahoma"/>
            <family val="2"/>
          </rPr>
          <t>Li Li:</t>
        </r>
        <r>
          <rPr>
            <sz val="9"/>
            <color indexed="81"/>
            <rFont val="Tahoma"/>
            <family val="2"/>
          </rPr>
          <t xml:space="preserve">
USEPA Exposure Factor Handbook 2011, Table 6-1 for 21-31 age group</t>
        </r>
      </text>
    </comment>
    <comment ref="B108" authorId="0" shapeId="0" xr:uid="{BE1AD0C0-502A-4AA1-B098-BDB3705F0ABD}">
      <text>
        <r>
          <rPr>
            <b/>
            <sz val="9"/>
            <color indexed="81"/>
            <rFont val="Tahoma"/>
            <family val="2"/>
          </rPr>
          <t>Li Li:</t>
        </r>
        <r>
          <rPr>
            <sz val="9"/>
            <color indexed="81"/>
            <rFont val="Tahoma"/>
            <family val="2"/>
          </rPr>
          <t xml:space="preserve">
Taken from Canadian exposure factors used in human health risk assessments</t>
        </r>
      </text>
    </comment>
    <comment ref="D109" authorId="0" shapeId="0" xr:uid="{3653EA1C-472C-4529-85EE-9E90A4522BA1}">
      <text>
        <r>
          <rPr>
            <b/>
            <sz val="9"/>
            <color indexed="81"/>
            <rFont val="Tahoma"/>
            <family val="2"/>
          </rPr>
          <t>Li Li:</t>
        </r>
        <r>
          <rPr>
            <sz val="9"/>
            <color indexed="81"/>
            <rFont val="Tahoma"/>
            <family val="2"/>
          </rPr>
          <t xml:space="preserve">
USEPA Exposure Factor Handbook 2011, Table 5-1 for adult</t>
        </r>
      </text>
    </comment>
    <comment ref="E109" authorId="0" shapeId="0" xr:uid="{49C55377-424C-425D-94EB-3F1A3D0564DF}">
      <text>
        <r>
          <rPr>
            <b/>
            <sz val="9"/>
            <color indexed="81"/>
            <rFont val="Tahoma"/>
            <family val="2"/>
          </rPr>
          <t>Li Li:</t>
        </r>
        <r>
          <rPr>
            <sz val="9"/>
            <color indexed="81"/>
            <rFont val="Tahoma"/>
            <family val="2"/>
          </rPr>
          <t xml:space="preserve">
USEPA Exposure Factor Handbook 2011, Table 5-1 for adult</t>
        </r>
      </text>
    </comment>
    <comment ref="F109" authorId="0" shapeId="0" xr:uid="{EB256E93-7897-42DC-9267-45853BEEBD68}">
      <text>
        <r>
          <rPr>
            <b/>
            <sz val="9"/>
            <color indexed="81"/>
            <rFont val="Tahoma"/>
            <family val="2"/>
          </rPr>
          <t>Li Li:</t>
        </r>
        <r>
          <rPr>
            <sz val="9"/>
            <color indexed="81"/>
            <rFont val="Tahoma"/>
            <family val="2"/>
          </rPr>
          <t xml:space="preserve">
USEPA Exposure Factor Handbook 2011, Table 5-1 for adult</t>
        </r>
      </text>
    </comment>
    <comment ref="G109" authorId="0" shapeId="0" xr:uid="{243323B1-06CC-4291-B04D-D423B88D5643}">
      <text>
        <r>
          <rPr>
            <b/>
            <sz val="9"/>
            <color indexed="81"/>
            <rFont val="Tahoma"/>
            <family val="2"/>
          </rPr>
          <t>Li Li:</t>
        </r>
        <r>
          <rPr>
            <sz val="9"/>
            <color indexed="81"/>
            <rFont val="Tahoma"/>
            <family val="2"/>
          </rPr>
          <t xml:space="preserve">
USEPA Exposure Factor Handbook 2011, Table 5-1 for adult</t>
        </r>
      </text>
    </comment>
    <comment ref="H109" authorId="0" shapeId="0" xr:uid="{738B9277-5EC0-44C4-AFA8-56DCA55999EE}">
      <text>
        <r>
          <rPr>
            <b/>
            <sz val="9"/>
            <color indexed="81"/>
            <rFont val="Tahoma"/>
            <family val="2"/>
          </rPr>
          <t>Li Li:</t>
        </r>
        <r>
          <rPr>
            <sz val="9"/>
            <color indexed="81"/>
            <rFont val="Tahoma"/>
            <family val="2"/>
          </rPr>
          <t xml:space="preserve">
USEPA Exposure Factor Handbook 2011, Table 5-1 for adult</t>
        </r>
      </text>
    </comment>
    <comment ref="D110" authorId="0" shapeId="0" xr:uid="{BE1B8AB3-9F09-414F-9C62-103EBBCF2D36}">
      <text>
        <r>
          <rPr>
            <b/>
            <sz val="9"/>
            <color indexed="81"/>
            <rFont val="Tahoma"/>
            <family val="2"/>
          </rPr>
          <t>Li Li:</t>
        </r>
        <r>
          <rPr>
            <sz val="9"/>
            <color indexed="81"/>
            <rFont val="Tahoma"/>
            <family val="2"/>
          </rPr>
          <t xml:space="preserve">
USEPA Exposure Factor Handbook 2011, Table 5-1 for adult</t>
        </r>
      </text>
    </comment>
    <comment ref="E110" authorId="0" shapeId="0" xr:uid="{33DC8959-53BC-4207-8D2C-D93449A92F53}">
      <text>
        <r>
          <rPr>
            <b/>
            <sz val="9"/>
            <color indexed="81"/>
            <rFont val="Tahoma"/>
            <family val="2"/>
          </rPr>
          <t>Li Li:</t>
        </r>
        <r>
          <rPr>
            <sz val="9"/>
            <color indexed="81"/>
            <rFont val="Tahoma"/>
            <family val="2"/>
          </rPr>
          <t xml:space="preserve">
USEPA Exposure Factor Handbook 2011, Table 5-1 for adult</t>
        </r>
      </text>
    </comment>
    <comment ref="F110" authorId="0" shapeId="0" xr:uid="{F2FF0038-1EDB-4567-A985-BBD682206BED}">
      <text>
        <r>
          <rPr>
            <b/>
            <sz val="9"/>
            <color indexed="81"/>
            <rFont val="Tahoma"/>
            <family val="2"/>
          </rPr>
          <t>Li Li:</t>
        </r>
        <r>
          <rPr>
            <sz val="9"/>
            <color indexed="81"/>
            <rFont val="Tahoma"/>
            <family val="2"/>
          </rPr>
          <t xml:space="preserve">
USEPA Exposure Factor Handbook 2011, Table 5-1 for adult</t>
        </r>
      </text>
    </comment>
    <comment ref="G110" authorId="0" shapeId="0" xr:uid="{182391ED-14A5-4380-BC3F-1C6BB54C78B3}">
      <text>
        <r>
          <rPr>
            <b/>
            <sz val="9"/>
            <color indexed="81"/>
            <rFont val="Tahoma"/>
            <family val="2"/>
          </rPr>
          <t>Li Li:</t>
        </r>
        <r>
          <rPr>
            <sz val="9"/>
            <color indexed="81"/>
            <rFont val="Tahoma"/>
            <family val="2"/>
          </rPr>
          <t xml:space="preserve">
USEPA Exposure Factor Handbook 2011, Table 5-1 for adult</t>
        </r>
      </text>
    </comment>
    <comment ref="H110" authorId="0" shapeId="0" xr:uid="{D7F5FF80-9A61-46CA-91CB-B3C76C24F37E}">
      <text>
        <r>
          <rPr>
            <b/>
            <sz val="9"/>
            <color indexed="81"/>
            <rFont val="Tahoma"/>
            <family val="2"/>
          </rPr>
          <t>Li Li:</t>
        </r>
        <r>
          <rPr>
            <sz val="9"/>
            <color indexed="81"/>
            <rFont val="Tahoma"/>
            <family val="2"/>
          </rPr>
          <t xml:space="preserve">
USEPA Exposure Factor Handbook 2011, Table 5-1 for adult</t>
        </r>
      </text>
    </comment>
    <comment ref="B112" authorId="0" shapeId="0" xr:uid="{00000000-0006-0000-0200-00004B000000}">
      <text>
        <r>
          <rPr>
            <b/>
            <sz val="9"/>
            <color indexed="81"/>
            <rFont val="Tahoma"/>
            <family val="2"/>
          </rPr>
          <t>Li Li:</t>
        </r>
        <r>
          <rPr>
            <sz val="9"/>
            <color indexed="81"/>
            <rFont val="Tahoma"/>
            <family val="2"/>
          </rPr>
          <t xml:space="preserve">
Converted from statistics of the annual fish consumption rate of 6.8 kg per person, per year by Ontario residents (obtained from www.dfo-mpo.gc.ca), assuming that the fish consumption is composed of 75% planktivorous fish and 25% piscivorous fish.
</t>
        </r>
      </text>
    </comment>
    <comment ref="C112" authorId="0" shapeId="0" xr:uid="{00000000-0006-0000-0200-00004C000000}">
      <text>
        <r>
          <rPr>
            <b/>
            <sz val="9"/>
            <color indexed="81"/>
            <rFont val="Tahoma"/>
            <family val="2"/>
          </rPr>
          <t>Li Li:</t>
        </r>
        <r>
          <rPr>
            <sz val="9"/>
            <color indexed="81"/>
            <rFont val="Tahoma"/>
            <family val="2"/>
          </rPr>
          <t xml:space="preserve">
ACC-Human assumes that a 25-yr-old woman takes up 59.7 g-ww fish per day,
with 75% from herbivore fish and 25% from carnivore fish
fish density is 10^6 gww/m3</t>
        </r>
      </text>
    </comment>
    <comment ref="B113" authorId="0" shapeId="0" xr:uid="{00000000-0006-0000-0200-00004D000000}">
      <text>
        <r>
          <rPr>
            <b/>
            <sz val="9"/>
            <color indexed="81"/>
            <rFont val="Tahoma"/>
            <family val="2"/>
          </rPr>
          <t>Li Li:</t>
        </r>
        <r>
          <rPr>
            <sz val="9"/>
            <color indexed="81"/>
            <rFont val="Tahoma"/>
            <family val="2"/>
          </rPr>
          <t xml:space="preserve">
Converted from statistics of the annual fish consumption rate of 6.8 kg per person, per year by Ontario residents (obtained from www.dfo-mpo.gc.ca), assuming that the fish consumption is composed of 75% planktivorous fish and 25% piscivorous fish.
</t>
        </r>
      </text>
    </comment>
    <comment ref="C113" authorId="0" shapeId="0" xr:uid="{00000000-0006-0000-0200-00004E000000}">
      <text>
        <r>
          <rPr>
            <b/>
            <sz val="9"/>
            <color indexed="81"/>
            <rFont val="Tahoma"/>
            <family val="2"/>
          </rPr>
          <t>Li Li:</t>
        </r>
        <r>
          <rPr>
            <sz val="9"/>
            <color indexed="81"/>
            <rFont val="Tahoma"/>
            <family val="2"/>
          </rPr>
          <t xml:space="preserve">
ACC-Human assumes that a 25-yr-old woman takes up 59.7 g-ww fish per day,
with 75% from herbivore fish and 25% from carnivore fish
fish density is 10^6 gww/m3</t>
        </r>
      </text>
    </comment>
    <comment ref="B114" authorId="0" shapeId="0" xr:uid="{00000000-0006-0000-0200-00004F000000}">
      <text>
        <r>
          <rPr>
            <b/>
            <sz val="9"/>
            <color indexed="81"/>
            <rFont val="Tahoma"/>
            <family val="2"/>
          </rPr>
          <t>Li Li:</t>
        </r>
        <r>
          <rPr>
            <sz val="9"/>
            <color indexed="81"/>
            <rFont val="Tahoma"/>
            <family val="2"/>
          </rPr>
          <t xml:space="preserve">
"One serving would be, for example, a medium-sized apple, two stalks of broccoli, or 125 millilitres (1/2 cup) of juice"
for adults, the average is 5.2 servings.
See: http://publications.gc.ca/Collection/Statcan/82-620-M/82-620-MIE2006002.pdf</t>
        </r>
      </text>
    </comment>
    <comment ref="C114" authorId="0" shapeId="0" xr:uid="{00000000-0006-0000-0200-000050000000}">
      <text>
        <r>
          <rPr>
            <b/>
            <sz val="9"/>
            <color indexed="81"/>
            <rFont val="Tahoma"/>
            <family val="2"/>
          </rPr>
          <t>Li Li:</t>
        </r>
        <r>
          <rPr>
            <sz val="9"/>
            <color indexed="81"/>
            <rFont val="Tahoma"/>
            <family val="2"/>
          </rPr>
          <t xml:space="preserve">
intake of vegetables: 251 g/day
vegetable density is 10^6 gww/m3
Filipsson et al. Risk Anal. 2011, 31, 108-119</t>
        </r>
      </text>
    </comment>
    <comment ref="B117" authorId="0" shapeId="0" xr:uid="{00000000-0006-0000-0200-000051000000}">
      <text>
        <r>
          <rPr>
            <b/>
            <sz val="9"/>
            <color indexed="81"/>
            <rFont val="Tahoma"/>
            <family val="2"/>
          </rPr>
          <t>Li Li:</t>
        </r>
        <r>
          <rPr>
            <sz val="9"/>
            <color indexed="81"/>
            <rFont val="Tahoma"/>
            <family val="2"/>
          </rPr>
          <t xml:space="preserve">
Converted from statistics of protein disappearance of animal protein sources (boneless weights) in Canada (i.e., food available per person, per year)
(obtained from http://www.agr.gc.ca/eng/industry-markets-and-trade/canadian-agri-food-sector-intelligence/poultry-and-eggs/poultry-and-egg-market-information/industry-indicators/per-capita-disappearance/?id=1384971854413).
Average (20.1 kg per person, per year) of yearly data for 2000-2010</t>
        </r>
      </text>
    </comment>
    <comment ref="C117" authorId="0" shapeId="0" xr:uid="{00000000-0006-0000-0200-000052000000}">
      <text>
        <r>
          <rPr>
            <b/>
            <sz val="9"/>
            <color indexed="81"/>
            <rFont val="Tahoma"/>
            <family val="2"/>
          </rPr>
          <t>Li Li:</t>
        </r>
        <r>
          <rPr>
            <sz val="9"/>
            <color indexed="81"/>
            <rFont val="Tahoma"/>
            <family val="2"/>
          </rPr>
          <t xml:space="preserve">
"The food group includes meat from beef, pig, lamb, game and horse"
average of Riksmaten 1997-98 and 2011 in Sweden</t>
        </r>
      </text>
    </comment>
    <comment ref="B118" authorId="0" shapeId="0" xr:uid="{00000000-0006-0000-0200-000053000000}">
      <text>
        <r>
          <rPr>
            <b/>
            <sz val="9"/>
            <color indexed="81"/>
            <rFont val="Tahoma"/>
            <family val="2"/>
          </rPr>
          <t>Li Li:</t>
        </r>
        <r>
          <rPr>
            <sz val="9"/>
            <color indexed="81"/>
            <rFont val="Tahoma"/>
            <family val="2"/>
          </rPr>
          <t xml:space="preserve">
Converted from statistics of annual fluid milk and cream consumption of 91 liters per person, per year by Ontario residents (obtained from www.dairyinfo.gc.ca).
5.5 = lipid content (%) in milk
21 = lipid content (%) in cattle</t>
        </r>
      </text>
    </comment>
    <comment ref="C118" authorId="0" shapeId="0" xr:uid="{00000000-0006-0000-0200-000054000000}">
      <text>
        <r>
          <rPr>
            <b/>
            <sz val="9"/>
            <color indexed="81"/>
            <rFont val="Tahoma"/>
            <family val="2"/>
          </rPr>
          <t>Li Li:</t>
        </r>
        <r>
          <rPr>
            <sz val="9"/>
            <color indexed="81"/>
            <rFont val="Tahoma"/>
            <family val="2"/>
          </rPr>
          <t xml:space="preserve">
average of Riksmaten 1997-98 and 2011 in Sweden</t>
        </r>
      </text>
    </comment>
    <comment ref="B131" authorId="0" shapeId="0" xr:uid="{00000000-0006-0000-0200-00004A000000}">
      <text>
        <r>
          <rPr>
            <b/>
            <sz val="9"/>
            <color indexed="81"/>
            <rFont val="Tahoma"/>
            <family val="2"/>
          </rPr>
          <t>Li Li:</t>
        </r>
        <r>
          <rPr>
            <sz val="9"/>
            <color indexed="81"/>
            <rFont val="Tahoma"/>
            <family val="2"/>
          </rPr>
          <t xml:space="preserve">
The Canadian Exposure Factors Handbook 2013, Table 8.1</t>
        </r>
      </text>
    </comment>
    <comment ref="D131" authorId="0" shapeId="0" xr:uid="{0DC84C13-DF84-4EE0-8D36-8F0ECF358CFD}">
      <text>
        <r>
          <rPr>
            <b/>
            <sz val="9"/>
            <color indexed="81"/>
            <rFont val="Tahoma"/>
            <family val="2"/>
          </rPr>
          <t>Li Li:</t>
        </r>
        <r>
          <rPr>
            <sz val="9"/>
            <color indexed="81"/>
            <rFont val="Tahoma"/>
            <family val="2"/>
          </rPr>
          <t xml:space="preserve">
USEPA Exposure Factor Handbook 2011, Table 16-1 for 18-64 age group</t>
        </r>
      </text>
    </comment>
    <comment ref="B149" authorId="0" shapeId="0" xr:uid="{759DBDF2-32C3-4711-B9BE-BC4A0ECE5942}">
      <text>
        <r>
          <rPr>
            <b/>
            <sz val="9"/>
            <color indexed="81"/>
            <rFont val="Tahoma"/>
            <family val="2"/>
          </rPr>
          <t>Li Li:</t>
        </r>
        <r>
          <rPr>
            <sz val="9"/>
            <color indexed="81"/>
            <rFont val="Tahoma"/>
            <family val="2"/>
          </rPr>
          <t xml:space="preserve">
Curve fitted with Table 5.2 in 2013 Canadian Exposure Factors Hanbook</t>
        </r>
      </text>
    </comment>
    <comment ref="C149" authorId="0" shapeId="0" xr:uid="{15E364AD-A92D-4A89-9211-9B660A0C84E2}">
      <text>
        <r>
          <rPr>
            <b/>
            <sz val="9"/>
            <color indexed="81"/>
            <rFont val="Tahoma"/>
            <family val="2"/>
          </rPr>
          <t>Li Li:</t>
        </r>
        <r>
          <rPr>
            <sz val="9"/>
            <color indexed="81"/>
            <rFont val="Tahoma"/>
            <family val="2"/>
          </rPr>
          <t xml:space="preserve">
Fitting data with ACC-Human default</t>
        </r>
      </text>
    </comment>
    <comment ref="B150" authorId="0" shapeId="0" xr:uid="{09EF9181-6339-4EB3-BBF7-1BB6B1DFB52C}">
      <text>
        <r>
          <rPr>
            <b/>
            <sz val="9"/>
            <color indexed="81"/>
            <rFont val="Tahoma"/>
            <family val="2"/>
          </rPr>
          <t>Li Li:</t>
        </r>
        <r>
          <rPr>
            <sz val="9"/>
            <color indexed="81"/>
            <rFont val="Tahoma"/>
            <family val="2"/>
          </rPr>
          <t xml:space="preserve">
Curve fitted with Table 5.2 in 2013 Canadian Exposure Factors Hanbook</t>
        </r>
      </text>
    </comment>
    <comment ref="C150" authorId="0" shapeId="0" xr:uid="{2ED9F96D-811F-4563-BD18-5EEF7AED32B6}">
      <text>
        <r>
          <rPr>
            <b/>
            <sz val="9"/>
            <color indexed="81"/>
            <rFont val="Tahoma"/>
            <family val="2"/>
          </rPr>
          <t>Li Li:</t>
        </r>
        <r>
          <rPr>
            <sz val="9"/>
            <color indexed="81"/>
            <rFont val="Tahoma"/>
            <family val="2"/>
          </rPr>
          <t xml:space="preserve">
Fitting data with ACC-Human default</t>
        </r>
      </text>
    </comment>
    <comment ref="B151" authorId="0" shapeId="0" xr:uid="{7EB88ECB-3924-4B5A-B58A-1E5686734299}">
      <text>
        <r>
          <rPr>
            <b/>
            <sz val="9"/>
            <color indexed="81"/>
            <rFont val="Tahoma"/>
            <family val="2"/>
          </rPr>
          <t>Li Li:</t>
        </r>
        <r>
          <rPr>
            <sz val="9"/>
            <color indexed="81"/>
            <rFont val="Tahoma"/>
            <family val="2"/>
          </rPr>
          <t xml:space="preserve">
Curve fitted with Table 5.2 in 2013 Canadian Exposure Factors Hanbook</t>
        </r>
      </text>
    </comment>
    <comment ref="C151" authorId="0" shapeId="0" xr:uid="{42100096-8766-477C-BC21-CD883C882531}">
      <text>
        <r>
          <rPr>
            <b/>
            <sz val="9"/>
            <color indexed="81"/>
            <rFont val="Tahoma"/>
            <family val="2"/>
          </rPr>
          <t>Li Li:</t>
        </r>
        <r>
          <rPr>
            <sz val="9"/>
            <color indexed="81"/>
            <rFont val="Tahoma"/>
            <family val="2"/>
          </rPr>
          <t xml:space="preserve">
Fitting data with ACC-Human default</t>
        </r>
      </text>
    </comment>
    <comment ref="B152" authorId="0" shapeId="0" xr:uid="{8F148676-17CA-49AB-96D8-B95D382E015F}">
      <text>
        <r>
          <rPr>
            <b/>
            <sz val="9"/>
            <color indexed="81"/>
            <rFont val="Tahoma"/>
            <family val="2"/>
          </rPr>
          <t>Li Li:</t>
        </r>
        <r>
          <rPr>
            <sz val="9"/>
            <color indexed="81"/>
            <rFont val="Tahoma"/>
            <family val="2"/>
          </rPr>
          <t xml:space="preserve">
Curve fitted with Table 5.2 in 2013 Canadian Exposure Factors Hanbook</t>
        </r>
      </text>
    </comment>
    <comment ref="C152" authorId="0" shapeId="0" xr:uid="{833A8A3E-8379-4B5F-94C7-A2B62BCE4B7A}">
      <text>
        <r>
          <rPr>
            <b/>
            <sz val="9"/>
            <color indexed="81"/>
            <rFont val="Tahoma"/>
            <family val="2"/>
          </rPr>
          <t>Li Li:</t>
        </r>
        <r>
          <rPr>
            <sz val="9"/>
            <color indexed="81"/>
            <rFont val="Tahoma"/>
            <family val="2"/>
          </rPr>
          <t xml:space="preserve">
Fitting data with ACC-Human default</t>
        </r>
      </text>
    </comment>
    <comment ref="B153" authorId="0" shapeId="0" xr:uid="{7F8A6F88-5145-4A99-9924-D9AE21ADA2A1}">
      <text>
        <r>
          <rPr>
            <b/>
            <sz val="9"/>
            <color indexed="81"/>
            <rFont val="Tahoma"/>
            <family val="2"/>
          </rPr>
          <t>Li Li:</t>
        </r>
        <r>
          <rPr>
            <sz val="9"/>
            <color indexed="81"/>
            <rFont val="Tahoma"/>
            <family val="2"/>
          </rPr>
          <t xml:space="preserve">
Curve fitted with Table 5.2 in 2013 Canadian Exposure Factors Hanbook</t>
        </r>
      </text>
    </comment>
    <comment ref="C153" authorId="0" shapeId="0" xr:uid="{B658F3E7-3C2D-442D-865F-6BB2963542A5}">
      <text>
        <r>
          <rPr>
            <b/>
            <sz val="9"/>
            <color indexed="81"/>
            <rFont val="Tahoma"/>
            <family val="2"/>
          </rPr>
          <t>Li Li:</t>
        </r>
        <r>
          <rPr>
            <sz val="9"/>
            <color indexed="81"/>
            <rFont val="Tahoma"/>
            <family val="2"/>
          </rPr>
          <t xml:space="preserve">
Fitting data with ACC-Human default</t>
        </r>
      </text>
    </comment>
    <comment ref="B159" authorId="0" shapeId="0" xr:uid="{B7A08A9D-2D80-4311-A940-49D7FBF174C6}">
      <text>
        <r>
          <rPr>
            <b/>
            <sz val="9"/>
            <color indexed="81"/>
            <rFont val="Tahoma"/>
            <family val="2"/>
          </rPr>
          <t>Li Li:</t>
        </r>
        <r>
          <rPr>
            <sz val="9"/>
            <color indexed="81"/>
            <rFont val="Tahoma"/>
            <family val="2"/>
          </rPr>
          <t xml:space="preserve">
Numbers taken from Deurenberg et al., Int. J. Obes.,1998,22,1164-1171</t>
        </r>
      </text>
    </comment>
    <comment ref="C159" authorId="0" shapeId="0" xr:uid="{8FB98BAD-A0E6-43F4-A104-159C19EC49CC}">
      <text>
        <r>
          <rPr>
            <b/>
            <sz val="9"/>
            <color indexed="81"/>
            <rFont val="Tahoma"/>
            <family val="2"/>
          </rPr>
          <t>Li Li:</t>
        </r>
        <r>
          <rPr>
            <sz val="9"/>
            <color indexed="81"/>
            <rFont val="Tahoma"/>
            <family val="2"/>
          </rPr>
          <t xml:space="preserve">
Numbers taken from Deurenberg et al., Int. J. Obes.,1998,22,1164-1171</t>
        </r>
      </text>
    </comment>
    <comment ref="B160" authorId="0" shapeId="0" xr:uid="{B0982E63-4358-4754-B133-5F88406AF9A8}">
      <text>
        <r>
          <rPr>
            <b/>
            <sz val="9"/>
            <color indexed="81"/>
            <rFont val="Tahoma"/>
            <family val="2"/>
          </rPr>
          <t>Li Li:</t>
        </r>
        <r>
          <rPr>
            <sz val="9"/>
            <color indexed="81"/>
            <rFont val="Tahoma"/>
            <family val="2"/>
          </rPr>
          <t xml:space="preserve">
Numbers taken from Deurenberg et al., Int. J. Obes.,1998,22,1164-1171</t>
        </r>
      </text>
    </comment>
    <comment ref="C160" authorId="0" shapeId="0" xr:uid="{FACFD48C-7EC3-444B-9621-2617A8EA080E}">
      <text>
        <r>
          <rPr>
            <b/>
            <sz val="9"/>
            <color indexed="81"/>
            <rFont val="Tahoma"/>
            <family val="2"/>
          </rPr>
          <t>Li Li:</t>
        </r>
        <r>
          <rPr>
            <sz val="9"/>
            <color indexed="81"/>
            <rFont val="Tahoma"/>
            <family val="2"/>
          </rPr>
          <t xml:space="preserve">
Numbers taken from Deurenberg et al., Int. J. Obes.,1998,22,1164-1171</t>
        </r>
      </text>
    </comment>
    <comment ref="B161" authorId="0" shapeId="0" xr:uid="{EF4A1912-E0D2-4163-9469-BA28E748B419}">
      <text>
        <r>
          <rPr>
            <b/>
            <sz val="9"/>
            <color indexed="81"/>
            <rFont val="Tahoma"/>
            <family val="2"/>
          </rPr>
          <t>Li Li:</t>
        </r>
        <r>
          <rPr>
            <sz val="9"/>
            <color indexed="81"/>
            <rFont val="Tahoma"/>
            <family val="2"/>
          </rPr>
          <t xml:space="preserve">
Numbers taken from Deurenberg et al., Int. J. Obes.,1998,22,1164-1171</t>
        </r>
      </text>
    </comment>
    <comment ref="C161" authorId="0" shapeId="0" xr:uid="{D11F7D91-9552-469A-8AE7-BEC515CC96CE}">
      <text>
        <r>
          <rPr>
            <b/>
            <sz val="9"/>
            <color indexed="81"/>
            <rFont val="Tahoma"/>
            <family val="2"/>
          </rPr>
          <t>Li Li:</t>
        </r>
        <r>
          <rPr>
            <sz val="9"/>
            <color indexed="81"/>
            <rFont val="Tahoma"/>
            <family val="2"/>
          </rPr>
          <t xml:space="preserve">
Numbers taken from Deurenberg et al., Int. J. Obes.,1998,22,1164-1171</t>
        </r>
      </text>
    </comment>
    <comment ref="B162" authorId="0" shapeId="0" xr:uid="{71359E65-A584-48C8-ADD6-E8DE5F215E6C}">
      <text>
        <r>
          <rPr>
            <b/>
            <sz val="9"/>
            <color indexed="81"/>
            <rFont val="Tahoma"/>
            <family val="2"/>
          </rPr>
          <t>Li Li:</t>
        </r>
        <r>
          <rPr>
            <sz val="9"/>
            <color indexed="81"/>
            <rFont val="Tahoma"/>
            <family val="2"/>
          </rPr>
          <t xml:space="preserve">
Numbers taken from Deurenberg et al., Int. J. Obes.,1998,22,1164-1171</t>
        </r>
      </text>
    </comment>
    <comment ref="C162" authorId="0" shapeId="0" xr:uid="{85A23ED3-6BDB-4881-9035-0450F03013E0}">
      <text>
        <r>
          <rPr>
            <b/>
            <sz val="9"/>
            <color indexed="81"/>
            <rFont val="Tahoma"/>
            <family val="2"/>
          </rPr>
          <t>Li Li:</t>
        </r>
        <r>
          <rPr>
            <sz val="9"/>
            <color indexed="81"/>
            <rFont val="Tahoma"/>
            <family val="2"/>
          </rPr>
          <t xml:space="preserve">
Numbers taken from Deurenberg et al., Int. J. Obes.,1998,22,1164-1171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Li Li</author>
  </authors>
  <commentList>
    <comment ref="X19" authorId="0" shapeId="0" xr:uid="{BB8DCCF9-EE39-4B27-926E-BC52203BE5D0}">
      <text>
        <r>
          <rPr>
            <b/>
            <sz val="9"/>
            <color indexed="81"/>
            <rFont val="Tahoma"/>
            <family val="2"/>
          </rPr>
          <t>Note:</t>
        </r>
        <r>
          <rPr>
            <sz val="9"/>
            <color indexed="81"/>
            <rFont val="Tahoma"/>
            <family val="2"/>
          </rPr>
          <t xml:space="preserve">
Different from the numbers used in Li et al. Environ. Int. 2021, 146: 106266
This number makes more sense
</t>
        </r>
      </text>
    </comment>
    <comment ref="Y19" authorId="0" shapeId="0" xr:uid="{1342138E-7743-442D-A480-B82CFC7CC753}">
      <text>
        <r>
          <rPr>
            <b/>
            <sz val="9"/>
            <color indexed="81"/>
            <rFont val="Tahoma"/>
            <family val="2"/>
          </rPr>
          <t>Note:</t>
        </r>
        <r>
          <rPr>
            <sz val="9"/>
            <color indexed="81"/>
            <rFont val="Tahoma"/>
            <family val="2"/>
          </rPr>
          <t xml:space="preserve">
Different from the numbers used in Li et al. Environ. Int. 2021, 146: 106266
This number makes more sense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Li Li</author>
  </authors>
  <commentList>
    <comment ref="AE9" authorId="0" shapeId="0" xr:uid="{06871C36-CED9-4370-83CA-F250FFCEE87F}">
      <text>
        <r>
          <rPr>
            <b/>
            <sz val="9"/>
            <color indexed="81"/>
            <rFont val="Tahoma"/>
            <family val="2"/>
          </rPr>
          <t>Li Li:</t>
        </r>
        <r>
          <rPr>
            <sz val="9"/>
            <color indexed="81"/>
            <rFont val="Tahoma"/>
            <family val="2"/>
          </rPr>
          <t xml:space="preserve">
Please enter 0 if the intake is absent
Please enter NA if you would like the model to calculate intake rate for you</t>
        </r>
      </text>
    </comment>
    <comment ref="AP9" authorId="0" shapeId="0" xr:uid="{00000000-0006-0000-0500-000001000000}">
      <text>
        <r>
          <rPr>
            <b/>
            <sz val="9"/>
            <color indexed="81"/>
            <rFont val="Tahoma"/>
            <family val="2"/>
          </rPr>
          <t>Li Li:</t>
        </r>
        <r>
          <rPr>
            <sz val="9"/>
            <color indexed="81"/>
            <rFont val="Tahoma"/>
            <family val="2"/>
          </rPr>
          <t xml:space="preserve">
von Bertalanffy growth model
W(t) = Wmax *[1 - exp(-K*(t-t0))]^power</t>
        </r>
      </text>
    </comment>
    <comment ref="G11" authorId="0" shapeId="0" xr:uid="{00000000-0006-0000-0500-000003000000}">
      <text>
        <r>
          <rPr>
            <b/>
            <sz val="9"/>
            <color indexed="81"/>
            <rFont val="Tahoma"/>
            <family val="2"/>
          </rPr>
          <t xml:space="preserve">Li Li:
</t>
        </r>
        <r>
          <rPr>
            <sz val="9"/>
            <color indexed="81"/>
            <rFont val="Tahoma"/>
            <family val="2"/>
          </rPr>
          <t>Default value in RAIDAR v2.0, see Table SI-4 of Arnot and Mackay, Environ. Sci. Technol., 2008, 42, 4648-4654</t>
        </r>
      </text>
    </comment>
    <comment ref="I11" authorId="0" shapeId="0" xr:uid="{00000000-0006-0000-0500-000004000000}">
      <text>
        <r>
          <rPr>
            <b/>
            <sz val="9"/>
            <color indexed="81"/>
            <rFont val="Tahoma"/>
            <family val="2"/>
          </rPr>
          <t xml:space="preserve">Li Li:
</t>
        </r>
        <r>
          <rPr>
            <sz val="9"/>
            <color indexed="81"/>
            <rFont val="Tahoma"/>
            <family val="2"/>
          </rPr>
          <t>Default value in RAIDAR v2.0, see Table SI-4 of Arnot and Mackay, Environ. Sci. Technol., 2008, 42, 4648-4654</t>
        </r>
      </text>
    </comment>
    <comment ref="G12" authorId="0" shapeId="0" xr:uid="{00000000-0006-0000-0500-000005000000}">
      <text>
        <r>
          <rPr>
            <b/>
            <sz val="9"/>
            <color indexed="81"/>
            <rFont val="Tahoma"/>
            <family val="2"/>
          </rPr>
          <t>Li Li:</t>
        </r>
        <r>
          <rPr>
            <sz val="9"/>
            <color indexed="81"/>
            <rFont val="Tahoma"/>
            <family val="2"/>
          </rPr>
          <t xml:space="preserve">
Fat content: converted from 0.035 mass/mass by Czub et al. Environ. Toxicol. Chem. 2004, 23, 2356-2366, considering density of fish (1 g/cm3) and density of lipid (0.8 g/cm3).
Water content: default value in RAIDAR
Protein content: remainder</t>
        </r>
      </text>
    </comment>
    <comment ref="H12" authorId="0" shapeId="0" xr:uid="{76AFF248-2657-46B3-9FEB-2D740A70FBEC}">
      <text>
        <r>
          <rPr>
            <b/>
            <sz val="9"/>
            <color indexed="81"/>
            <rFont val="Tahoma"/>
            <family val="2"/>
          </rPr>
          <t>Li Li:</t>
        </r>
        <r>
          <rPr>
            <sz val="9"/>
            <color indexed="81"/>
            <rFont val="Tahoma"/>
            <family val="2"/>
          </rPr>
          <t xml:space="preserve">
Fat content: converted from 0.035 mass/mass by Czub et al. Environ. Toxicol. Chem. 2004, 23, 2356-2366, considering density of fish (1 g/cm3) and density of lipid (0.8 g/cm3).
Water content: default value in RAIDAR
Protein content: remainder</t>
        </r>
      </text>
    </comment>
    <comment ref="I12" authorId="0" shapeId="0" xr:uid="{6EE7F00E-316C-4061-98F7-B267C418F11A}">
      <text>
        <r>
          <rPr>
            <b/>
            <sz val="9"/>
            <color indexed="81"/>
            <rFont val="Tahoma"/>
            <family val="2"/>
          </rPr>
          <t>Li Li:</t>
        </r>
        <r>
          <rPr>
            <sz val="9"/>
            <color indexed="81"/>
            <rFont val="Tahoma"/>
            <family val="2"/>
          </rPr>
          <t xml:space="preserve">
Fat content: converted from 0.035 mass/mass by Czub et al. Environ. Toxicol. Chem. 2004, 23, 2356-2366, considering density of fish (1 g/cm3) and density of lipid (0.8 g/cm3).
Water content: default value in RAIDAR
Protein content: remainder</t>
        </r>
      </text>
    </comment>
    <comment ref="K12" authorId="0" shapeId="0" xr:uid="{00000000-0006-0000-0500-000007000000}">
      <text>
        <r>
          <rPr>
            <b/>
            <sz val="9"/>
            <color indexed="81"/>
            <rFont val="Tahoma"/>
            <family val="2"/>
          </rPr>
          <t>Li Li:</t>
        </r>
        <r>
          <rPr>
            <sz val="9"/>
            <color indexed="81"/>
            <rFont val="Tahoma"/>
            <family val="2"/>
          </rPr>
          <t xml:space="preserve">
Calculated based on default values for planktivorous fish in RAIDAR ver. 3.0 (total ingestion rate of 1.31E-7 m3/hr, bodyweight of 0.05kg).</t>
        </r>
      </text>
    </comment>
    <comment ref="AG12" authorId="0" shapeId="0" xr:uid="{0B49683E-AC63-4DE8-AE15-D9984F5D31B1}">
      <text>
        <r>
          <rPr>
            <b/>
            <sz val="9"/>
            <color indexed="81"/>
            <rFont val="Tahoma"/>
            <family val="2"/>
          </rPr>
          <t>Li Li:</t>
        </r>
        <r>
          <rPr>
            <sz val="9"/>
            <color indexed="81"/>
            <rFont val="Tahoma"/>
            <family val="2"/>
          </rPr>
          <t xml:space="preserve">
ACC-Human default:
BW normalized ventilation rate (m3water kg-1fish h-1)=
(1 / 24000) / (((fish weight in gram ^ 0.32) * (1 / 520 + 0.1 / Kow)))
Also because
(1/520 + 0.1/Kow)^(-1) = 962*(1.85+96.2/Kow)^(-1)
see Table S3 in SI of Czub et al. Environ. Toxicol. Chem. 2004,23,2356-2366
weight of herring is 35.8 g at the age of 3 in ACC-Human</t>
        </r>
      </text>
    </comment>
    <comment ref="AP12" authorId="0" shapeId="0" xr:uid="{00000000-0006-0000-0500-00000A000000}">
      <text>
        <r>
          <rPr>
            <b/>
            <sz val="9"/>
            <color indexed="81"/>
            <rFont val="Tahoma"/>
            <family val="2"/>
          </rPr>
          <t>Li Li:</t>
        </r>
        <r>
          <rPr>
            <sz val="9"/>
            <color indexed="81"/>
            <rFont val="Tahoma"/>
            <family val="2"/>
          </rPr>
          <t xml:space="preserve">
Slightly different from the parameters in Breivik et al. Environ. Int. 2010
because a higher asymptotic weight (Winf = 0.3kg) is reported by Brunel and Dickey-Collas, Mar. Ecol. Prog. Ser., 2010, 405, 15-28</t>
        </r>
      </text>
    </comment>
    <comment ref="AQ12" authorId="0" shapeId="0" xr:uid="{00000000-0006-0000-0500-00000B000000}">
      <text>
        <r>
          <rPr>
            <b/>
            <sz val="9"/>
            <color indexed="81"/>
            <rFont val="Tahoma"/>
            <family val="2"/>
          </rPr>
          <t>Li Li:</t>
        </r>
        <r>
          <rPr>
            <sz val="9"/>
            <color indexed="81"/>
            <rFont val="Tahoma"/>
            <family val="2"/>
          </rPr>
          <t xml:space="preserve">
Slightly different from the parameters in Breivik et al. Environ. Int. 2010
because a higher asymptotic weight (Winf = 0.3kg) is reported by Brunel and Dickey-Collas, Mar. Ecol. Prog. Ser., 2010, 405, 15-28</t>
        </r>
      </text>
    </comment>
    <comment ref="AR12" authorId="0" shapeId="0" xr:uid="{00000000-0006-0000-0500-00000C000000}">
      <text>
        <r>
          <rPr>
            <b/>
            <sz val="9"/>
            <color indexed="81"/>
            <rFont val="Tahoma"/>
            <family val="2"/>
          </rPr>
          <t>Li Li:</t>
        </r>
        <r>
          <rPr>
            <sz val="9"/>
            <color indexed="81"/>
            <rFont val="Tahoma"/>
            <family val="2"/>
          </rPr>
          <t xml:space="preserve">
Slightly different from the parameters in Breivik et al. Environ. Int. 2010
because a higher asymptotic weight (Winf = 0.3kg) is reported by Brunel and Dickey-Collas, Mar. Ecol. Prog. Ser., 2010, 405, 15-28</t>
        </r>
      </text>
    </comment>
    <comment ref="AS12" authorId="0" shapeId="0" xr:uid="{00000000-0006-0000-0500-00000D000000}">
      <text>
        <r>
          <rPr>
            <b/>
            <sz val="9"/>
            <color indexed="81"/>
            <rFont val="Tahoma"/>
            <family val="2"/>
          </rPr>
          <t>Li Li:</t>
        </r>
        <r>
          <rPr>
            <sz val="9"/>
            <color indexed="81"/>
            <rFont val="Tahoma"/>
            <family val="2"/>
          </rPr>
          <t xml:space="preserve">
Slightly different from the parameters in Breivik et al. Environ. Int. 2010
because a higher asymptotic weight (Winf = 0.3kg) is reported by Brunel and Dickey-Collas, Mar. Ecol. Prog. Ser., 2010, 405, 15-28</t>
        </r>
      </text>
    </comment>
    <comment ref="G13" authorId="0" shapeId="0" xr:uid="{00000000-0006-0000-0500-000012000000}">
      <text>
        <r>
          <rPr>
            <b/>
            <sz val="9"/>
            <color indexed="81"/>
            <rFont val="Tahoma"/>
            <family val="2"/>
          </rPr>
          <t>Li Li:</t>
        </r>
        <r>
          <rPr>
            <sz val="9"/>
            <color indexed="81"/>
            <rFont val="Tahoma"/>
            <family val="2"/>
          </rPr>
          <t xml:space="preserve">
Fat content: converted from 0.044 mass/mass by Czub et al. Environ. Toxicol. Chem. 2004, 23, 2356-2366, considering density of fish (1 g/cm3) and density of lipid (0.8 g/cm3).
Water content: default value in RAIDAR
Protein content: remainder</t>
        </r>
      </text>
    </comment>
    <comment ref="H13" authorId="0" shapeId="0" xr:uid="{442100D5-4A77-4ABB-9C91-C3B94098382B}">
      <text>
        <r>
          <rPr>
            <b/>
            <sz val="9"/>
            <color indexed="81"/>
            <rFont val="Tahoma"/>
            <family val="2"/>
          </rPr>
          <t>Li Li:</t>
        </r>
        <r>
          <rPr>
            <sz val="9"/>
            <color indexed="81"/>
            <rFont val="Tahoma"/>
            <family val="2"/>
          </rPr>
          <t xml:space="preserve">
Fat content: converted from 0.044 mass/mass by Czub et al. Environ. Toxicol. Chem. 2004, 23, 2356-2366, considering density of fish (1 g/cm3) and density of lipid (0.8 g/cm3).
Water content: default value in RAIDAR
Protein content: remainder</t>
        </r>
      </text>
    </comment>
    <comment ref="I13" authorId="0" shapeId="0" xr:uid="{87054975-A564-433B-A2C1-D4D4BDE51477}">
      <text>
        <r>
          <rPr>
            <b/>
            <sz val="9"/>
            <color indexed="81"/>
            <rFont val="Tahoma"/>
            <family val="2"/>
          </rPr>
          <t>Li Li:</t>
        </r>
        <r>
          <rPr>
            <sz val="9"/>
            <color indexed="81"/>
            <rFont val="Tahoma"/>
            <family val="2"/>
          </rPr>
          <t xml:space="preserve">
Fat content: converted from 0.044 mass/mass by Czub et al. Environ. Toxicol. Chem. 2004, 23, 2356-2366, considering density of fish (1 g/cm3) and density of lipid (0.8 g/cm3).
Water content: default value in RAIDAR
Protein content: remainder</t>
        </r>
      </text>
    </comment>
    <comment ref="K13" authorId="0" shapeId="0" xr:uid="{F07DB37E-57F3-4B66-AB51-62BCAB2C638C}">
      <text>
        <r>
          <rPr>
            <b/>
            <sz val="9"/>
            <color indexed="81"/>
            <rFont val="Tahoma"/>
            <family val="2"/>
          </rPr>
          <t>Li Li:</t>
        </r>
        <r>
          <rPr>
            <sz val="9"/>
            <color indexed="81"/>
            <rFont val="Tahoma"/>
            <family val="2"/>
          </rPr>
          <t xml:space="preserve">
Calculated based on default values for the omnivorous fish in RAIDAR ver. 3.0 (total ingestion rate of 6E-7 m3/hr, bodyweight of 0.3kg). Splited between plankton and herbivore fish based on the ACC-Human assumption that carnivorous fish feeds on 47% plankton + 53% planktivorous fish</t>
        </r>
      </text>
    </comment>
    <comment ref="L13" authorId="0" shapeId="0" xr:uid="{6D4A7096-81E8-44B0-B374-ECA12B1A066A}">
      <text>
        <r>
          <rPr>
            <b/>
            <sz val="9"/>
            <color indexed="81"/>
            <rFont val="Tahoma"/>
            <family val="2"/>
          </rPr>
          <t>Li Li:</t>
        </r>
        <r>
          <rPr>
            <sz val="9"/>
            <color indexed="81"/>
            <rFont val="Tahoma"/>
            <family val="2"/>
          </rPr>
          <t xml:space="preserve">
Calculated based on default values for the omnivorous fish in RAIDAR ver. 3.0 (total ingestion rate of 6E-7 m3/hr, bodyweight of 0.3kg). Splited between plankton and herbivore fish based on the ACC-Human assumption that carnivorous fish feeds on 47% plankton + 53% planktivorous fish</t>
        </r>
      </text>
    </comment>
    <comment ref="AG13" authorId="0" shapeId="0" xr:uid="{F5F8A180-6A10-468D-A551-0D6F36797497}">
      <text>
        <r>
          <rPr>
            <b/>
            <sz val="9"/>
            <color indexed="81"/>
            <rFont val="Tahoma"/>
            <family val="2"/>
          </rPr>
          <t>Li Li:</t>
        </r>
        <r>
          <rPr>
            <sz val="9"/>
            <color indexed="81"/>
            <rFont val="Tahoma"/>
            <family val="2"/>
          </rPr>
          <t xml:space="preserve">
ACC-Human default:
BW normalized ventilation rate (m3water kg-1fish h-1)=
(1 / 24000) / (((fish weight in gram ^ 0.32) * (1 / 520 + 0.1 / Kow)))
Also because
(1/520 + 0.1/Kow)^(-1) = 962*(1.85+96.2/Kow)^(-1)
see Table S3 in SI of Czub et al. Environ. Toxicol. Chem. 2004,23,2356-2366
weight of a cod is 498.8 g at the age of 3 in ACC-Human</t>
        </r>
      </text>
    </comment>
    <comment ref="AP13" authorId="0" shapeId="0" xr:uid="{00000000-0006-0000-0500-000018000000}">
      <text>
        <r>
          <rPr>
            <b/>
            <sz val="9"/>
            <color indexed="81"/>
            <rFont val="Tahoma"/>
            <family val="2"/>
          </rPr>
          <t>Li Li:</t>
        </r>
        <r>
          <rPr>
            <sz val="9"/>
            <color indexed="81"/>
            <rFont val="Tahoma"/>
            <family val="2"/>
          </rPr>
          <t xml:space="preserve">
The von Bertalanffy growth function in ACC-Human</t>
        </r>
      </text>
    </comment>
    <comment ref="AQ13" authorId="0" shapeId="0" xr:uid="{00000000-0006-0000-0500-000019000000}">
      <text>
        <r>
          <rPr>
            <b/>
            <sz val="9"/>
            <color indexed="81"/>
            <rFont val="Tahoma"/>
            <family val="2"/>
          </rPr>
          <t>Li Li:</t>
        </r>
        <r>
          <rPr>
            <sz val="9"/>
            <color indexed="81"/>
            <rFont val="Tahoma"/>
            <family val="2"/>
          </rPr>
          <t xml:space="preserve">
The von Bertalanffy growth function in ACC-Human</t>
        </r>
      </text>
    </comment>
    <comment ref="AR13" authorId="0" shapeId="0" xr:uid="{00000000-0006-0000-0500-00001A000000}">
      <text>
        <r>
          <rPr>
            <b/>
            <sz val="9"/>
            <color indexed="81"/>
            <rFont val="Tahoma"/>
            <family val="2"/>
          </rPr>
          <t>Li Li:</t>
        </r>
        <r>
          <rPr>
            <sz val="9"/>
            <color indexed="81"/>
            <rFont val="Tahoma"/>
            <family val="2"/>
          </rPr>
          <t xml:space="preserve">
The von Bertalanffy growth function in ACC-Human</t>
        </r>
      </text>
    </comment>
    <comment ref="AS13" authorId="0" shapeId="0" xr:uid="{00000000-0006-0000-0500-00001B000000}">
      <text>
        <r>
          <rPr>
            <b/>
            <sz val="9"/>
            <color indexed="81"/>
            <rFont val="Tahoma"/>
            <family val="2"/>
          </rPr>
          <t>Li Li:</t>
        </r>
        <r>
          <rPr>
            <sz val="9"/>
            <color indexed="81"/>
            <rFont val="Tahoma"/>
            <family val="2"/>
          </rPr>
          <t xml:space="preserve">
The von Bertalanffy growth function in ACC-Human</t>
        </r>
      </text>
    </comment>
    <comment ref="G14" authorId="0" shapeId="0" xr:uid="{00000000-0006-0000-0500-000020000000}">
      <text>
        <r>
          <rPr>
            <b/>
            <sz val="9"/>
            <color indexed="81"/>
            <rFont val="Tahoma"/>
            <family val="2"/>
          </rPr>
          <t>Li Li:</t>
        </r>
        <r>
          <rPr>
            <sz val="9"/>
            <color indexed="81"/>
            <rFont val="Tahoma"/>
            <family val="2"/>
          </rPr>
          <t xml:space="preserve">
All data taken from Table S1 in SI of Czub et al.Environ. Toxicol. Chem. 2004, 23, 2356-2366</t>
        </r>
      </text>
    </comment>
    <comment ref="I14" authorId="0" shapeId="0" xr:uid="{71B92563-9C15-4D71-9EA8-156A72D26ACD}">
      <text>
        <r>
          <rPr>
            <b/>
            <sz val="9"/>
            <color indexed="81"/>
            <rFont val="Tahoma"/>
            <family val="2"/>
          </rPr>
          <t>Li Li:</t>
        </r>
        <r>
          <rPr>
            <sz val="9"/>
            <color indexed="81"/>
            <rFont val="Tahoma"/>
            <family val="2"/>
          </rPr>
          <t xml:space="preserve">
All data taken from Table S1 in SI of Czub et al.Environ. Toxicol. Chem. 2004, 23, 2356-2366</t>
        </r>
      </text>
    </comment>
    <comment ref="J14" authorId="0" shapeId="0" xr:uid="{B9406E32-FAC3-4B73-BA4F-0379034D1EB1}">
      <text>
        <r>
          <rPr>
            <b/>
            <sz val="9"/>
            <color indexed="81"/>
            <rFont val="Tahoma"/>
            <family val="2"/>
          </rPr>
          <t>Li Li:</t>
        </r>
        <r>
          <rPr>
            <sz val="9"/>
            <color indexed="81"/>
            <rFont val="Tahoma"/>
            <family val="2"/>
          </rPr>
          <t xml:space="preserve">
All data taken from Table S1 in SI of Czub et al.Environ. Toxicol. Chem. 2004, 23, 2356-2366</t>
        </r>
      </text>
    </comment>
    <comment ref="AP14" authorId="0" shapeId="0" xr:uid="{00000000-0006-0000-0500-000024000000}">
      <text>
        <r>
          <rPr>
            <b/>
            <sz val="9"/>
            <color indexed="81"/>
            <rFont val="Tahoma"/>
            <family val="2"/>
          </rPr>
          <t>Li Li:</t>
        </r>
        <r>
          <rPr>
            <sz val="9"/>
            <color indexed="81"/>
            <rFont val="Tahoma"/>
            <family val="2"/>
          </rPr>
          <t xml:space="preserve">
Fitted results
In ACC-Human, "the yield of the
first, second, and third harvests contributed 45%, 40%, and 15% to the total crop, respectively"
That is, the grass grows 45% within 1/3 years.</t>
        </r>
      </text>
    </comment>
    <comment ref="AQ14" authorId="0" shapeId="0" xr:uid="{00000000-0006-0000-0500-000025000000}">
      <text>
        <r>
          <rPr>
            <b/>
            <sz val="9"/>
            <color indexed="81"/>
            <rFont val="Tahoma"/>
            <family val="2"/>
          </rPr>
          <t>Li Li:</t>
        </r>
        <r>
          <rPr>
            <sz val="9"/>
            <color indexed="81"/>
            <rFont val="Tahoma"/>
            <family val="2"/>
          </rPr>
          <t xml:space="preserve">
Fitted results
In ACC-Human, "the yield of the
first, second, and third harvests contributed 45%, 40%, and 15% to the total crop, respectively"
That is, the grass grows 45% within 1/3 years.</t>
        </r>
      </text>
    </comment>
    <comment ref="AR14" authorId="0" shapeId="0" xr:uid="{00000000-0006-0000-0500-000026000000}">
      <text>
        <r>
          <rPr>
            <b/>
            <sz val="9"/>
            <color indexed="81"/>
            <rFont val="Tahoma"/>
            <family val="2"/>
          </rPr>
          <t>Li Li:</t>
        </r>
        <r>
          <rPr>
            <sz val="9"/>
            <color indexed="81"/>
            <rFont val="Tahoma"/>
            <family val="2"/>
          </rPr>
          <t xml:space="preserve">
Fitted results
In ACC-Human, "the yield of the
first, second, and third harvests contributed 45%, 40%, and 15% to the total crop, respectively"
That is, the grass grows 45% within 1/3 years.</t>
        </r>
      </text>
    </comment>
    <comment ref="AS14" authorId="0" shapeId="0" xr:uid="{00000000-0006-0000-0500-000027000000}">
      <text>
        <r>
          <rPr>
            <b/>
            <sz val="9"/>
            <color indexed="81"/>
            <rFont val="Tahoma"/>
            <family val="2"/>
          </rPr>
          <t>Li Li:</t>
        </r>
        <r>
          <rPr>
            <sz val="9"/>
            <color indexed="81"/>
            <rFont val="Tahoma"/>
            <family val="2"/>
          </rPr>
          <t xml:space="preserve">
Fitted results
In ACC-Human, "the yield of the
first, second, and third harvests contributed 45%, 40%, and 15% to the total crop, respectively"
That is, the grass grows 45% within 1/3 years.</t>
        </r>
      </text>
    </comment>
    <comment ref="G15" authorId="0" shapeId="0" xr:uid="{4F9408E2-9ABE-4B43-86EF-2C9A09EDE989}">
      <text>
        <r>
          <rPr>
            <b/>
            <sz val="9"/>
            <color indexed="81"/>
            <rFont val="Tahoma"/>
            <family val="2"/>
          </rPr>
          <t>Li Li:</t>
        </r>
        <r>
          <rPr>
            <sz val="9"/>
            <color indexed="81"/>
            <rFont val="Tahoma"/>
            <family val="2"/>
          </rPr>
          <t xml:space="preserve">
All data taken from Table S1 in SI of Czub et al.Environ. Toxicol. Chem. 2004, 23, 2356-2366</t>
        </r>
      </text>
    </comment>
    <comment ref="I15" authorId="0" shapeId="0" xr:uid="{5FA07FBD-01E8-4DFD-B93E-124D560EA523}">
      <text>
        <r>
          <rPr>
            <b/>
            <sz val="9"/>
            <color indexed="81"/>
            <rFont val="Tahoma"/>
            <family val="2"/>
          </rPr>
          <t>Li Li:</t>
        </r>
        <r>
          <rPr>
            <sz val="9"/>
            <color indexed="81"/>
            <rFont val="Tahoma"/>
            <family val="2"/>
          </rPr>
          <t xml:space="preserve">
All data taken from Table S1 in SI of Czub et al.Environ. Toxicol. Chem. 2004, 23, 2356-2366</t>
        </r>
      </text>
    </comment>
    <comment ref="J15" authorId="0" shapeId="0" xr:uid="{B60EFDA5-6B90-48B0-A690-6C92C34920EE}">
      <text>
        <r>
          <rPr>
            <b/>
            <sz val="9"/>
            <color indexed="81"/>
            <rFont val="Tahoma"/>
            <family val="2"/>
          </rPr>
          <t>Li Li:</t>
        </r>
        <r>
          <rPr>
            <sz val="9"/>
            <color indexed="81"/>
            <rFont val="Tahoma"/>
            <family val="2"/>
          </rPr>
          <t xml:space="preserve">
All data taken from Table S1 in SI of Czub et al.Environ. Toxicol. Chem. 2004, 23, 2356-2366</t>
        </r>
      </text>
    </comment>
    <comment ref="G16" authorId="0" shapeId="0" xr:uid="{00000000-0006-0000-0500-000029000000}">
      <text>
        <r>
          <rPr>
            <b/>
            <sz val="9"/>
            <color indexed="81"/>
            <rFont val="Tahoma"/>
            <family val="2"/>
          </rPr>
          <t xml:space="preserve">Li Li:
</t>
        </r>
        <r>
          <rPr>
            <sz val="9"/>
            <color indexed="81"/>
            <rFont val="Tahoma"/>
            <family val="2"/>
          </rPr>
          <t>Taken from default values in RAIDAR v3.0</t>
        </r>
      </text>
    </comment>
    <comment ref="H16" authorId="0" shapeId="0" xr:uid="{CB9E0704-C410-4219-9232-848A3B64043C}">
      <text>
        <r>
          <rPr>
            <b/>
            <sz val="9"/>
            <color indexed="81"/>
            <rFont val="Tahoma"/>
            <family val="2"/>
          </rPr>
          <t xml:space="preserve">Li Li:
</t>
        </r>
        <r>
          <rPr>
            <sz val="9"/>
            <color indexed="81"/>
            <rFont val="Tahoma"/>
            <family val="2"/>
          </rPr>
          <t>Taken from default values in RAIDAR v3.0</t>
        </r>
      </text>
    </comment>
    <comment ref="I16" authorId="0" shapeId="0" xr:uid="{FBD73B77-2AB7-447C-B489-9A5EEA3E6B49}">
      <text>
        <r>
          <rPr>
            <b/>
            <sz val="9"/>
            <color indexed="81"/>
            <rFont val="Tahoma"/>
            <family val="2"/>
          </rPr>
          <t xml:space="preserve">Li Li:
</t>
        </r>
        <r>
          <rPr>
            <sz val="9"/>
            <color indexed="81"/>
            <rFont val="Tahoma"/>
            <family val="2"/>
          </rPr>
          <t>Taken from default values in RAIDAR v3.0</t>
        </r>
      </text>
    </comment>
    <comment ref="AH16" authorId="0" shapeId="0" xr:uid="{00000000-0006-0000-0500-00002B000000}">
      <text>
        <r>
          <rPr>
            <b/>
            <sz val="9"/>
            <color indexed="81"/>
            <rFont val="Tahoma"/>
            <family val="2"/>
          </rPr>
          <t>Li Li:</t>
        </r>
        <r>
          <rPr>
            <sz val="9"/>
            <color indexed="81"/>
            <rFont val="Tahoma"/>
            <family val="2"/>
          </rPr>
          <t xml:space="preserve">
For sub-adult earthworm
body weight = 1E-4 kg
feeding rate = 2.1E-7 m3/d
Amitage and Gobas, Environ. Sci. Technol. 2007, 41, 4019-4025</t>
        </r>
      </text>
    </comment>
    <comment ref="AQ16" authorId="0" shapeId="0" xr:uid="{00000000-0006-0000-0500-00002C000000}">
      <text>
        <r>
          <rPr>
            <b/>
            <sz val="9"/>
            <color indexed="81"/>
            <rFont val="Tahoma"/>
            <family val="2"/>
          </rPr>
          <t>Li Li:</t>
        </r>
        <r>
          <rPr>
            <sz val="9"/>
            <color indexed="81"/>
            <rFont val="Tahoma"/>
            <family val="2"/>
          </rPr>
          <t xml:space="preserve">
For sub-adult earthworm
body weight = 1E-4 kg
air exchange = 1.2E-7 m3/d
Amitage and Gobas, Environ. Sci. Technol. 2007, 41, 4019-4025</t>
        </r>
      </text>
    </comment>
    <comment ref="AR16" authorId="0" shapeId="0" xr:uid="{00000000-0006-0000-0500-00002D000000}">
      <text>
        <r>
          <rPr>
            <b/>
            <sz val="9"/>
            <color indexed="81"/>
            <rFont val="Tahoma"/>
            <family val="2"/>
          </rPr>
          <t>Li Li:</t>
        </r>
        <r>
          <rPr>
            <sz val="9"/>
            <color indexed="81"/>
            <rFont val="Tahoma"/>
            <family val="2"/>
          </rPr>
          <t xml:space="preserve">
For sub-adult earthworm
body weight = 1E-4 kg
air exchange = 1.2E-7 m3/d
Amitage and Gobas, Environ. Sci. Technol. 2007, 41, 4019-4025</t>
        </r>
      </text>
    </comment>
    <comment ref="C17" authorId="0" shapeId="0" xr:uid="{00000000-0006-0000-0500-000030000000}">
      <text>
        <r>
          <rPr>
            <b/>
            <sz val="9"/>
            <color indexed="81"/>
            <rFont val="Tahoma"/>
            <family val="2"/>
          </rPr>
          <t>Li Li:</t>
        </r>
        <r>
          <rPr>
            <sz val="9"/>
            <color indexed="81"/>
            <rFont val="Tahoma"/>
            <family val="2"/>
          </rPr>
          <t xml:space="preserve">
"The steer is then fed for 28 months until slaughter."
see: Czub et al.Environ. Toxicol. Chem. 2004,23,2356-2366</t>
        </r>
      </text>
    </comment>
    <comment ref="G17" authorId="0" shapeId="0" xr:uid="{00000000-0006-0000-0500-000031000000}">
      <text>
        <r>
          <rPr>
            <b/>
            <sz val="9"/>
            <color indexed="81"/>
            <rFont val="Tahoma"/>
            <family val="2"/>
          </rPr>
          <t>Li Li:</t>
        </r>
        <r>
          <rPr>
            <sz val="9"/>
            <color indexed="81"/>
            <rFont val="Tahoma"/>
            <family val="2"/>
          </rPr>
          <t xml:space="preserve">
See Table S1 in SI of Czub et al.Environ. Toxicol. Chem. 2004,23,2356-2366</t>
        </r>
      </text>
    </comment>
    <comment ref="H17" authorId="0" shapeId="0" xr:uid="{39E3D532-51B9-4750-8D27-BD19CB70AF3E}">
      <text>
        <r>
          <rPr>
            <b/>
            <sz val="9"/>
            <color indexed="81"/>
            <rFont val="Tahoma"/>
            <family val="2"/>
          </rPr>
          <t>Li Li:</t>
        </r>
        <r>
          <rPr>
            <sz val="9"/>
            <color indexed="81"/>
            <rFont val="Tahoma"/>
            <family val="2"/>
          </rPr>
          <t xml:space="preserve">
See Table S1 in SI of Czub et al.Environ. Toxicol. Chem. 2004,23,2356-2366</t>
        </r>
      </text>
    </comment>
    <comment ref="I17" authorId="0" shapeId="0" xr:uid="{00000000-0006-0000-0500-000032000000}">
      <text>
        <r>
          <rPr>
            <b/>
            <sz val="9"/>
            <color indexed="81"/>
            <rFont val="Tahoma"/>
            <family val="2"/>
          </rPr>
          <t>Li Li:</t>
        </r>
        <r>
          <rPr>
            <sz val="9"/>
            <color indexed="81"/>
            <rFont val="Tahoma"/>
            <family val="2"/>
          </rPr>
          <t xml:space="preserve">
See Table S1 in SI of Czub et al.Environ. Toxicol. Chem. 2004,23,2356-2366</t>
        </r>
      </text>
    </comment>
    <comment ref="N17" authorId="0" shapeId="0" xr:uid="{00000000-0006-0000-0500-000033000000}">
      <text>
        <r>
          <rPr>
            <b/>
            <sz val="9"/>
            <color indexed="81"/>
            <rFont val="Tahoma"/>
            <family val="2"/>
          </rPr>
          <t>Li Li:</t>
        </r>
        <r>
          <rPr>
            <sz val="9"/>
            <color indexed="81"/>
            <rFont val="Tahoma"/>
            <family val="2"/>
          </rPr>
          <t xml:space="preserve">
Beef cattle
At brith  vs.   At slaughter
Lipid volume (m3): 0.01  vs.  0.15
--&gt; Lipid weight (kg): 8 vs. 120
--&gt; Total body weight (kg): 40 vs. 600
grass consumption (dry-weight, kg/d): 3.5 vs. 13
grass dry-weight density (kg/m3): 2000
fraction of contamination due to grass consumption: 0.8
BW normalized food uptake rate can be calculated accordingly.</t>
        </r>
      </text>
    </comment>
    <comment ref="AF17" authorId="0" shapeId="0" xr:uid="{9BC89790-D176-4345-8150-4306754762C5}">
      <text>
        <r>
          <rPr>
            <b/>
            <sz val="9"/>
            <color indexed="81"/>
            <rFont val="Tahoma"/>
            <family val="2"/>
          </rPr>
          <t>Li Li:</t>
        </r>
        <r>
          <rPr>
            <sz val="9"/>
            <color indexed="81"/>
            <rFont val="Tahoma"/>
            <family val="2"/>
          </rPr>
          <t xml:space="preserve">
Beef cattle
At brith  vs.   At slaughter
Lipid volume (m3): 0.01  vs.  0.15
--&gt; Lipid weight (kg): 8 vs. 120
--&gt; Total body weight (kg): 40 vs. 600
Inhalation (m3/d): 13 vs. 150
BW normalized inhalation rate can be calculated accordingly.</t>
        </r>
      </text>
    </comment>
    <comment ref="AG17" authorId="0" shapeId="0" xr:uid="{B46690AE-E430-4F00-8BB9-89EFAD0C9468}">
      <text>
        <r>
          <rPr>
            <b/>
            <sz val="9"/>
            <color indexed="81"/>
            <rFont val="Tahoma"/>
            <family val="2"/>
          </rPr>
          <t>Li Li:</t>
        </r>
        <r>
          <rPr>
            <sz val="9"/>
            <color indexed="81"/>
            <rFont val="Tahoma"/>
            <family val="2"/>
          </rPr>
          <t xml:space="preserve">
Beef cattle
At brith  vs.   At slaughter
Lipid volume (m3): 0.01  vs.  0.15
--&gt; Lipid weight (kg): 8 vs. 120
--&gt; Total body weight (kg): 40 vs. 600
Water uptake (L/d): 6 vs. 50
BW normalized drinking rate can be calculated accordingly.</t>
        </r>
      </text>
    </comment>
    <comment ref="AH17" authorId="0" shapeId="0" xr:uid="{4EB6FBA4-0CE1-40BD-B683-ACAECD759F63}">
      <text>
        <r>
          <rPr>
            <b/>
            <sz val="9"/>
            <color indexed="81"/>
            <rFont val="Tahoma"/>
            <family val="2"/>
          </rPr>
          <t>Li Li:</t>
        </r>
        <r>
          <rPr>
            <sz val="9"/>
            <color indexed="81"/>
            <rFont val="Tahoma"/>
            <family val="2"/>
          </rPr>
          <t xml:space="preserve">
SC*OCP / (DNoc * VFOP) * DN_Grass_dw_pro_fw
in which,
SC: Soil content, 0.023 g/g-dw
OCP: mass fractions of organic carbon in soil, 0.02
DNoc: density of organic matter, 1000000 g/m3         
VFOP: volume fraction of organic carbon in soil particles, 0.05 (calculated based on default data in ACC-Human)
DN_Grass_dw_pro_fw: dw "density", 200000 g-dw/m3-fw</t>
        </r>
      </text>
    </comment>
    <comment ref="AP17" authorId="0" shapeId="0" xr:uid="{00000000-0006-0000-0500-000036000000}">
      <text>
        <r>
          <rPr>
            <b/>
            <sz val="9"/>
            <color indexed="81"/>
            <rFont val="Tahoma"/>
            <family val="2"/>
          </rPr>
          <t>Li Li:</t>
        </r>
        <r>
          <rPr>
            <sz val="9"/>
            <color indexed="81"/>
            <rFont val="Tahoma"/>
            <family val="2"/>
          </rPr>
          <t xml:space="preserve">
ACC-Human assumes:
beef lipid volume at birth and slaughter is 0.01 and 0.15 m3, respectively; and
lipid content (mass/mass) is constantly 0.2;</t>
        </r>
      </text>
    </comment>
    <comment ref="AQ17" authorId="0" shapeId="0" xr:uid="{00000000-0006-0000-0500-000037000000}">
      <text>
        <r>
          <rPr>
            <b/>
            <sz val="9"/>
            <color indexed="81"/>
            <rFont val="Tahoma"/>
            <family val="2"/>
          </rPr>
          <t>Li Li:</t>
        </r>
        <r>
          <rPr>
            <sz val="9"/>
            <color indexed="81"/>
            <rFont val="Tahoma"/>
            <family val="2"/>
          </rPr>
          <t xml:space="preserve">
ACC-Human assumes:
beef lipid volume at birth and slaughter is 0.01 and 0.15 m3, respectively; and
lipid content (mass/mass) is constantly 0.2;</t>
        </r>
      </text>
    </comment>
    <comment ref="AR17" authorId="0" shapeId="0" xr:uid="{00000000-0006-0000-0500-000038000000}">
      <text>
        <r>
          <rPr>
            <b/>
            <sz val="9"/>
            <color indexed="81"/>
            <rFont val="Tahoma"/>
            <family val="2"/>
          </rPr>
          <t>Li Li:</t>
        </r>
        <r>
          <rPr>
            <sz val="9"/>
            <color indexed="81"/>
            <rFont val="Tahoma"/>
            <family val="2"/>
          </rPr>
          <t xml:space="preserve">
ACC-Human assumes:
beef lipid volume at birth and slaughter is 0.01 and 0.15 m3, respectively; and
lipid content (mass/mass) is constantly 0.2;</t>
        </r>
      </text>
    </comment>
    <comment ref="AS17" authorId="0" shapeId="0" xr:uid="{00000000-0006-0000-0500-000039000000}">
      <text>
        <r>
          <rPr>
            <b/>
            <sz val="9"/>
            <color indexed="81"/>
            <rFont val="Tahoma"/>
            <family val="2"/>
          </rPr>
          <t>Li Li:</t>
        </r>
        <r>
          <rPr>
            <sz val="9"/>
            <color indexed="81"/>
            <rFont val="Tahoma"/>
            <family val="2"/>
          </rPr>
          <t xml:space="preserve">
ACC-Human assumes:
beef lipid volume at birth and slaughter is 0.01 and 0.15 m3, respectively; and
lipid content (mass/mass) is constantly 0.2;</t>
        </r>
      </text>
    </comment>
    <comment ref="G18" authorId="0" shapeId="0" xr:uid="{00000000-0006-0000-0500-00003C000000}">
      <text>
        <r>
          <rPr>
            <b/>
            <sz val="9"/>
            <color indexed="81"/>
            <rFont val="Tahoma"/>
            <family val="2"/>
          </rPr>
          <t>Li Li:</t>
        </r>
        <r>
          <rPr>
            <sz val="9"/>
            <color indexed="81"/>
            <rFont val="Tahoma"/>
            <family val="2"/>
          </rPr>
          <t xml:space="preserve">
See Table S1 in SI of Czub et al.Environ. Toxicol. Chem. 2004,23,2356-2366</t>
        </r>
      </text>
    </comment>
    <comment ref="H18" authorId="0" shapeId="0" xr:uid="{0B93C7EF-24EC-4642-91C2-28D47D834ED2}">
      <text>
        <r>
          <rPr>
            <b/>
            <sz val="9"/>
            <color indexed="81"/>
            <rFont val="Tahoma"/>
            <family val="2"/>
          </rPr>
          <t>Li Li:</t>
        </r>
        <r>
          <rPr>
            <sz val="9"/>
            <color indexed="81"/>
            <rFont val="Tahoma"/>
            <family val="2"/>
          </rPr>
          <t xml:space="preserve">
See Table S1 in SI of Czub et al.Environ. Toxicol. Chem. 2004,23,2356-2366</t>
        </r>
      </text>
    </comment>
    <comment ref="I18" authorId="0" shapeId="0" xr:uid="{00000000-0006-0000-0500-00003D000000}">
      <text>
        <r>
          <rPr>
            <b/>
            <sz val="9"/>
            <color indexed="81"/>
            <rFont val="Tahoma"/>
            <family val="2"/>
          </rPr>
          <t>Li Li:</t>
        </r>
        <r>
          <rPr>
            <sz val="9"/>
            <color indexed="81"/>
            <rFont val="Tahoma"/>
            <family val="2"/>
          </rPr>
          <t xml:space="preserve">
See Table S1 in SI of Czub et al.Environ. Toxicol. Chem. 2004,23,2356-2366</t>
        </r>
      </text>
    </comment>
    <comment ref="N18" authorId="0" shapeId="0" xr:uid="{00000000-0006-0000-0500-00003E000000}">
      <text>
        <r>
          <rPr>
            <b/>
            <sz val="9"/>
            <color indexed="81"/>
            <rFont val="Tahoma"/>
            <family val="2"/>
          </rPr>
          <t>Li Li:</t>
        </r>
        <r>
          <rPr>
            <sz val="9"/>
            <color indexed="81"/>
            <rFont val="Tahoma"/>
            <family val="2"/>
          </rPr>
          <t xml:space="preserve">
Milk cow: 
lipid volume in milk cow (m3): 0.1
lipid content in milk cow: 0.2
density of milk cow (kg/m3): 1000
grass consumption (dry-weight, kg/d): 13
grass dry-weight density (kg/m3): 200
fraction of contamination due to grass consumption: 0.8
BW normalized food uptake rate can be calculated accordingly.</t>
        </r>
      </text>
    </comment>
    <comment ref="AF18" authorId="0" shapeId="0" xr:uid="{E3521839-1F75-428F-B7BE-3A3BCE199D94}">
      <text>
        <r>
          <rPr>
            <b/>
            <sz val="9"/>
            <color indexed="81"/>
            <rFont val="Tahoma"/>
            <family val="2"/>
          </rPr>
          <t>Li Li:</t>
        </r>
        <r>
          <rPr>
            <sz val="9"/>
            <color indexed="81"/>
            <rFont val="Tahoma"/>
            <family val="2"/>
          </rPr>
          <t xml:space="preserve">
ACC-Human defaults: 
lipid volume in milk cow (m3): 0.1
lipid content in milk cow: 0.2
density of milk cow (kg/m3): 1000
--&gt; weight of milk cow (kg): 500
Inhalation (m3/d): 150
BW normalized inhalation rate can be calculated accordingly.</t>
        </r>
      </text>
    </comment>
    <comment ref="AG18" authorId="0" shapeId="0" xr:uid="{A53148AA-4B69-4715-836E-0E5FA5E4F48D}">
      <text>
        <r>
          <rPr>
            <b/>
            <sz val="9"/>
            <color indexed="81"/>
            <rFont val="Tahoma"/>
            <family val="2"/>
          </rPr>
          <t>Li Li:</t>
        </r>
        <r>
          <rPr>
            <sz val="9"/>
            <color indexed="81"/>
            <rFont val="Tahoma"/>
            <family val="2"/>
          </rPr>
          <t xml:space="preserve">
ACC-Human defaults: 
lipid volume in milk cow (m3): 0.1
lipid content in milk cow: 0.2
density of milk cow (kg/m3): 1000
--&gt; weight of milk cow (kg): 500
Water uptake (m3/d): 0.05
BW normalized inhalation rate can be calculated accordingly.</t>
        </r>
      </text>
    </comment>
    <comment ref="AH18" authorId="0" shapeId="0" xr:uid="{960D9A66-D676-4075-91AC-B21D0831FF88}">
      <text>
        <r>
          <rPr>
            <b/>
            <sz val="9"/>
            <color indexed="81"/>
            <rFont val="Tahoma"/>
            <family val="2"/>
          </rPr>
          <t>Li Li:</t>
        </r>
        <r>
          <rPr>
            <sz val="9"/>
            <color indexed="81"/>
            <rFont val="Tahoma"/>
            <family val="2"/>
          </rPr>
          <t xml:space="preserve">
ACC-Human defaults: 
lipid volume in milk cow (m3): 0.1
lipid content in milk cow: 0.2
density of milk cow (kg/m3): 1000
--&gt; weight of milk cow (kg): 500
soil consumption (g/d): 300
density of soil= OCP / (DNoc * VFOP)
in which,
OCP: mass fractions of organic carbon in soil, 0.02
DNoc: density of organic matter, 1000000 g/m3         
VFOP: volume fraction of organic carbon in soil particles, 0.05 (calculated based on default data in ACC-Human)</t>
        </r>
      </text>
    </comment>
    <comment ref="AM18" authorId="0" shapeId="0" xr:uid="{00000000-0006-0000-0500-000041000000}">
      <text>
        <r>
          <rPr>
            <b/>
            <sz val="9"/>
            <color indexed="81"/>
            <rFont val="Tahoma"/>
            <family val="2"/>
          </rPr>
          <t>Li Li:</t>
        </r>
        <r>
          <rPr>
            <sz val="9"/>
            <color indexed="81"/>
            <rFont val="Tahoma"/>
            <family val="2"/>
          </rPr>
          <t xml:space="preserve">
ACC-Human default value</t>
        </r>
      </text>
    </comment>
    <comment ref="AP18" authorId="0" shapeId="0" xr:uid="{00000000-0006-0000-0500-000042000000}">
      <text>
        <r>
          <rPr>
            <b/>
            <sz val="9"/>
            <color indexed="81"/>
            <rFont val="Tahoma"/>
            <family val="2"/>
          </rPr>
          <t>Li Li:</t>
        </r>
        <r>
          <rPr>
            <sz val="9"/>
            <color indexed="81"/>
            <rFont val="Tahoma"/>
            <family val="2"/>
          </rPr>
          <t xml:space="preserve">
The "empty body weight" (i.e., the live body weight without the gut contents) in Bogdal et al., Environ. Sci. Technol. 2017, 51, 10536-10545</t>
        </r>
      </text>
    </comment>
    <comment ref="AQ18" authorId="0" shapeId="0" xr:uid="{00000000-0006-0000-0500-000043000000}">
      <text>
        <r>
          <rPr>
            <b/>
            <sz val="9"/>
            <color indexed="81"/>
            <rFont val="Tahoma"/>
            <family val="2"/>
          </rPr>
          <t>Li Li:</t>
        </r>
        <r>
          <rPr>
            <sz val="9"/>
            <color indexed="81"/>
            <rFont val="Tahoma"/>
            <family val="2"/>
          </rPr>
          <t xml:space="preserve">
The "empty body weight" (i.e., the live body weight without the gut contents) in Bogdal et al., Environ. Sci. Technol. 2017, 51, 10536-10545</t>
        </r>
      </text>
    </comment>
    <comment ref="AR18" authorId="0" shapeId="0" xr:uid="{00000000-0006-0000-0500-000044000000}">
      <text>
        <r>
          <rPr>
            <b/>
            <sz val="9"/>
            <color indexed="81"/>
            <rFont val="Tahoma"/>
            <family val="2"/>
          </rPr>
          <t>Li Li:</t>
        </r>
        <r>
          <rPr>
            <sz val="9"/>
            <color indexed="81"/>
            <rFont val="Tahoma"/>
            <family val="2"/>
          </rPr>
          <t xml:space="preserve">
The "empty body weight" (i.e., the live body weight without the gut contents) in Bogdal et al., Environ. Sci. Technol. 2017, 51, 10536-10545</t>
        </r>
      </text>
    </comment>
    <comment ref="AS18" authorId="0" shapeId="0" xr:uid="{00000000-0006-0000-0500-000045000000}">
      <text>
        <r>
          <rPr>
            <b/>
            <sz val="9"/>
            <color indexed="81"/>
            <rFont val="Tahoma"/>
            <family val="2"/>
          </rPr>
          <t>Li Li:</t>
        </r>
        <r>
          <rPr>
            <sz val="9"/>
            <color indexed="81"/>
            <rFont val="Tahoma"/>
            <family val="2"/>
          </rPr>
          <t xml:space="preserve">
The "empty body weight" (i.e., the live body weight without the gut contents) in Bogdal et al., Environ. Sci. Technol. 2017, 51, 10536-10545</t>
        </r>
      </text>
    </comment>
    <comment ref="AT18" authorId="0" shapeId="0" xr:uid="{DBC9D952-04DB-45CB-A2B1-3BB81B2E6DAD}">
      <text>
        <r>
          <rPr>
            <b/>
            <sz val="9"/>
            <color indexed="81"/>
            <rFont val="Tahoma"/>
            <family val="2"/>
          </rPr>
          <t>Li Li:</t>
        </r>
        <r>
          <rPr>
            <sz val="9"/>
            <color indexed="81"/>
            <rFont val="Tahoma"/>
            <family val="2"/>
          </rPr>
          <t xml:space="preserve">
Converted based on 
5.5 = lipid content (%) in bovine milk
21 = lipid content (%) in cattle</t>
        </r>
      </text>
    </comment>
    <comment ref="C19" authorId="0" shapeId="0" xr:uid="{00000000-0006-0000-0500-000048000000}">
      <text>
        <r>
          <rPr>
            <b/>
            <sz val="9"/>
            <color indexed="81"/>
            <rFont val="Tahoma"/>
            <family val="2"/>
          </rPr>
          <t>Li Li:</t>
        </r>
        <r>
          <rPr>
            <sz val="9"/>
            <color indexed="81"/>
            <rFont val="Tahoma"/>
            <family val="2"/>
          </rPr>
          <t xml:space="preserve">
Aggrey, Poultry Science, 2002, 81, 1782–1788</t>
        </r>
      </text>
    </comment>
    <comment ref="G19" authorId="0" shapeId="0" xr:uid="{28174BA9-D6FC-4148-8BDE-E59AFED6A990}">
      <text>
        <r>
          <rPr>
            <b/>
            <sz val="9"/>
            <color indexed="81"/>
            <rFont val="Tahoma"/>
            <family val="2"/>
          </rPr>
          <t xml:space="preserve">Li Li:
</t>
        </r>
        <r>
          <rPr>
            <sz val="9"/>
            <color indexed="81"/>
            <rFont val="Tahoma"/>
            <family val="2"/>
          </rPr>
          <t>Taken from default values in RAIDAR v3.0</t>
        </r>
      </text>
    </comment>
    <comment ref="H19" authorId="0" shapeId="0" xr:uid="{6B32FD3E-722E-4196-9B8B-E12F7319BFB9}">
      <text>
        <r>
          <rPr>
            <b/>
            <sz val="9"/>
            <color indexed="81"/>
            <rFont val="Tahoma"/>
            <family val="2"/>
          </rPr>
          <t xml:space="preserve">Li Li:
</t>
        </r>
        <r>
          <rPr>
            <sz val="9"/>
            <color indexed="81"/>
            <rFont val="Tahoma"/>
            <family val="2"/>
          </rPr>
          <t>Taken from default values in RAIDAR v3.0</t>
        </r>
      </text>
    </comment>
    <comment ref="I19" authorId="0" shapeId="0" xr:uid="{0FB8E392-61FE-4F48-8533-4034FCA48BD9}">
      <text>
        <r>
          <rPr>
            <b/>
            <sz val="9"/>
            <color indexed="81"/>
            <rFont val="Tahoma"/>
            <family val="2"/>
          </rPr>
          <t xml:space="preserve">Li Li:
</t>
        </r>
        <r>
          <rPr>
            <sz val="9"/>
            <color indexed="81"/>
            <rFont val="Tahoma"/>
            <family val="2"/>
          </rPr>
          <t>Taken from default values in RAIDAR v3.0</t>
        </r>
      </text>
    </comment>
    <comment ref="N19" authorId="0" shapeId="0" xr:uid="{00000000-0006-0000-0500-00004B000000}">
      <text>
        <r>
          <rPr>
            <b/>
            <sz val="9"/>
            <color indexed="81"/>
            <rFont val="Tahoma"/>
            <family val="2"/>
          </rPr>
          <t>Li Li:</t>
        </r>
        <r>
          <rPr>
            <sz val="9"/>
            <color indexed="81"/>
            <rFont val="Tahoma"/>
            <family val="2"/>
          </rPr>
          <t xml:space="preserve">
Calculated based on default values in RAIDAR v2.0, see Table SI-4 and Table SI-7 of Arnot and Mackay, Environ. Sci. Technol., 2008, 42, 4648-4654
Here, we futher assume the food is from 80% of grass and 20% of invertebrate</t>
        </r>
      </text>
    </comment>
    <comment ref="P19" authorId="0" shapeId="0" xr:uid="{00000000-0006-0000-0500-00004C000000}">
      <text>
        <r>
          <rPr>
            <b/>
            <sz val="9"/>
            <color indexed="81"/>
            <rFont val="Tahoma"/>
            <family val="2"/>
          </rPr>
          <t>Li Li:</t>
        </r>
        <r>
          <rPr>
            <sz val="9"/>
            <color indexed="81"/>
            <rFont val="Tahoma"/>
            <family val="2"/>
          </rPr>
          <t xml:space="preserve">
Calculated based on default values in RAIDAR v2.0, see Table SI-4 and Table SI-7 of Arnot and Mackay, Environ. Sci. Technol., 2008, 42, 4648-4654
Here, we futher assume the food is from 80% of grass and 20% of invertebrate</t>
        </r>
      </text>
    </comment>
    <comment ref="AF19" authorId="0" shapeId="0" xr:uid="{B6B8C565-EA68-4C9F-9131-3F562EABA40B}">
      <text>
        <r>
          <rPr>
            <b/>
            <sz val="9"/>
            <color indexed="81"/>
            <rFont val="Tahoma"/>
            <family val="2"/>
          </rPr>
          <t xml:space="preserve">Li Li:
</t>
        </r>
        <r>
          <rPr>
            <sz val="9"/>
            <color indexed="81"/>
            <rFont val="Tahoma"/>
            <family val="2"/>
          </rPr>
          <t>Default value in RAIDAR v2.0, see Table SI-4 of Arnot and Mackay, Environ. Sci. Technol., 2008, 42, 4648-4654</t>
        </r>
      </text>
    </comment>
    <comment ref="AG19" authorId="0" shapeId="0" xr:uid="{0677B23F-1E4E-4073-86E6-0641267C4DAC}">
      <text>
        <r>
          <rPr>
            <b/>
            <sz val="9"/>
            <color indexed="81"/>
            <rFont val="Tahoma"/>
            <family val="2"/>
          </rPr>
          <t xml:space="preserve">Li Li:
</t>
        </r>
        <r>
          <rPr>
            <sz val="9"/>
            <color indexed="81"/>
            <rFont val="Tahoma"/>
            <family val="2"/>
          </rPr>
          <t>Default value in RAIDAR v2.0, see Table SI-4 of Arnot and Mackay, Environ. Sci. Technol., 2008, 42, 4648-4654</t>
        </r>
      </text>
    </comment>
    <comment ref="AP19" authorId="0" shapeId="0" xr:uid="{00000000-0006-0000-0500-00004D000000}">
      <text>
        <r>
          <rPr>
            <b/>
            <sz val="9"/>
            <color indexed="81"/>
            <rFont val="Tahoma"/>
            <family val="2"/>
          </rPr>
          <t>Li Li:</t>
        </r>
        <r>
          <rPr>
            <sz val="9"/>
            <color indexed="81"/>
            <rFont val="Tahoma"/>
            <family val="2"/>
          </rPr>
          <t xml:space="preserve">
Gompertz-Laird Model for male chicken. See: Aggrey, Poultry Science, 2002, 81, 1782–1788</t>
        </r>
      </text>
    </comment>
    <comment ref="AQ19" authorId="0" shapeId="0" xr:uid="{00000000-0006-0000-0500-00004E000000}">
      <text>
        <r>
          <rPr>
            <b/>
            <sz val="9"/>
            <color indexed="81"/>
            <rFont val="Tahoma"/>
            <family val="2"/>
          </rPr>
          <t>Li Li:</t>
        </r>
        <r>
          <rPr>
            <sz val="9"/>
            <color indexed="81"/>
            <rFont val="Tahoma"/>
            <family val="2"/>
          </rPr>
          <t xml:space="preserve">
Gompertz-Laird Model for male chicken. See: Aggrey, Poultry Science, 2002, 81, 1782–1788</t>
        </r>
      </text>
    </comment>
    <comment ref="AR19" authorId="0" shapeId="0" xr:uid="{00000000-0006-0000-0500-00004F000000}">
      <text>
        <r>
          <rPr>
            <b/>
            <sz val="9"/>
            <color indexed="81"/>
            <rFont val="Tahoma"/>
            <family val="2"/>
          </rPr>
          <t>Li Li:</t>
        </r>
        <r>
          <rPr>
            <sz val="9"/>
            <color indexed="81"/>
            <rFont val="Tahoma"/>
            <family val="2"/>
          </rPr>
          <t xml:space="preserve">
Gompertz-Laird Model for male chicken. See: Aggrey, Poultry Science, 2002, 81, 1782–1788</t>
        </r>
      </text>
    </comment>
    <comment ref="AS19" authorId="0" shapeId="0" xr:uid="{00000000-0006-0000-0500-000050000000}">
      <text>
        <r>
          <rPr>
            <b/>
            <sz val="9"/>
            <color indexed="81"/>
            <rFont val="Tahoma"/>
            <family val="2"/>
          </rPr>
          <t>Li Li:</t>
        </r>
        <r>
          <rPr>
            <sz val="9"/>
            <color indexed="81"/>
            <rFont val="Tahoma"/>
            <family val="2"/>
          </rPr>
          <t xml:space="preserve">
Gompertz-Laird Model for male chicken. See: Aggrey, Poultry Science, 2002, 81, 1782–1788</t>
        </r>
      </text>
    </comment>
    <comment ref="C20" authorId="0" shapeId="0" xr:uid="{BF900539-70FD-4AD4-AF06-E0B323E2006D}">
      <text>
        <r>
          <rPr>
            <b/>
            <sz val="9"/>
            <color indexed="81"/>
            <rFont val="Tahoma"/>
            <family val="2"/>
          </rPr>
          <t>Li Li:</t>
        </r>
        <r>
          <rPr>
            <sz val="9"/>
            <color indexed="81"/>
            <rFont val="Tahoma"/>
            <family val="2"/>
          </rPr>
          <t xml:space="preserve">
Aggrey, Poultry Science, 2002, 81, 1782–1788</t>
        </r>
      </text>
    </comment>
    <comment ref="G20" authorId="0" shapeId="0" xr:uid="{3338FF19-2503-478F-8626-FDF9702C2964}">
      <text>
        <r>
          <rPr>
            <b/>
            <sz val="9"/>
            <color indexed="81"/>
            <rFont val="Tahoma"/>
            <family val="2"/>
          </rPr>
          <t xml:space="preserve">Li Li:
</t>
        </r>
        <r>
          <rPr>
            <sz val="9"/>
            <color indexed="81"/>
            <rFont val="Tahoma"/>
            <family val="2"/>
          </rPr>
          <t>Taken from default values in RAIDAR v3.0</t>
        </r>
      </text>
    </comment>
    <comment ref="H20" authorId="0" shapeId="0" xr:uid="{DEA81432-62A1-472D-9E66-1BC7B67BA857}">
      <text>
        <r>
          <rPr>
            <b/>
            <sz val="9"/>
            <color indexed="81"/>
            <rFont val="Tahoma"/>
            <family val="2"/>
          </rPr>
          <t xml:space="preserve">Li Li:
</t>
        </r>
        <r>
          <rPr>
            <sz val="9"/>
            <color indexed="81"/>
            <rFont val="Tahoma"/>
            <family val="2"/>
          </rPr>
          <t>Taken from default values in RAIDAR v3.0</t>
        </r>
      </text>
    </comment>
    <comment ref="I20" authorId="0" shapeId="0" xr:uid="{F9CD4839-7034-473C-90DC-60BC63451A92}">
      <text>
        <r>
          <rPr>
            <b/>
            <sz val="9"/>
            <color indexed="81"/>
            <rFont val="Tahoma"/>
            <family val="2"/>
          </rPr>
          <t xml:space="preserve">Li Li:
</t>
        </r>
        <r>
          <rPr>
            <sz val="9"/>
            <color indexed="81"/>
            <rFont val="Tahoma"/>
            <family val="2"/>
          </rPr>
          <t>Taken from default values in RAIDAR v3.0</t>
        </r>
      </text>
    </comment>
    <comment ref="N20" authorId="0" shapeId="0" xr:uid="{ACB2ED2A-D726-4E54-AB3F-AF1CAF7CD2DF}">
      <text>
        <r>
          <rPr>
            <b/>
            <sz val="9"/>
            <color indexed="81"/>
            <rFont val="Tahoma"/>
            <family val="2"/>
          </rPr>
          <t>Li Li:</t>
        </r>
        <r>
          <rPr>
            <sz val="9"/>
            <color indexed="81"/>
            <rFont val="Tahoma"/>
            <family val="2"/>
          </rPr>
          <t xml:space="preserve">
Calculated based on default values in RAIDAR v2.0, see Table SI-4 and Table SI-7 of Arnot and Mackay, Environ. Sci. Technol., 2008, 42, 4648-4654
Here, we futher assume the food is from 80% of grass and 20% of invertebrate</t>
        </r>
      </text>
    </comment>
    <comment ref="P20" authorId="0" shapeId="0" xr:uid="{545A3960-5498-435B-B26D-5B5074428125}">
      <text>
        <r>
          <rPr>
            <b/>
            <sz val="9"/>
            <color indexed="81"/>
            <rFont val="Tahoma"/>
            <family val="2"/>
          </rPr>
          <t>Li Li:</t>
        </r>
        <r>
          <rPr>
            <sz val="9"/>
            <color indexed="81"/>
            <rFont val="Tahoma"/>
            <family val="2"/>
          </rPr>
          <t xml:space="preserve">
Calculated based on default values in RAIDAR v2.0, see Table SI-4 and Table SI-7 of Arnot and Mackay, Environ. Sci. Technol., 2008, 42, 4648-4654
Here, we futher assume the food is from 80% of grass and 20% of invertebrate</t>
        </r>
      </text>
    </comment>
    <comment ref="AF20" authorId="0" shapeId="0" xr:uid="{64767D98-77A2-4ECA-9F6F-4BB1C0110EB1}">
      <text>
        <r>
          <rPr>
            <b/>
            <sz val="9"/>
            <color indexed="81"/>
            <rFont val="Tahoma"/>
            <family val="2"/>
          </rPr>
          <t xml:space="preserve">Li Li:
</t>
        </r>
        <r>
          <rPr>
            <sz val="9"/>
            <color indexed="81"/>
            <rFont val="Tahoma"/>
            <family val="2"/>
          </rPr>
          <t>Default value in RAIDAR v2.0, see Table SI-4 of Arnot and Mackay, Environ. Sci. Technol., 2008, 42, 4648-4654</t>
        </r>
      </text>
    </comment>
    <comment ref="AG20" authorId="0" shapeId="0" xr:uid="{C71659D5-3609-49BD-88AE-0E19A9D2AB26}">
      <text>
        <r>
          <rPr>
            <b/>
            <sz val="9"/>
            <color indexed="81"/>
            <rFont val="Tahoma"/>
            <family val="2"/>
          </rPr>
          <t xml:space="preserve">Li Li:
</t>
        </r>
        <r>
          <rPr>
            <sz val="9"/>
            <color indexed="81"/>
            <rFont val="Tahoma"/>
            <family val="2"/>
          </rPr>
          <t>Default value in RAIDAR v2.0, see Table SI-4 of Arnot and Mackay, Environ. Sci. Technol., 2008, 42, 4648-4654</t>
        </r>
      </text>
    </comment>
    <comment ref="AP20" authorId="0" shapeId="0" xr:uid="{D6F12B83-D9B8-4EE4-8F20-639494B1BE17}">
      <text>
        <r>
          <rPr>
            <b/>
            <sz val="9"/>
            <color indexed="81"/>
            <rFont val="Tahoma"/>
            <family val="2"/>
          </rPr>
          <t>Li Li:</t>
        </r>
        <r>
          <rPr>
            <sz val="9"/>
            <color indexed="81"/>
            <rFont val="Tahoma"/>
            <family val="2"/>
          </rPr>
          <t xml:space="preserve">
Gompertz-Laird Model for male chicken. See: Aggrey, Poultry Science, 2002, 81, 1782–1788</t>
        </r>
      </text>
    </comment>
    <comment ref="AQ20" authorId="0" shapeId="0" xr:uid="{1762A5D6-1B6B-496C-9836-EBD7E69C2B69}">
      <text>
        <r>
          <rPr>
            <b/>
            <sz val="9"/>
            <color indexed="81"/>
            <rFont val="Tahoma"/>
            <family val="2"/>
          </rPr>
          <t>Li Li:</t>
        </r>
        <r>
          <rPr>
            <sz val="9"/>
            <color indexed="81"/>
            <rFont val="Tahoma"/>
            <family val="2"/>
          </rPr>
          <t xml:space="preserve">
Gompertz-Laird Model for male chicken. See: Aggrey, Poultry Science, 2002, 81, 1782–1788</t>
        </r>
      </text>
    </comment>
    <comment ref="AR20" authorId="0" shapeId="0" xr:uid="{B0C39E91-DB6E-48B6-8EA2-0EA0818098BC}">
      <text>
        <r>
          <rPr>
            <b/>
            <sz val="9"/>
            <color indexed="81"/>
            <rFont val="Tahoma"/>
            <family val="2"/>
          </rPr>
          <t>Li Li:</t>
        </r>
        <r>
          <rPr>
            <sz val="9"/>
            <color indexed="81"/>
            <rFont val="Tahoma"/>
            <family val="2"/>
          </rPr>
          <t xml:space="preserve">
Gompertz-Laird Model for male chicken. See: Aggrey, Poultry Science, 2002, 81, 1782–1788</t>
        </r>
      </text>
    </comment>
    <comment ref="AS20" authorId="0" shapeId="0" xr:uid="{FDBED2C8-38B6-4BFC-B9B9-972A780B5C6B}">
      <text>
        <r>
          <rPr>
            <b/>
            <sz val="9"/>
            <color indexed="81"/>
            <rFont val="Tahoma"/>
            <family val="2"/>
          </rPr>
          <t>Li Li:</t>
        </r>
        <r>
          <rPr>
            <sz val="9"/>
            <color indexed="81"/>
            <rFont val="Tahoma"/>
            <family val="2"/>
          </rPr>
          <t xml:space="preserve">
Gompertz-Laird Model for male chicken. See: Aggrey, Poultry Science, 2002, 81, 1782–1788</t>
        </r>
      </text>
    </comment>
    <comment ref="G21" authorId="0" shapeId="0" xr:uid="{E034689A-3B2A-4AB5-8FCA-E7DC13A4D2D8}">
      <text>
        <r>
          <rPr>
            <b/>
            <sz val="9"/>
            <color indexed="81"/>
            <rFont val="Tahoma"/>
            <family val="2"/>
          </rPr>
          <t xml:space="preserve">Li Li:
</t>
        </r>
        <r>
          <rPr>
            <sz val="9"/>
            <color indexed="81"/>
            <rFont val="Tahoma"/>
            <family val="2"/>
          </rPr>
          <t>Taken from default values in RAIDAR v3.0</t>
        </r>
      </text>
    </comment>
    <comment ref="H21" authorId="0" shapeId="0" xr:uid="{C6DEF873-AAAB-4683-AB8D-FCA97D0F1F70}">
      <text>
        <r>
          <rPr>
            <b/>
            <sz val="9"/>
            <color indexed="81"/>
            <rFont val="Tahoma"/>
            <family val="2"/>
          </rPr>
          <t xml:space="preserve">Li Li:
</t>
        </r>
        <r>
          <rPr>
            <sz val="9"/>
            <color indexed="81"/>
            <rFont val="Tahoma"/>
            <family val="2"/>
          </rPr>
          <t>Taken from default values in RAIDAR v3.0</t>
        </r>
      </text>
    </comment>
    <comment ref="I21" authorId="0" shapeId="0" xr:uid="{43C21E4A-392A-49B8-9D10-AA5400C934F2}">
      <text>
        <r>
          <rPr>
            <b/>
            <sz val="9"/>
            <color indexed="81"/>
            <rFont val="Tahoma"/>
            <family val="2"/>
          </rPr>
          <t xml:space="preserve">Li Li:
</t>
        </r>
        <r>
          <rPr>
            <sz val="9"/>
            <color indexed="81"/>
            <rFont val="Tahoma"/>
            <family val="2"/>
          </rPr>
          <t>Taken from default values in RAIDAR v3.0</t>
        </r>
      </text>
    </comment>
    <comment ref="N21" authorId="0" shapeId="0" xr:uid="{00000000-0006-0000-0500-000055000000}">
      <text>
        <r>
          <rPr>
            <b/>
            <sz val="9"/>
            <color indexed="81"/>
            <rFont val="Tahoma"/>
            <family val="2"/>
          </rPr>
          <t>Li Li:</t>
        </r>
        <r>
          <rPr>
            <sz val="9"/>
            <color indexed="81"/>
            <rFont val="Tahoma"/>
            <family val="2"/>
          </rPr>
          <t xml:space="preserve">
Calculated based on default values in RAIDAR v2.0, see Table SI-4 and Table SI-7 of Arnot and Mackay, Environ. Sci. Technol., 2008, 42, 4648-4654</t>
        </r>
      </text>
    </comment>
    <comment ref="AF21" authorId="0" shapeId="0" xr:uid="{6189D6AD-CA63-445D-B2CC-8E655CC6B149}">
      <text>
        <r>
          <rPr>
            <b/>
            <sz val="9"/>
            <color indexed="81"/>
            <rFont val="Tahoma"/>
            <family val="2"/>
          </rPr>
          <t xml:space="preserve">Li Li:
</t>
        </r>
        <r>
          <rPr>
            <sz val="9"/>
            <color indexed="81"/>
            <rFont val="Tahoma"/>
            <family val="2"/>
          </rPr>
          <t>Default value in RAIDAR v2.0, see Table SI-4 of Arnot and Mackay, Environ. Sci. Technol., 2008, 42, 4648-4654</t>
        </r>
      </text>
    </comment>
    <comment ref="AG21" authorId="0" shapeId="0" xr:uid="{29D2568B-E78F-4B19-B536-F3395A9CD668}">
      <text>
        <r>
          <rPr>
            <b/>
            <sz val="9"/>
            <color indexed="81"/>
            <rFont val="Tahoma"/>
            <family val="2"/>
          </rPr>
          <t xml:space="preserve">Li Li:
</t>
        </r>
        <r>
          <rPr>
            <sz val="9"/>
            <color indexed="81"/>
            <rFont val="Tahoma"/>
            <family val="2"/>
          </rPr>
          <t>Default value in RAIDAR v2.0, see Table SI-4 of Arnot and Mackay, Environ. Sci. Technol., 2008, 42, 4648-4654</t>
        </r>
      </text>
    </comment>
    <comment ref="AP21" authorId="0" shapeId="0" xr:uid="{00000000-0006-0000-0500-000056000000}">
      <text>
        <r>
          <rPr>
            <b/>
            <sz val="9"/>
            <color indexed="81"/>
            <rFont val="Tahoma"/>
            <family val="2"/>
          </rPr>
          <t>Li Li:</t>
        </r>
        <r>
          <rPr>
            <sz val="9"/>
            <color indexed="81"/>
            <rFont val="Tahoma"/>
            <family val="2"/>
          </rPr>
          <t xml:space="preserve">
Regression based on data contained in
Ittner and Hughes, J. Hered., 1938, 29, 385-386.</t>
        </r>
      </text>
    </comment>
    <comment ref="AQ21" authorId="0" shapeId="0" xr:uid="{00000000-0006-0000-0500-000057000000}">
      <text>
        <r>
          <rPr>
            <b/>
            <sz val="9"/>
            <color indexed="81"/>
            <rFont val="Tahoma"/>
            <family val="2"/>
          </rPr>
          <t>Li Li:</t>
        </r>
        <r>
          <rPr>
            <sz val="9"/>
            <color indexed="81"/>
            <rFont val="Tahoma"/>
            <family val="2"/>
          </rPr>
          <t xml:space="preserve">
Regression based on data contained in
Ittner and Hughes, J. Hered., 1938, 29, 385-386.</t>
        </r>
      </text>
    </comment>
    <comment ref="AR21" authorId="0" shapeId="0" xr:uid="{00000000-0006-0000-0500-000058000000}">
      <text>
        <r>
          <rPr>
            <b/>
            <sz val="9"/>
            <color indexed="81"/>
            <rFont val="Tahoma"/>
            <family val="2"/>
          </rPr>
          <t>Li Li:</t>
        </r>
        <r>
          <rPr>
            <sz val="9"/>
            <color indexed="81"/>
            <rFont val="Tahoma"/>
            <family val="2"/>
          </rPr>
          <t xml:space="preserve">
Regression based on data contained in
Ittner and Hughes, J. Hered., 1938, 29, 385-386.</t>
        </r>
      </text>
    </comment>
    <comment ref="AS21" authorId="0" shapeId="0" xr:uid="{00000000-0006-0000-0500-000059000000}">
      <text>
        <r>
          <rPr>
            <b/>
            <sz val="9"/>
            <color indexed="81"/>
            <rFont val="Tahoma"/>
            <family val="2"/>
          </rPr>
          <t>Li Li:</t>
        </r>
        <r>
          <rPr>
            <sz val="9"/>
            <color indexed="81"/>
            <rFont val="Tahoma"/>
            <family val="2"/>
          </rPr>
          <t xml:space="preserve">
Regression based on data contained in
Ittner and Hughes, J. Hered., 1938, 29, 385-386.</t>
        </r>
      </text>
    </comment>
    <comment ref="AP23" authorId="0" shapeId="0" xr:uid="{0DAC2C93-6D96-46C2-B3BA-98B38C41605B}">
      <text>
        <r>
          <rPr>
            <b/>
            <sz val="9"/>
            <color indexed="81"/>
            <rFont val="Tahoma"/>
            <family val="2"/>
          </rPr>
          <t>Li Li:</t>
        </r>
        <r>
          <rPr>
            <sz val="9"/>
            <color indexed="81"/>
            <rFont val="Tahoma"/>
            <family val="2"/>
          </rPr>
          <t xml:space="preserve">
Re-fit based on Mirfazaelian and Fisher (2007) DOI: 10.1080/15287390601172106</t>
        </r>
      </text>
    </comment>
    <comment ref="AQ23" authorId="0" shapeId="0" xr:uid="{081D5A27-C72F-40EA-9CC0-9157CFB15B17}">
      <text>
        <r>
          <rPr>
            <b/>
            <sz val="9"/>
            <color indexed="81"/>
            <rFont val="Tahoma"/>
            <family val="2"/>
          </rPr>
          <t>Li Li:</t>
        </r>
        <r>
          <rPr>
            <sz val="9"/>
            <color indexed="81"/>
            <rFont val="Tahoma"/>
            <family val="2"/>
          </rPr>
          <t xml:space="preserve">
Re-fit based on Mirfazaelian and Fisher (2007) DOI: 10.1080/15287390601172106</t>
        </r>
      </text>
    </comment>
    <comment ref="AR23" authorId="0" shapeId="0" xr:uid="{10AF000A-98F4-4919-A208-6485C4B8CBBA}">
      <text>
        <r>
          <rPr>
            <b/>
            <sz val="9"/>
            <color indexed="81"/>
            <rFont val="Tahoma"/>
            <family val="2"/>
          </rPr>
          <t>Li Li:</t>
        </r>
        <r>
          <rPr>
            <sz val="9"/>
            <color indexed="81"/>
            <rFont val="Tahoma"/>
            <family val="2"/>
          </rPr>
          <t xml:space="preserve">
Re-fit based on Mirfazaelian and Fisher (2007) DOI: 10.1080/15287390601172106</t>
        </r>
      </text>
    </comment>
    <comment ref="AS23" authorId="0" shapeId="0" xr:uid="{8145D8D8-43DB-46CB-A818-08FA73461190}">
      <text>
        <r>
          <rPr>
            <b/>
            <sz val="9"/>
            <color indexed="81"/>
            <rFont val="Tahoma"/>
            <family val="2"/>
          </rPr>
          <t>Li Li:</t>
        </r>
        <r>
          <rPr>
            <sz val="9"/>
            <color indexed="81"/>
            <rFont val="Tahoma"/>
            <family val="2"/>
          </rPr>
          <t xml:space="preserve">
Re-fit based on Mirfazaelian and Fisher (2007) DOI: 10.1080/15287390601172106</t>
        </r>
      </text>
    </comment>
    <comment ref="G24" authorId="0" shapeId="0" xr:uid="{F393AB1C-0DE4-4F00-8DDE-B1F67D687265}">
      <text>
        <r>
          <rPr>
            <b/>
            <sz val="9"/>
            <color indexed="81"/>
            <rFont val="Tahoma"/>
            <family val="2"/>
          </rPr>
          <t>Li Li:</t>
        </r>
        <r>
          <rPr>
            <sz val="9"/>
            <color indexed="81"/>
            <rFont val="Tahoma"/>
            <family val="2"/>
          </rPr>
          <t xml:space="preserve">
Taken from Pery et al. DOI: 10.1021/es404301q</t>
        </r>
      </text>
    </comment>
    <comment ref="H24" authorId="0" shapeId="0" xr:uid="{A0909DBB-9B9E-4F16-93DA-F4A5B224F2A0}">
      <text>
        <r>
          <rPr>
            <b/>
            <sz val="9"/>
            <color indexed="81"/>
            <rFont val="Tahoma"/>
            <family val="2"/>
          </rPr>
          <t>Li Li:</t>
        </r>
        <r>
          <rPr>
            <sz val="9"/>
            <color indexed="81"/>
            <rFont val="Tahoma"/>
            <family val="2"/>
          </rPr>
          <t xml:space="preserve">
Taken from Pery et al. DOI: 10.1021/es404301q</t>
        </r>
      </text>
    </comment>
    <comment ref="I24" authorId="0" shapeId="0" xr:uid="{57D1FD34-04E6-4B0F-966B-8B918B131296}">
      <text>
        <r>
          <rPr>
            <b/>
            <sz val="9"/>
            <color indexed="81"/>
            <rFont val="Tahoma"/>
            <family val="2"/>
          </rPr>
          <t>Li Li:</t>
        </r>
        <r>
          <rPr>
            <sz val="9"/>
            <color indexed="81"/>
            <rFont val="Tahoma"/>
            <family val="2"/>
          </rPr>
          <t xml:space="preserve">
Taken from Pery et al. DOI: 10.1021/es404301q</t>
        </r>
      </text>
    </comment>
    <comment ref="G25" authorId="0" shapeId="0" xr:uid="{0ED152AA-2D4F-455A-BFC0-900C3FCC5B7C}">
      <text>
        <r>
          <rPr>
            <b/>
            <sz val="9"/>
            <color indexed="81"/>
            <rFont val="Tahoma"/>
            <family val="2"/>
          </rPr>
          <t>Li Li:</t>
        </r>
        <r>
          <rPr>
            <sz val="9"/>
            <color indexed="81"/>
            <rFont val="Tahoma"/>
            <family val="2"/>
          </rPr>
          <t xml:space="preserve">
Taken from Pery et al. DOI: 10.1021/es404301q</t>
        </r>
      </text>
    </comment>
    <comment ref="H25" authorId="0" shapeId="0" xr:uid="{3BC85565-5A52-4E2D-925F-8125EE436A42}">
      <text>
        <r>
          <rPr>
            <b/>
            <sz val="9"/>
            <color indexed="81"/>
            <rFont val="Tahoma"/>
            <family val="2"/>
          </rPr>
          <t>Li Li:</t>
        </r>
        <r>
          <rPr>
            <sz val="9"/>
            <color indexed="81"/>
            <rFont val="Tahoma"/>
            <family val="2"/>
          </rPr>
          <t xml:space="preserve">
Taken from Pery et al. DOI: 10.1021/es404301q</t>
        </r>
      </text>
    </comment>
    <comment ref="I25" authorId="0" shapeId="0" xr:uid="{1179E1DD-62A9-492F-8F08-4576A74A164D}">
      <text>
        <r>
          <rPr>
            <b/>
            <sz val="9"/>
            <color indexed="81"/>
            <rFont val="Tahoma"/>
            <family val="2"/>
          </rPr>
          <t>Li Li:</t>
        </r>
        <r>
          <rPr>
            <sz val="9"/>
            <color indexed="81"/>
            <rFont val="Tahoma"/>
            <family val="2"/>
          </rPr>
          <t xml:space="preserve">
Taken from Pery et al. DOI: 10.1021/es404301q</t>
        </r>
      </text>
    </comment>
  </commentList>
</comments>
</file>

<file path=xl/sharedStrings.xml><?xml version="1.0" encoding="utf-8"?>
<sst xmlns="http://schemas.openxmlformats.org/spreadsheetml/2006/main" count="2120" uniqueCount="1135">
  <si>
    <t>Year</t>
    <phoneticPr fontId="3" type="noConversion"/>
  </si>
  <si>
    <t>Distribution</t>
    <phoneticPr fontId="2" type="noConversion"/>
  </si>
  <si>
    <t>m</t>
    <phoneticPr fontId="2" type="noConversion"/>
  </si>
  <si>
    <t>MW</t>
    <phoneticPr fontId="2" type="noConversion"/>
  </si>
  <si>
    <t>kg</t>
    <phoneticPr fontId="2" type="noConversion"/>
  </si>
  <si>
    <t>Parameters</t>
    <phoneticPr fontId="3" type="noConversion"/>
  </si>
  <si>
    <t>Units</t>
    <phoneticPr fontId="3" type="noConversion"/>
  </si>
  <si>
    <t>Total simulation years</t>
    <phoneticPr fontId="2" type="noConversion"/>
  </si>
  <si>
    <t>Chemical #</t>
    <phoneticPr fontId="2" type="noConversion"/>
  </si>
  <si>
    <t>Environment #</t>
    <phoneticPr fontId="2" type="noConversion"/>
  </si>
  <si>
    <t>Max gestational weight gain</t>
    <phoneticPr fontId="2" type="noConversion"/>
  </si>
  <si>
    <t>Particle size bin (µm)</t>
  </si>
  <si>
    <t>1-2.5</t>
  </si>
  <si>
    <t>2.5-10</t>
  </si>
  <si>
    <t>Number of size bin</t>
    <phoneticPr fontId="2" type="noConversion"/>
  </si>
  <si>
    <t>#1</t>
    <phoneticPr fontId="3" type="noConversion"/>
  </si>
  <si>
    <t>#2</t>
    <phoneticPr fontId="3" type="noConversion"/>
  </si>
  <si>
    <t>#3</t>
    <phoneticPr fontId="3" type="noConversion"/>
  </si>
  <si>
    <t>#4</t>
    <phoneticPr fontId="3" type="noConversion"/>
  </si>
  <si>
    <t>#5</t>
    <phoneticPr fontId="3" type="noConversion"/>
  </si>
  <si>
    <t>#6</t>
    <phoneticPr fontId="3" type="noConversion"/>
  </si>
  <si>
    <t>#7</t>
    <phoneticPr fontId="3" type="noConversion"/>
  </si>
  <si>
    <t>#8</t>
    <phoneticPr fontId="3" type="noConversion"/>
  </si>
  <si>
    <t>#9</t>
    <phoneticPr fontId="3" type="noConversion"/>
  </si>
  <si>
    <t>#10</t>
    <phoneticPr fontId="3" type="noConversion"/>
  </si>
  <si>
    <t>Lipid
(%)</t>
    <phoneticPr fontId="3" type="noConversion"/>
  </si>
  <si>
    <t>Water
(%)</t>
    <phoneticPr fontId="3" type="noConversion"/>
  </si>
  <si>
    <t>Air
(%)</t>
    <phoneticPr fontId="3" type="noConversion"/>
  </si>
  <si>
    <t>Temperature (K)</t>
    <phoneticPr fontId="2" type="noConversion"/>
  </si>
  <si>
    <t>Biota #</t>
    <phoneticPr fontId="3" type="noConversion"/>
  </si>
  <si>
    <t>No</t>
  </si>
  <si>
    <t>Indoor air</t>
  </si>
  <si>
    <t>Expected lifespan for indoor usage</t>
    <phoneticPr fontId="2" type="noConversion"/>
  </si>
  <si>
    <t>Expected lifespan for outdoor usage</t>
    <phoneticPr fontId="2" type="noConversion"/>
  </si>
  <si>
    <t>Weibull</t>
  </si>
  <si>
    <t>Symbol</t>
    <phoneticPr fontId="2" type="noConversion"/>
  </si>
  <si>
    <t>Age of childbearing</t>
    <phoneticPr fontId="2" type="noConversion"/>
  </si>
  <si>
    <t>Ingestion of soil particles</t>
  </si>
  <si>
    <t>Drinking water</t>
  </si>
  <si>
    <t>Inhalation of outdoor air</t>
  </si>
  <si>
    <t>Dermal permeation</t>
  </si>
  <si>
    <t>Inhalation of indoor air</t>
  </si>
  <si>
    <t>Technosphere</t>
    <phoneticPr fontId="2" type="noConversion"/>
  </si>
  <si>
    <t>Urban</t>
  </si>
  <si>
    <t>Living environment</t>
    <phoneticPr fontId="2" type="noConversion"/>
  </si>
  <si>
    <t>Inputs</t>
    <phoneticPr fontId="3" type="noConversion"/>
  </si>
  <si>
    <t>Outputs</t>
    <phoneticPr fontId="3" type="noConversion"/>
  </si>
  <si>
    <t>Rural environment</t>
    <phoneticPr fontId="2" type="noConversion"/>
  </si>
  <si>
    <t>Drinking water source</t>
    <phoneticPr fontId="2" type="noConversion"/>
  </si>
  <si>
    <t>Weight of the new-born infant</t>
    <phoneticPr fontId="2" type="noConversion"/>
  </si>
  <si>
    <t>Childbearing</t>
    <phoneticPr fontId="3" type="noConversion"/>
  </si>
  <si>
    <t>Childbearing age
(0= no lactation)</t>
    <phoneticPr fontId="3" type="noConversion"/>
  </si>
  <si>
    <t>Lactation duration
(years)</t>
    <phoneticPr fontId="3" type="noConversion"/>
  </si>
  <si>
    <t>Living environment</t>
    <phoneticPr fontId="3" type="noConversion"/>
  </si>
  <si>
    <t>Far-field routes</t>
    <phoneticPr fontId="2" type="noConversion"/>
  </si>
  <si>
    <t>Near-field routes</t>
    <phoneticPr fontId="2" type="noConversion"/>
  </si>
  <si>
    <t>Exposure routes</t>
    <phoneticPr fontId="2" type="noConversion"/>
  </si>
  <si>
    <t>Physical environ</t>
    <phoneticPr fontId="2" type="noConversion"/>
  </si>
  <si>
    <t>Food chain</t>
    <phoneticPr fontId="2" type="noConversion"/>
  </si>
  <si>
    <t>Human</t>
    <phoneticPr fontId="2" type="noConversion"/>
  </si>
  <si>
    <t>Water</t>
    <phoneticPr fontId="3" type="noConversion"/>
  </si>
  <si>
    <t>Air</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</si>
  <si>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</si>
  <si>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</si>
  <si>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</si>
  <si>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</si>
  <si>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</si>
  <si>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</si>
  <si>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</si>
  <si>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</si>
  <si>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</si>
  <si>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</si>
  <si>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Maxmium BW(kg)</t>
  </si>
  <si>
    <t>Minimum BW(kg)</t>
    <phoneticPr fontId="3" type="noConversion"/>
  </si>
  <si>
    <t>Power</t>
    <phoneticPr fontId="3" type="noConversion"/>
  </si>
  <si>
    <t>Living media</t>
    <phoneticPr fontId="3" type="noConversion"/>
  </si>
  <si>
    <t>Terrestrial</t>
  </si>
  <si>
    <t>Rural</t>
  </si>
  <si>
    <t>Frac. used regionally</t>
    <phoneticPr fontId="2" type="noConversion"/>
  </si>
  <si>
    <t>Frac. used indoors</t>
    <phoneticPr fontId="2" type="noConversion"/>
  </si>
  <si>
    <t>Production, use, waste</t>
    <phoneticPr fontId="2" type="noConversion"/>
  </si>
  <si>
    <t>Urban environment</t>
    <phoneticPr fontId="2" type="noConversion"/>
  </si>
  <si>
    <t>Indoor environment</t>
    <phoneticPr fontId="2" type="noConversion"/>
  </si>
  <si>
    <t>Dietary ingestion</t>
    <phoneticPr fontId="2" type="noConversion"/>
  </si>
  <si>
    <t>Chemical name</t>
    <phoneticPr fontId="2" type="noConversion"/>
  </si>
  <si>
    <t>Name</t>
    <phoneticPr fontId="2" type="noConversion"/>
  </si>
  <si>
    <t>Region</t>
    <phoneticPr fontId="2" type="noConversion"/>
  </si>
  <si>
    <t>Urban: Bare soils</t>
    <phoneticPr fontId="2" type="noConversion"/>
  </si>
  <si>
    <t>Rural: Unforested soils</t>
    <phoneticPr fontId="2" type="noConversion"/>
  </si>
  <si>
    <t>Rural: January</t>
  </si>
  <si>
    <t>Rural: February</t>
  </si>
  <si>
    <t>Rural: March</t>
  </si>
  <si>
    <t>Rural: April</t>
  </si>
  <si>
    <t>Rural: May</t>
  </si>
  <si>
    <t>Rural: June</t>
  </si>
  <si>
    <t>Rural: July</t>
  </si>
  <si>
    <t>Rural: August</t>
  </si>
  <si>
    <t>Rural: September</t>
  </si>
  <si>
    <t>Rural: October</t>
  </si>
  <si>
    <t>Rural: November</t>
  </si>
  <si>
    <t>Rural: December</t>
  </si>
  <si>
    <t>Windspeed (m/s)</t>
    <phoneticPr fontId="2" type="noConversion"/>
  </si>
  <si>
    <t>Fraction of time spent indoors</t>
  </si>
  <si>
    <t>Canada-side Lake Ontario drainage basin</t>
    <phoneticPr fontId="2" type="noConversion"/>
  </si>
  <si>
    <t>Western Baltic drainage basin</t>
    <phoneticPr fontId="2" type="noConversion"/>
  </si>
  <si>
    <t>Male exposure factors</t>
    <phoneticPr fontId="2" type="noConversion"/>
  </si>
  <si>
    <t>Female exposure factors</t>
    <phoneticPr fontId="2" type="noConversion"/>
  </si>
  <si>
    <t>Total regional population (cap)</t>
    <phoneticPr fontId="2" type="noConversion"/>
  </si>
  <si>
    <t>Error message</t>
    <phoneticPr fontId="2" type="noConversion"/>
  </si>
  <si>
    <t>Outdoor use</t>
    <phoneticPr fontId="2" type="noConversion"/>
  </si>
  <si>
    <t>Indoor use</t>
    <phoneticPr fontId="2" type="noConversion"/>
  </si>
  <si>
    <t>Urban air</t>
  </si>
  <si>
    <t>Urban vegetation</t>
  </si>
  <si>
    <t>Urban soil</t>
  </si>
  <si>
    <t>Urban freshwater sediment</t>
  </si>
  <si>
    <t>Rural air</t>
  </si>
  <si>
    <t>Rural vegetation</t>
  </si>
  <si>
    <t>Rural soil</t>
  </si>
  <si>
    <t>Rural freshwater sediment</t>
  </si>
  <si>
    <t>Rural estuarine water</t>
  </si>
  <si>
    <t>Rural estuarine sediment</t>
  </si>
  <si>
    <t>Compartment names</t>
    <phoneticPr fontId="2" type="noConversion"/>
  </si>
  <si>
    <t>Compartment numbers</t>
    <phoneticPr fontId="2" type="noConversion"/>
  </si>
  <si>
    <t>Output D-values (Y/N)</t>
    <phoneticPr fontId="2" type="noConversion"/>
  </si>
  <si>
    <t>Output control</t>
    <phoneticPr fontId="2" type="noConversion"/>
  </si>
  <si>
    <t>E</t>
  </si>
  <si>
    <t>S</t>
  </si>
  <si>
    <t>A</t>
  </si>
  <si>
    <t>B</t>
  </si>
  <si>
    <t>V</t>
  </si>
  <si>
    <t>L</t>
  </si>
  <si>
    <t>Penetration rate (unitless)</t>
    <phoneticPr fontId="2" type="noConversion"/>
  </si>
  <si>
    <t>&lt;0.02</t>
    <phoneticPr fontId="2" type="noConversion"/>
  </si>
  <si>
    <t>0.02-0.1</t>
    <phoneticPr fontId="2" type="noConversion"/>
  </si>
  <si>
    <t>0.1-1</t>
    <phoneticPr fontId="2" type="noConversion"/>
  </si>
  <si>
    <t>Mouthing ingestion</t>
    <phoneticPr fontId="2" type="noConversion"/>
  </si>
  <si>
    <t>year-old</t>
    <phoneticPr fontId="2" type="noConversion"/>
  </si>
  <si>
    <t>None</t>
    <phoneticPr fontId="2" type="noConversion"/>
  </si>
  <si>
    <r>
      <t>Resuspension rate from floor (h</t>
    </r>
    <r>
      <rPr>
        <vertAlign val="superscript"/>
        <sz val="10"/>
        <color rgb="FF000000"/>
        <rFont val="Arial"/>
        <family val="2"/>
      </rPr>
      <t>-1</t>
    </r>
    <r>
      <rPr>
        <sz val="10"/>
        <color theme="1"/>
        <rFont val="Arial"/>
        <family val="2"/>
      </rPr>
      <t>)</t>
    </r>
  </si>
  <si>
    <r>
      <t>Resuspension rate from carpet (h</t>
    </r>
    <r>
      <rPr>
        <vertAlign val="superscript"/>
        <sz val="10"/>
        <color rgb="FF000000"/>
        <rFont val="Arial"/>
        <family val="2"/>
      </rPr>
      <t>-1</t>
    </r>
    <r>
      <rPr>
        <sz val="10"/>
        <color theme="1"/>
        <rFont val="Arial"/>
        <family val="2"/>
      </rPr>
      <t>)</t>
    </r>
  </si>
  <si>
    <r>
      <t>Resuspension rate from up-facing surface (h</t>
    </r>
    <r>
      <rPr>
        <vertAlign val="superscript"/>
        <sz val="10"/>
        <color rgb="FF000000"/>
        <rFont val="Arial"/>
        <family val="2"/>
      </rPr>
      <t>-1</t>
    </r>
    <r>
      <rPr>
        <sz val="10"/>
        <color theme="1"/>
        <rFont val="Arial"/>
        <family val="2"/>
      </rPr>
      <t>)</t>
    </r>
  </si>
  <si>
    <r>
      <t>Resuspension rate from vertical surface (h</t>
    </r>
    <r>
      <rPr>
        <vertAlign val="superscript"/>
        <sz val="10"/>
        <color rgb="FF000000"/>
        <rFont val="Arial"/>
        <family val="2"/>
      </rPr>
      <t>-1</t>
    </r>
    <r>
      <rPr>
        <sz val="10"/>
        <color theme="1"/>
        <rFont val="Arial"/>
        <family val="2"/>
      </rPr>
      <t>)</t>
    </r>
  </si>
  <si>
    <r>
      <t>Resuspension rate from down-facing surface (h</t>
    </r>
    <r>
      <rPr>
        <vertAlign val="superscript"/>
        <sz val="10"/>
        <color rgb="FF000000"/>
        <rFont val="Arial"/>
        <family val="2"/>
      </rPr>
      <t>-1</t>
    </r>
    <r>
      <rPr>
        <sz val="10"/>
        <color theme="1"/>
        <rFont val="Arial"/>
        <family val="2"/>
      </rPr>
      <t>)</t>
    </r>
  </si>
  <si>
    <r>
      <t>Removal rate from air (h</t>
    </r>
    <r>
      <rPr>
        <vertAlign val="superscript"/>
        <sz val="10"/>
        <color rgb="FF000000"/>
        <rFont val="Arial"/>
        <family val="2"/>
      </rPr>
      <t>-1</t>
    </r>
    <r>
      <rPr>
        <sz val="10"/>
        <color theme="1"/>
        <rFont val="Arial"/>
        <family val="2"/>
      </rPr>
      <t>)</t>
    </r>
  </si>
  <si>
    <r>
      <t>Removal rate from floor (h</t>
    </r>
    <r>
      <rPr>
        <vertAlign val="superscript"/>
        <sz val="10"/>
        <color rgb="FF000000"/>
        <rFont val="Arial"/>
        <family val="2"/>
      </rPr>
      <t>-1</t>
    </r>
    <r>
      <rPr>
        <sz val="10"/>
        <color theme="1"/>
        <rFont val="Arial"/>
        <family val="2"/>
      </rPr>
      <t>)</t>
    </r>
  </si>
  <si>
    <r>
      <t>Removal rate from carpet (h</t>
    </r>
    <r>
      <rPr>
        <vertAlign val="superscript"/>
        <sz val="10"/>
        <color rgb="FF000000"/>
        <rFont val="Arial"/>
        <family val="2"/>
      </rPr>
      <t>-1</t>
    </r>
    <r>
      <rPr>
        <sz val="10"/>
        <color theme="1"/>
        <rFont val="Arial"/>
        <family val="2"/>
      </rPr>
      <t>)</t>
    </r>
  </si>
  <si>
    <r>
      <t>Removal rate from up-facing surface (h</t>
    </r>
    <r>
      <rPr>
        <vertAlign val="superscript"/>
        <sz val="10"/>
        <color rgb="FF000000"/>
        <rFont val="Arial"/>
        <family val="2"/>
      </rPr>
      <t>-1</t>
    </r>
    <r>
      <rPr>
        <sz val="10"/>
        <color theme="1"/>
        <rFont val="Arial"/>
        <family val="2"/>
      </rPr>
      <t>)</t>
    </r>
  </si>
  <si>
    <r>
      <t>Removal rate from vertical surface (h</t>
    </r>
    <r>
      <rPr>
        <vertAlign val="superscript"/>
        <sz val="10"/>
        <color rgb="FF000000"/>
        <rFont val="Arial"/>
        <family val="2"/>
      </rPr>
      <t>-1</t>
    </r>
    <r>
      <rPr>
        <sz val="10"/>
        <color theme="1"/>
        <rFont val="Arial"/>
        <family val="2"/>
      </rPr>
      <t>)</t>
    </r>
  </si>
  <si>
    <r>
      <t>Removal rate from down-facing surface (h</t>
    </r>
    <r>
      <rPr>
        <vertAlign val="superscript"/>
        <sz val="10"/>
        <color rgb="FF000000"/>
        <rFont val="Arial"/>
        <family val="2"/>
      </rPr>
      <t>-1</t>
    </r>
    <r>
      <rPr>
        <sz val="10"/>
        <color theme="1"/>
        <rFont val="Arial"/>
        <family val="2"/>
      </rPr>
      <t>)</t>
    </r>
  </si>
  <si>
    <t>Output multicompartment TK (Y/N)</t>
  </si>
  <si>
    <t>Cohort calculation</t>
  </si>
  <si>
    <t xml:space="preserve"> </t>
  </si>
  <si>
    <t>Urban: Vegetation canopy</t>
  </si>
  <si>
    <t>Output1</t>
  </si>
  <si>
    <t>Output2</t>
  </si>
  <si>
    <t>Output3</t>
  </si>
  <si>
    <t>Output4</t>
  </si>
  <si>
    <t>Output5</t>
  </si>
  <si>
    <t>Output6</t>
  </si>
  <si>
    <t>Output7</t>
  </si>
  <si>
    <t>Output8</t>
  </si>
  <si>
    <t>Output9</t>
  </si>
  <si>
    <t>Output10</t>
  </si>
  <si>
    <t>Output11</t>
  </si>
  <si>
    <t>Output12</t>
  </si>
  <si>
    <t>Output13</t>
  </si>
  <si>
    <t>Output14</t>
  </si>
  <si>
    <t>Output15</t>
  </si>
  <si>
    <t>Soft porous carpet</t>
  </si>
  <si>
    <t>Rigid impermeable floor</t>
  </si>
  <si>
    <t>Hard contact surfaces</t>
  </si>
  <si>
    <t>Fract. entering regional waste stock</t>
  </si>
  <si>
    <t>Hands</t>
  </si>
  <si>
    <t>Fraction of the area applied (-)</t>
  </si>
  <si>
    <t>Body1</t>
  </si>
  <si>
    <t>Body2</t>
  </si>
  <si>
    <t>Body3</t>
  </si>
  <si>
    <t>Environment</t>
    <phoneticPr fontId="2" type="noConversion"/>
  </si>
  <si>
    <t>Chemical</t>
    <phoneticPr fontId="2" type="noConversion"/>
  </si>
  <si>
    <t>US(Asian)</t>
    <phoneticPr fontId="2" type="noConversion"/>
  </si>
  <si>
    <t>US(White)</t>
    <phoneticPr fontId="2" type="noConversion"/>
  </si>
  <si>
    <t>US(Black)</t>
    <phoneticPr fontId="2" type="noConversion"/>
  </si>
  <si>
    <t>US(Hispanic)</t>
    <phoneticPr fontId="2" type="noConversion"/>
  </si>
  <si>
    <t>Body height coefficient: α4 for Age^4</t>
    <phoneticPr fontId="2" type="noConversion"/>
  </si>
  <si>
    <t>Body height coefficient: α3 for Age^3</t>
    <phoneticPr fontId="2" type="noConversion"/>
  </si>
  <si>
    <t>Body height coefficient: α2 for Age^2</t>
    <phoneticPr fontId="2" type="noConversion"/>
  </si>
  <si>
    <t>Body height coefficient: α1 for Age^1</t>
    <phoneticPr fontId="2" type="noConversion"/>
  </si>
  <si>
    <t>Bodyweight coefficient: α4 for Age^4</t>
    <phoneticPr fontId="2" type="noConversion"/>
  </si>
  <si>
    <t>Bodyweight coefficient: α3 for Age^3</t>
    <phoneticPr fontId="2" type="noConversion"/>
  </si>
  <si>
    <t>Bodyweight coefficient: α2 for Age^2</t>
    <phoneticPr fontId="2" type="noConversion"/>
  </si>
  <si>
    <t>Bodyweight coefficient: α1 for Age^1</t>
    <phoneticPr fontId="2" type="noConversion"/>
  </si>
  <si>
    <t>Body height coefficient: α0</t>
    <phoneticPr fontId="2" type="noConversion"/>
  </si>
  <si>
    <t>α3</t>
    <phoneticPr fontId="2" type="noConversion"/>
  </si>
  <si>
    <t>α2</t>
    <phoneticPr fontId="2" type="noConversion"/>
  </si>
  <si>
    <t>α1</t>
    <phoneticPr fontId="2" type="noConversion"/>
  </si>
  <si>
    <t>α4</t>
    <phoneticPr fontId="2" type="noConversion"/>
  </si>
  <si>
    <t>α0</t>
    <phoneticPr fontId="2" type="noConversion"/>
  </si>
  <si>
    <t>Bodyweight coefficient: α0</t>
    <phoneticPr fontId="2" type="noConversion"/>
  </si>
  <si>
    <t>Body height (cm)</t>
    <phoneticPr fontId="2" type="noConversion"/>
  </si>
  <si>
    <t>Body weight (kg)</t>
    <phoneticPr fontId="2" type="noConversion"/>
  </si>
  <si>
    <t>day</t>
    <phoneticPr fontId="2" type="noConversion"/>
  </si>
  <si>
    <t>Volume fraction: gaseous</t>
    <phoneticPr fontId="2" type="noConversion"/>
  </si>
  <si>
    <t>Volume fraction: solid</t>
    <phoneticPr fontId="2" type="noConversion"/>
  </si>
  <si>
    <t>Volume fraction: aqueous</t>
    <phoneticPr fontId="2" type="noConversion"/>
  </si>
  <si>
    <t>Tickness/height/depth</t>
    <phoneticPr fontId="2" type="noConversion"/>
  </si>
  <si>
    <t>Unit</t>
    <phoneticPr fontId="2" type="noConversion"/>
  </si>
  <si>
    <t>Walls and ceiling</t>
    <phoneticPr fontId="2" type="noConversion"/>
  </si>
  <si>
    <t>January</t>
    <phoneticPr fontId="2" type="noConversion"/>
  </si>
  <si>
    <t>February</t>
    <phoneticPr fontId="2" type="noConversion"/>
  </si>
  <si>
    <t>March</t>
  </si>
  <si>
    <t>April</t>
  </si>
  <si>
    <t>May</t>
  </si>
  <si>
    <t>June</t>
  </si>
  <si>
    <t>July</t>
  </si>
  <si>
    <t>August</t>
  </si>
  <si>
    <t>September</t>
  </si>
  <si>
    <t>October</t>
  </si>
  <si>
    <t>November</t>
  </si>
  <si>
    <t>December</t>
  </si>
  <si>
    <t>Annual average</t>
    <phoneticPr fontId="2" type="noConversion"/>
  </si>
  <si>
    <t>Area</t>
    <phoneticPr fontId="2" type="noConversion"/>
  </si>
  <si>
    <t>Percent body fat: β0</t>
    <phoneticPr fontId="2" type="noConversion"/>
  </si>
  <si>
    <t>Value</t>
    <phoneticPr fontId="2" type="noConversion"/>
  </si>
  <si>
    <t>Remark</t>
    <phoneticPr fontId="2" type="noConversion"/>
  </si>
  <si>
    <t>10-150</t>
  </si>
  <si>
    <t>&gt;150</t>
  </si>
  <si>
    <t>Regional environment</t>
  </si>
  <si>
    <t>Swedes(Average)</t>
  </si>
  <si>
    <t>US(Average)</t>
  </si>
  <si>
    <t>Canadian(Average)</t>
  </si>
  <si>
    <t>Timeframe</t>
  </si>
  <si>
    <t>Annual
tonnage (t)</t>
  </si>
  <si>
    <t>Industrial processes</t>
  </si>
  <si>
    <t>Indoor use</t>
  </si>
  <si>
    <t>Outdoor use</t>
  </si>
  <si>
    <t>Dimension and land use pattern</t>
  </si>
  <si>
    <t>Invertebrate</t>
  </si>
  <si>
    <t>Duration of breastfeeding</t>
  </si>
  <si>
    <t>Growth curve</t>
  </si>
  <si>
    <t>For entire lifetime</t>
  </si>
  <si>
    <r>
      <t>"Wind reduction effect" (</t>
    </r>
    <r>
      <rPr>
        <i/>
        <sz val="10"/>
        <color theme="1"/>
        <rFont val="Arial"/>
        <family val="2"/>
      </rPr>
      <t>W</t>
    </r>
    <r>
      <rPr>
        <vertAlign val="subscript"/>
        <sz val="10"/>
        <color theme="1"/>
        <rFont val="Arial"/>
        <family val="2"/>
      </rPr>
      <t>rural</t>
    </r>
    <r>
      <rPr>
        <sz val="10"/>
        <color theme="1"/>
        <rFont val="Arial"/>
        <family val="2"/>
      </rPr>
      <t>-</t>
    </r>
    <r>
      <rPr>
        <i/>
        <sz val="10"/>
        <color theme="1"/>
        <rFont val="Arial"/>
        <family val="2"/>
      </rPr>
      <t>W</t>
    </r>
    <r>
      <rPr>
        <vertAlign val="subscript"/>
        <sz val="10"/>
        <color theme="1"/>
        <rFont val="Arial"/>
        <family val="2"/>
      </rPr>
      <t>urban</t>
    </r>
    <r>
      <rPr>
        <sz val="10"/>
        <color theme="1"/>
        <rFont val="Arial"/>
        <family val="2"/>
      </rPr>
      <t>) (m/s)</t>
    </r>
  </si>
  <si>
    <t xml:space="preserve">   Fraction of urban area in the region</t>
  </si>
  <si>
    <t xml:space="preserve">   Fraction of rural area in the region</t>
  </si>
  <si>
    <t xml:space="preserve">    Rural: Yearly average</t>
  </si>
  <si>
    <t>Indoor: Throughout the year</t>
  </si>
  <si>
    <t>β0</t>
  </si>
  <si>
    <t>α4</t>
  </si>
  <si>
    <r>
      <t>BW = α4×Age</t>
    </r>
    <r>
      <rPr>
        <vertAlign val="superscript"/>
        <sz val="10"/>
        <color theme="1"/>
        <rFont val="Arial"/>
        <family val="2"/>
      </rPr>
      <t>4</t>
    </r>
    <r>
      <rPr>
        <sz val="10"/>
        <color theme="1"/>
        <rFont val="Arial"/>
        <family val="2"/>
      </rPr>
      <t>+ α3×Age</t>
    </r>
    <r>
      <rPr>
        <vertAlign val="superscript"/>
        <sz val="10"/>
        <color theme="1"/>
        <rFont val="Arial"/>
        <family val="2"/>
      </rPr>
      <t>3</t>
    </r>
    <r>
      <rPr>
        <sz val="10"/>
        <color theme="1"/>
        <rFont val="Arial"/>
        <family val="2"/>
      </rPr>
      <t xml:space="preserve"> + α2×Age</t>
    </r>
    <r>
      <rPr>
        <vertAlign val="superscript"/>
        <sz val="10"/>
        <color theme="1"/>
        <rFont val="Arial"/>
        <family val="2"/>
      </rPr>
      <t>2</t>
    </r>
    <r>
      <rPr>
        <sz val="10"/>
        <color theme="1"/>
        <rFont val="Arial"/>
        <family val="2"/>
      </rPr>
      <t xml:space="preserve"> + α1×Age + α0</t>
    </r>
  </si>
  <si>
    <r>
      <t>BH = α4×Age</t>
    </r>
    <r>
      <rPr>
        <vertAlign val="superscript"/>
        <sz val="10"/>
        <color theme="1"/>
        <rFont val="Arial"/>
        <family val="2"/>
      </rPr>
      <t>4</t>
    </r>
    <r>
      <rPr>
        <sz val="10"/>
        <color theme="1"/>
        <rFont val="Arial"/>
        <family val="2"/>
      </rPr>
      <t>+ α3×Age</t>
    </r>
    <r>
      <rPr>
        <vertAlign val="superscript"/>
        <sz val="10"/>
        <color theme="1"/>
        <rFont val="Arial"/>
        <family val="2"/>
      </rPr>
      <t>3</t>
    </r>
    <r>
      <rPr>
        <sz val="10"/>
        <color theme="1"/>
        <rFont val="Arial"/>
        <family val="2"/>
      </rPr>
      <t xml:space="preserve"> + α2×Age</t>
    </r>
    <r>
      <rPr>
        <vertAlign val="superscript"/>
        <sz val="10"/>
        <color theme="1"/>
        <rFont val="Arial"/>
        <family val="2"/>
      </rPr>
      <t>2</t>
    </r>
    <r>
      <rPr>
        <sz val="10"/>
        <color theme="1"/>
        <rFont val="Arial"/>
        <family val="2"/>
      </rPr>
      <t xml:space="preserve"> + α1×Age + α0</t>
    </r>
  </si>
  <si>
    <t>Fat percent = β1×BMI + β2×Age + β3×Sex + β0</t>
  </si>
  <si>
    <t>β1×BMI (BMI is continuous)</t>
  </si>
  <si>
    <t>β2×Age (Age is continuous)</t>
  </si>
  <si>
    <t>β3×Sex (Sex is dichotomous; 1=M,0=F)</t>
  </si>
  <si>
    <t>Percent body fat: β1 for BMI</t>
  </si>
  <si>
    <t>Percent body fat: β2 for Age</t>
  </si>
  <si>
    <t>Percent body fat: β3 for Sex</t>
  </si>
  <si>
    <t>Percent body fat: β0</t>
  </si>
  <si>
    <t>Planktivorous fish</t>
  </si>
  <si>
    <t>Piscivorous fish</t>
  </si>
  <si>
    <t>Beef cattle</t>
  </si>
  <si>
    <t>Dairy cattle</t>
  </si>
  <si>
    <t>Broiler poultry</t>
  </si>
  <si>
    <t>Egg-laying poultry</t>
  </si>
  <si>
    <t>Swine</t>
  </si>
  <si>
    <r>
      <t>Lactation rate
(m</t>
    </r>
    <r>
      <rPr>
        <vertAlign val="superscript"/>
        <sz val="10"/>
        <color rgb="FF0070C0"/>
        <rFont val="Arial"/>
        <family val="2"/>
      </rPr>
      <t>3</t>
    </r>
    <r>
      <rPr>
        <sz val="10"/>
        <color rgb="FF0070C0"/>
        <rFont val="Arial"/>
        <family val="2"/>
      </rPr>
      <t xml:space="preserve"> h</t>
    </r>
    <r>
      <rPr>
        <vertAlign val="superscript"/>
        <sz val="10"/>
        <color rgb="FF0070C0"/>
        <rFont val="Arial"/>
        <family val="2"/>
      </rPr>
      <t>-1</t>
    </r>
    <r>
      <rPr>
        <sz val="10"/>
        <color rgb="FF0070C0"/>
        <rFont val="Arial"/>
        <family val="2"/>
      </rPr>
      <t>)</t>
    </r>
  </si>
  <si>
    <r>
      <t>K value (yr</t>
    </r>
    <r>
      <rPr>
        <vertAlign val="superscript"/>
        <sz val="10"/>
        <color rgb="FF0070C0"/>
        <rFont val="Arial"/>
        <family val="2"/>
      </rPr>
      <t>-1</t>
    </r>
    <r>
      <rPr>
        <sz val="10"/>
        <color rgb="FF0070C0"/>
        <rFont val="Arial"/>
        <family val="2"/>
      </rPr>
      <t>)</t>
    </r>
  </si>
  <si>
    <t>Volumetric body composition</t>
  </si>
  <si>
    <r>
      <t>Organic carbon fraction, f</t>
    </r>
    <r>
      <rPr>
        <vertAlign val="subscript"/>
        <sz val="10"/>
        <color rgb="FF000000"/>
        <rFont val="Arial"/>
        <family val="2"/>
      </rPr>
      <t>OC</t>
    </r>
    <r>
      <rPr>
        <sz val="10"/>
        <color theme="1"/>
        <rFont val="Arial"/>
        <family val="2"/>
      </rPr>
      <t xml:space="preserve"> (mass/mass)</t>
    </r>
  </si>
  <si>
    <r>
      <t>Deposition rate to carpet, floor &amp; up-facing surface (h</t>
    </r>
    <r>
      <rPr>
        <vertAlign val="superscript"/>
        <sz val="10"/>
        <color theme="1"/>
        <rFont val="Arial"/>
        <family val="2"/>
      </rPr>
      <t>-1</t>
    </r>
    <r>
      <rPr>
        <sz val="10"/>
        <color theme="1"/>
        <rFont val="Arial"/>
        <family val="2"/>
      </rPr>
      <t>)</t>
    </r>
  </si>
  <si>
    <r>
      <t>Deposition rate to vertical surface (h</t>
    </r>
    <r>
      <rPr>
        <vertAlign val="superscript"/>
        <sz val="10"/>
        <color theme="1"/>
        <rFont val="Arial"/>
        <family val="2"/>
      </rPr>
      <t>-1</t>
    </r>
    <r>
      <rPr>
        <sz val="10"/>
        <color theme="1"/>
        <rFont val="Arial"/>
        <family val="2"/>
      </rPr>
      <t>)</t>
    </r>
  </si>
  <si>
    <r>
      <t>Deposition rate to down-facing surface (h</t>
    </r>
    <r>
      <rPr>
        <vertAlign val="superscript"/>
        <sz val="10"/>
        <color theme="1"/>
        <rFont val="Arial"/>
        <family val="2"/>
      </rPr>
      <t>-1</t>
    </r>
    <r>
      <rPr>
        <sz val="10"/>
        <color theme="1"/>
        <rFont val="Arial"/>
        <family val="2"/>
      </rPr>
      <t>)</t>
    </r>
  </si>
  <si>
    <r>
      <t>Rate of particle emission to indoor air (kg h</t>
    </r>
    <r>
      <rPr>
        <vertAlign val="superscript"/>
        <sz val="10"/>
        <color theme="1"/>
        <rFont val="Arial"/>
        <family val="2"/>
      </rPr>
      <t>-1</t>
    </r>
    <r>
      <rPr>
        <sz val="10"/>
        <color theme="1"/>
        <rFont val="Arial"/>
        <family val="2"/>
      </rPr>
      <t xml:space="preserve"> m</t>
    </r>
    <r>
      <rPr>
        <vertAlign val="superscript"/>
        <sz val="10"/>
        <color theme="1"/>
        <rFont val="Arial"/>
        <family val="2"/>
      </rPr>
      <t>-3</t>
    </r>
    <r>
      <rPr>
        <sz val="10"/>
        <color theme="1"/>
        <rFont val="Arial"/>
        <family val="2"/>
      </rPr>
      <t>)</t>
    </r>
  </si>
  <si>
    <r>
      <t>Rate of particle track-in on floor (kg h</t>
    </r>
    <r>
      <rPr>
        <vertAlign val="superscript"/>
        <sz val="10"/>
        <color theme="1"/>
        <rFont val="Arial"/>
        <family val="2"/>
      </rPr>
      <t>-1</t>
    </r>
    <r>
      <rPr>
        <sz val="10"/>
        <color theme="1"/>
        <rFont val="Arial"/>
        <family val="2"/>
      </rPr>
      <t xml:space="preserve"> m</t>
    </r>
    <r>
      <rPr>
        <vertAlign val="superscript"/>
        <sz val="10"/>
        <color theme="1"/>
        <rFont val="Arial"/>
        <family val="2"/>
      </rPr>
      <t>-2</t>
    </r>
    <r>
      <rPr>
        <sz val="10"/>
        <color theme="1"/>
        <rFont val="Arial"/>
        <family val="2"/>
      </rPr>
      <t>)</t>
    </r>
  </si>
  <si>
    <r>
      <t>Rate of particle track-in on carpet (kg h</t>
    </r>
    <r>
      <rPr>
        <vertAlign val="superscript"/>
        <sz val="10"/>
        <color theme="1"/>
        <rFont val="Arial"/>
        <family val="2"/>
      </rPr>
      <t>-1</t>
    </r>
    <r>
      <rPr>
        <sz val="10"/>
        <color theme="1"/>
        <rFont val="Arial"/>
        <family val="2"/>
      </rPr>
      <t xml:space="preserve"> m</t>
    </r>
    <r>
      <rPr>
        <vertAlign val="superscript"/>
        <sz val="10"/>
        <color theme="1"/>
        <rFont val="Arial"/>
        <family val="2"/>
      </rPr>
      <t>-2</t>
    </r>
    <r>
      <rPr>
        <sz val="10"/>
        <color theme="1"/>
        <rFont val="Arial"/>
        <family val="2"/>
      </rPr>
      <t>)</t>
    </r>
  </si>
  <si>
    <t>Anthropometrics</t>
  </si>
  <si>
    <t>Maternal information</t>
  </si>
  <si>
    <t>China(Anhui)</t>
  </si>
  <si>
    <t>Estuarine</t>
  </si>
  <si>
    <t>Area index converting 2D to 3D surfaces</t>
  </si>
  <si>
    <t>Name</t>
  </si>
  <si>
    <t>Output16</t>
  </si>
  <si>
    <t>Output17</t>
  </si>
  <si>
    <t>Output18</t>
  </si>
  <si>
    <t>Output19</t>
  </si>
  <si>
    <t>Output20</t>
  </si>
  <si>
    <t>Chemical names</t>
  </si>
  <si>
    <t>Output cell</t>
  </si>
  <si>
    <t>Batch mode</t>
  </si>
  <si>
    <t>Output21</t>
  </si>
  <si>
    <t>Output22</t>
  </si>
  <si>
    <t>Output23</t>
  </si>
  <si>
    <t>Output24</t>
  </si>
  <si>
    <t>Output25</t>
  </si>
  <si>
    <t>Output26</t>
  </si>
  <si>
    <t>Output27</t>
  </si>
  <si>
    <t>Output28</t>
  </si>
  <si>
    <t>Output29</t>
  </si>
  <si>
    <t>Output30</t>
  </si>
  <si>
    <t>Output31</t>
  </si>
  <si>
    <t>Output32</t>
  </si>
  <si>
    <t>Output33</t>
  </si>
  <si>
    <t>Output34</t>
  </si>
  <si>
    <t>Output35</t>
  </si>
  <si>
    <t>Output36</t>
  </si>
  <si>
    <t>Output37</t>
  </si>
  <si>
    <t>Output38</t>
  </si>
  <si>
    <t>Output39</t>
  </si>
  <si>
    <t>Output40</t>
  </si>
  <si>
    <t>Output41</t>
  </si>
  <si>
    <t>Output42</t>
  </si>
  <si>
    <t>Output43</t>
  </si>
  <si>
    <t>Output44</t>
  </si>
  <si>
    <t>Output45</t>
  </si>
  <si>
    <t>Output46</t>
  </si>
  <si>
    <t>Output47</t>
  </si>
  <si>
    <t>Output48</t>
  </si>
  <si>
    <t>Output49</t>
  </si>
  <si>
    <t>Output50</t>
  </si>
  <si>
    <t>Output51</t>
  </si>
  <si>
    <t>Output52</t>
  </si>
  <si>
    <t>Output53</t>
  </si>
  <si>
    <t>Output54</t>
  </si>
  <si>
    <t>Output55</t>
  </si>
  <si>
    <t>Output56</t>
  </si>
  <si>
    <t>Output57</t>
  </si>
  <si>
    <t>Output58</t>
  </si>
  <si>
    <t>Output59</t>
  </si>
  <si>
    <t>Output60</t>
  </si>
  <si>
    <t>Output61</t>
  </si>
  <si>
    <t>Output62</t>
  </si>
  <si>
    <t>Output63</t>
  </si>
  <si>
    <t>Output64</t>
  </si>
  <si>
    <t>Output65</t>
  </si>
  <si>
    <t>Output66</t>
  </si>
  <si>
    <t>Output67</t>
  </si>
  <si>
    <t>Output68</t>
  </si>
  <si>
    <t>Output69</t>
  </si>
  <si>
    <t>Output70</t>
  </si>
  <si>
    <t>Output71</t>
  </si>
  <si>
    <t>Output72</t>
  </si>
  <si>
    <t>Output73</t>
  </si>
  <si>
    <t>Output74</t>
  </si>
  <si>
    <t>Output75</t>
  </si>
  <si>
    <t>Output76</t>
  </si>
  <si>
    <t>Output77</t>
  </si>
  <si>
    <t>Output78</t>
  </si>
  <si>
    <t>Output79</t>
  </si>
  <si>
    <t>Output80</t>
  </si>
  <si>
    <t>Output81</t>
  </si>
  <si>
    <t>Output82</t>
  </si>
  <si>
    <t>Output83</t>
  </si>
  <si>
    <t>Output84</t>
  </si>
  <si>
    <t>Output85</t>
  </si>
  <si>
    <t>Output86</t>
  </si>
  <si>
    <t>Output87</t>
  </si>
  <si>
    <t>Output88</t>
  </si>
  <si>
    <t>Output89</t>
  </si>
  <si>
    <t>Output90</t>
  </si>
  <si>
    <t>Output91</t>
  </si>
  <si>
    <t>Output92</t>
  </si>
  <si>
    <t>Output93</t>
  </si>
  <si>
    <t>Output94</t>
  </si>
  <si>
    <t>Output95</t>
  </si>
  <si>
    <t>Output96</t>
  </si>
  <si>
    <t>Output97</t>
  </si>
  <si>
    <t>Output98</t>
  </si>
  <si>
    <t>Output99</t>
  </si>
  <si>
    <t>Output100</t>
  </si>
  <si>
    <t>Mean (yrs)</t>
  </si>
  <si>
    <t>Std. Dev. (yrs)</t>
  </si>
  <si>
    <t>Female</t>
  </si>
  <si>
    <t>Continuous</t>
  </si>
  <si>
    <t>Oral</t>
  </si>
  <si>
    <t>Rat</t>
  </si>
  <si>
    <t>Human toxicity</t>
    <phoneticPr fontId="2" type="noConversion"/>
  </si>
  <si>
    <t>NOAEL</t>
  </si>
  <si>
    <t>Toxicity</t>
    <phoneticPr fontId="2" type="noConversion"/>
  </si>
  <si>
    <t>Data type</t>
    <phoneticPr fontId="3" type="noConversion"/>
  </si>
  <si>
    <t>Dose route</t>
    <phoneticPr fontId="3" type="noConversion"/>
  </si>
  <si>
    <t>Dose duration</t>
    <phoneticPr fontId="3" type="noConversion"/>
  </si>
  <si>
    <t>Test species</t>
    <phoneticPr fontId="3" type="noConversion"/>
  </si>
  <si>
    <t>Point of departure</t>
    <phoneticPr fontId="3" type="noConversion"/>
  </si>
  <si>
    <t>Upper</t>
    <phoneticPr fontId="3" type="noConversion"/>
  </si>
  <si>
    <t>Lower</t>
    <phoneticPr fontId="3" type="noConversion"/>
  </si>
  <si>
    <t>Median</t>
    <phoneticPr fontId="3" type="noConversion"/>
  </si>
  <si>
    <t>Fraction of population to be protected (90% is recommended by USEtox)</t>
    <phoneticPr fontId="2" type="noConversion"/>
  </si>
  <si>
    <t>Probabilistic factor</t>
  </si>
  <si>
    <t>Information from mammal studies</t>
  </si>
  <si>
    <t>Scenario P95</t>
    <phoneticPr fontId="3" type="noConversion"/>
  </si>
  <si>
    <t>Sceanrio P50</t>
    <phoneticPr fontId="3" type="noConversion"/>
  </si>
  <si>
    <t>Scenario P5</t>
    <phoneticPr fontId="3" type="noConversion"/>
  </si>
  <si>
    <t>Target human dose</t>
    <phoneticPr fontId="3" type="noConversion"/>
  </si>
  <si>
    <t>Either range or median (mg/kg/d)</t>
    <phoneticPr fontId="3" type="noConversion"/>
  </si>
  <si>
    <t>Chronic</t>
  </si>
  <si>
    <t>Effect endpoint</t>
    <phoneticPr fontId="3" type="noConversion"/>
  </si>
  <si>
    <t>Body weight</t>
    <phoneticPr fontId="2" type="noConversion"/>
  </si>
  <si>
    <t>Clinical chemistry</t>
    <phoneticPr fontId="2" type="noConversion"/>
  </si>
  <si>
    <t>Enzyme activity</t>
  </si>
  <si>
    <t>Enzyme activity</t>
    <phoneticPr fontId="2" type="noConversion"/>
  </si>
  <si>
    <t>Food and/or water consumption</t>
    <phoneticPr fontId="2" type="noConversion"/>
  </si>
  <si>
    <t>Hematology</t>
    <phoneticPr fontId="2" type="noConversion"/>
  </si>
  <si>
    <t>Neurotransmitter</t>
    <phoneticPr fontId="2" type="noConversion"/>
  </si>
  <si>
    <t>Organ weight</t>
    <phoneticPr fontId="2" type="noConversion"/>
  </si>
  <si>
    <t>Urinalysis</t>
    <phoneticPr fontId="2" type="noConversion"/>
  </si>
  <si>
    <t>Clinical signs</t>
    <phoneticPr fontId="2" type="noConversion"/>
  </si>
  <si>
    <t>Gross pathology</t>
    <phoneticPr fontId="2" type="noConversion"/>
  </si>
  <si>
    <t>Mortality/survival</t>
    <phoneticPr fontId="2" type="noConversion"/>
  </si>
  <si>
    <t>Non-neoplastic histopathology</t>
    <phoneticPr fontId="2" type="noConversion"/>
  </si>
  <si>
    <t>Development</t>
    <phoneticPr fontId="2" type="noConversion"/>
  </si>
  <si>
    <t>Multiple</t>
    <phoneticPr fontId="2" type="noConversion"/>
  </si>
  <si>
    <t>Neuro behavior</t>
    <phoneticPr fontId="2" type="noConversion"/>
  </si>
  <si>
    <t>Other</t>
    <phoneticPr fontId="2" type="noConversion"/>
  </si>
  <si>
    <t>Reproduction</t>
    <phoneticPr fontId="2" type="noConversion"/>
  </si>
  <si>
    <t>Standard human bodyweight (60kg is recommended by WHO's Guidance Document on Evaluating and Expressing Uncertainty in Hazard Characterization)</t>
    <phoneticPr fontId="2" type="noConversion"/>
  </si>
  <si>
    <r>
      <t xml:space="preserve">Variability in human toxicological susceptibility (GSD=0.26 is recommended by Huijbregts et al. </t>
    </r>
    <r>
      <rPr>
        <i/>
        <sz val="10"/>
        <color theme="1"/>
        <rFont val="Arial"/>
        <family val="2"/>
      </rPr>
      <t>Integr. Environ. Assess. Manag.</t>
    </r>
    <r>
      <rPr>
        <sz val="10"/>
        <color theme="1"/>
        <rFont val="Arial"/>
        <family val="2"/>
      </rPr>
      <t xml:space="preserve"> 1, 181–244)</t>
    </r>
    <phoneticPr fontId="2" type="noConversion"/>
  </si>
  <si>
    <t>Deposition fraction (head region) (unitless)</t>
  </si>
  <si>
    <t>Deposition fraction (tracheobronchial region) (unitless)</t>
  </si>
  <si>
    <t>Deposition fraction (alveolar region) (unitless)</t>
  </si>
  <si>
    <t>Particle diameter (m)</t>
  </si>
  <si>
    <t>Dust loading on Soft porous carpet (kg/m2)</t>
  </si>
  <si>
    <t>Dust loading on Rigid impermeable floor (kg/m2)</t>
  </si>
  <si>
    <t>Dust loading on Hard contact surfaces (kg/m2)</t>
  </si>
  <si>
    <t>Dust loading on Walls and ceiling (kg/m2)</t>
  </si>
  <si>
    <t>Dust thickness on Soft porous carpet (m)</t>
  </si>
  <si>
    <t>Dust thickness on Rigid impermeable floor (m)</t>
  </si>
  <si>
    <t>Dust thickness on Hard contact surfaces (m)</t>
  </si>
  <si>
    <t>Dust thickness on Walls and ceiling (m)</t>
  </si>
  <si>
    <t>Air I/O ratio</t>
  </si>
  <si>
    <t>Indoor</t>
  </si>
  <si>
    <t>--</t>
  </si>
  <si>
    <t>Yes</t>
  </si>
  <si>
    <t>[O] Fraction in blood unbound to proteins (dissolved fraction)</t>
  </si>
  <si>
    <t xml:space="preserve">   Volume fraction: mineral matter in solid</t>
  </si>
  <si>
    <t>Urban shallow groundwater</t>
  </si>
  <si>
    <t>Urban deep groundwater</t>
  </si>
  <si>
    <t>Rural shallow groundwater</t>
  </si>
  <si>
    <t>Rural deep groundwater</t>
  </si>
  <si>
    <t xml:space="preserve">   Volume fraction: anthropometric organics in solid</t>
  </si>
  <si>
    <t>Walls and ceiling</t>
  </si>
  <si>
    <t>Overall persistence</t>
  </si>
  <si>
    <t>Regional</t>
  </si>
  <si>
    <t>Urban built-up surface</t>
  </si>
  <si>
    <t>Persistence</t>
  </si>
  <si>
    <t>Compartment-specific persistence</t>
  </si>
  <si>
    <t>Mobility</t>
  </si>
  <si>
    <t>h</t>
  </si>
  <si>
    <t>P95</t>
  </si>
  <si>
    <t>P50</t>
  </si>
  <si>
    <t>P5</t>
  </si>
  <si>
    <t>AF(PoD-NOAEL)</t>
  </si>
  <si>
    <t>AF(Duration)</t>
  </si>
  <si>
    <t>AF(Interspecies,bodysize)</t>
  </si>
  <si>
    <t>AF(Interspecies,TK/TD)</t>
  </si>
  <si>
    <t>AF(Intraspecies)</t>
  </si>
  <si>
    <t>Degradation half-life in rural freshwater</t>
  </si>
  <si>
    <t>Degradation half-life in rural freshwater sediment</t>
  </si>
  <si>
    <t xml:space="preserve">Degradation half-life in rural soil </t>
  </si>
  <si>
    <t>Solubility in the pH range of  6-8 at 12°C</t>
  </si>
  <si>
    <t>μg/L</t>
  </si>
  <si>
    <t>Urban to rural transport potential</t>
  </si>
  <si>
    <t>Indoor + urban to rural transfer efficiency (%)</t>
  </si>
  <si>
    <t>Indoor to rural transfer efficiency (%)</t>
  </si>
  <si>
    <t>Hazard properties</t>
  </si>
  <si>
    <t>Value</t>
  </si>
  <si>
    <t>Unit</t>
  </si>
  <si>
    <t>Remark</t>
  </si>
  <si>
    <t>Dissociation constant, as an acid</t>
  </si>
  <si>
    <t>Dissociation constant, as a base</t>
  </si>
  <si>
    <t>pKa,a</t>
  </si>
  <si>
    <t>pKa,b</t>
  </si>
  <si>
    <t>Residence time</t>
  </si>
  <si>
    <t>Indoor-urban air exchange rate (1/h)</t>
  </si>
  <si>
    <t>Residence time: Air (h)</t>
  </si>
  <si>
    <t>Residence time: Urban: Fresh water (h)</t>
  </si>
  <si>
    <t>Residence time: Rural: Fresh water (h)</t>
  </si>
  <si>
    <t>Residence time: Rural: Estuary water (h)</t>
  </si>
  <si>
    <t>Residence time: Urban: Shallow groundwater (h)</t>
  </si>
  <si>
    <t>Residence time: Urban: Deep groundwater (h)</t>
  </si>
  <si>
    <t>Residence time: Rural: Shallow groundwater (h)</t>
  </si>
  <si>
    <t>Residence time: Rural: Deep groundwater (h)</t>
  </si>
  <si>
    <t>Ratio of incoming to outgoing fugacity</t>
  </si>
  <si>
    <r>
      <t>g mol</t>
    </r>
    <r>
      <rPr>
        <vertAlign val="superscript"/>
        <sz val="10"/>
        <color theme="1"/>
        <rFont val="Arial"/>
        <family val="2"/>
      </rPr>
      <t>-1</t>
    </r>
  </si>
  <si>
    <r>
      <t>J mol</t>
    </r>
    <r>
      <rPr>
        <vertAlign val="superscript"/>
        <sz val="10"/>
        <color theme="1"/>
        <rFont val="Arial"/>
        <family val="2"/>
      </rPr>
      <t>-1</t>
    </r>
  </si>
  <si>
    <r>
      <t>cm</t>
    </r>
    <r>
      <rPr>
        <vertAlign val="superscript"/>
        <sz val="10"/>
        <color theme="1"/>
        <rFont val="Arial"/>
        <family val="2"/>
      </rPr>
      <t>3</t>
    </r>
    <r>
      <rPr>
        <sz val="10"/>
        <color theme="1"/>
        <rFont val="Arial"/>
        <family val="2"/>
      </rPr>
      <t xml:space="preserve"> molecule</t>
    </r>
    <r>
      <rPr>
        <vertAlign val="superscript"/>
        <sz val="10"/>
        <color theme="1"/>
        <rFont val="Arial"/>
        <family val="2"/>
      </rPr>
      <t>-1</t>
    </r>
    <r>
      <rPr>
        <sz val="10"/>
        <color theme="1"/>
        <rFont val="Arial"/>
        <family val="2"/>
      </rPr>
      <t xml:space="preserve"> s</t>
    </r>
    <r>
      <rPr>
        <vertAlign val="superscript"/>
        <sz val="10"/>
        <color theme="1"/>
        <rFont val="Arial"/>
        <family val="2"/>
      </rPr>
      <t>-1</t>
    </r>
  </si>
  <si>
    <r>
      <t>h</t>
    </r>
    <r>
      <rPr>
        <vertAlign val="superscript"/>
        <sz val="10"/>
        <color theme="1"/>
        <rFont val="Arial"/>
        <family val="2"/>
      </rPr>
      <t>-1</t>
    </r>
  </si>
  <si>
    <r>
      <t>(cm</t>
    </r>
    <r>
      <rPr>
        <vertAlign val="superscript"/>
        <sz val="10"/>
        <color theme="1"/>
        <rFont val="Arial"/>
        <family val="2"/>
      </rPr>
      <t>3</t>
    </r>
    <r>
      <rPr>
        <sz val="10"/>
        <color theme="1"/>
        <rFont val="Arial"/>
        <family val="2"/>
      </rPr>
      <t xml:space="preserve"> mol</t>
    </r>
    <r>
      <rPr>
        <vertAlign val="superscript"/>
        <sz val="10"/>
        <color theme="1"/>
        <rFont val="Arial"/>
        <family val="2"/>
      </rPr>
      <t>−1</t>
    </r>
    <r>
      <rPr>
        <sz val="10"/>
        <color theme="1"/>
        <rFont val="Arial"/>
        <family val="2"/>
      </rPr>
      <t>)/100</t>
    </r>
  </si>
  <si>
    <r>
      <t>K</t>
    </r>
    <r>
      <rPr>
        <vertAlign val="subscript"/>
        <sz val="10"/>
        <color theme="1"/>
        <rFont val="Arial"/>
        <family val="2"/>
      </rPr>
      <t>AW</t>
    </r>
  </si>
  <si>
    <r>
      <t>K</t>
    </r>
    <r>
      <rPr>
        <vertAlign val="subscript"/>
        <sz val="10"/>
        <color theme="1"/>
        <rFont val="Arial"/>
        <family val="2"/>
      </rPr>
      <t>OA</t>
    </r>
  </si>
  <si>
    <r>
      <t>K</t>
    </r>
    <r>
      <rPr>
        <vertAlign val="subscript"/>
        <sz val="10"/>
        <color theme="1"/>
        <rFont val="Arial"/>
        <family val="2"/>
      </rPr>
      <t>OW</t>
    </r>
  </si>
  <si>
    <r>
      <t>K</t>
    </r>
    <r>
      <rPr>
        <vertAlign val="subscript"/>
        <sz val="10"/>
        <color theme="1"/>
        <rFont val="Arial"/>
        <family val="2"/>
      </rPr>
      <t>MIN</t>
    </r>
  </si>
  <si>
    <r>
      <t>K</t>
    </r>
    <r>
      <rPr>
        <vertAlign val="subscript"/>
        <sz val="10"/>
        <color theme="1"/>
        <rFont val="Arial"/>
        <family val="2"/>
      </rPr>
      <t>P</t>
    </r>
    <r>
      <rPr>
        <sz val="10"/>
        <color theme="1"/>
        <rFont val="Arial"/>
        <family val="2"/>
      </rPr>
      <t>/</t>
    </r>
    <r>
      <rPr>
        <i/>
        <sz val="10"/>
        <color theme="1"/>
        <rFont val="Arial"/>
        <family val="2"/>
      </rPr>
      <t>f</t>
    </r>
    <r>
      <rPr>
        <vertAlign val="subscript"/>
        <sz val="10"/>
        <color theme="1"/>
        <rFont val="Arial"/>
        <family val="2"/>
      </rPr>
      <t>OM</t>
    </r>
  </si>
  <si>
    <r>
      <t>K</t>
    </r>
    <r>
      <rPr>
        <vertAlign val="subscript"/>
        <sz val="10"/>
        <color theme="1"/>
        <rFont val="Arial"/>
        <family val="2"/>
      </rPr>
      <t>nlipid-water</t>
    </r>
  </si>
  <si>
    <r>
      <t>K</t>
    </r>
    <r>
      <rPr>
        <vertAlign val="subscript"/>
        <sz val="10"/>
        <color theme="1"/>
        <rFont val="Arial"/>
        <family val="2"/>
      </rPr>
      <t>plipid-water</t>
    </r>
  </si>
  <si>
    <r>
      <t>K</t>
    </r>
    <r>
      <rPr>
        <vertAlign val="subscript"/>
        <sz val="10"/>
        <color theme="1"/>
        <rFont val="Arial"/>
        <family val="2"/>
      </rPr>
      <t>protein-water</t>
    </r>
  </si>
  <si>
    <r>
      <t>ΔU</t>
    </r>
    <r>
      <rPr>
        <vertAlign val="subscript"/>
        <sz val="10"/>
        <color theme="1"/>
        <rFont val="Arial"/>
        <family val="2"/>
      </rPr>
      <t>AW</t>
    </r>
  </si>
  <si>
    <r>
      <t>ΔU</t>
    </r>
    <r>
      <rPr>
        <vertAlign val="subscript"/>
        <sz val="10"/>
        <color theme="1"/>
        <rFont val="Arial"/>
        <family val="2"/>
      </rPr>
      <t>OW</t>
    </r>
  </si>
  <si>
    <r>
      <t>ΔU</t>
    </r>
    <r>
      <rPr>
        <vertAlign val="subscript"/>
        <sz val="10"/>
        <color theme="1"/>
        <rFont val="Arial"/>
        <family val="2"/>
      </rPr>
      <t>OA</t>
    </r>
  </si>
  <si>
    <r>
      <t>k</t>
    </r>
    <r>
      <rPr>
        <vertAlign val="subscript"/>
        <sz val="10"/>
        <color theme="1"/>
        <rFont val="Arial"/>
        <family val="2"/>
      </rPr>
      <t>air</t>
    </r>
  </si>
  <si>
    <r>
      <t>k</t>
    </r>
    <r>
      <rPr>
        <vertAlign val="subscript"/>
        <sz val="10"/>
        <color theme="1"/>
        <rFont val="Arial"/>
        <family val="2"/>
      </rPr>
      <t>water</t>
    </r>
  </si>
  <si>
    <r>
      <t>k</t>
    </r>
    <r>
      <rPr>
        <vertAlign val="subscript"/>
        <sz val="10"/>
        <color theme="1"/>
        <rFont val="Arial"/>
        <family val="2"/>
      </rPr>
      <t>surface</t>
    </r>
  </si>
  <si>
    <r>
      <t>k</t>
    </r>
    <r>
      <rPr>
        <vertAlign val="subscript"/>
        <sz val="10"/>
        <color theme="1"/>
        <rFont val="Arial"/>
        <family val="2"/>
      </rPr>
      <t>invertebrate</t>
    </r>
  </si>
  <si>
    <r>
      <t>k</t>
    </r>
    <r>
      <rPr>
        <vertAlign val="subscript"/>
        <sz val="10"/>
        <color theme="1"/>
        <rFont val="Arial"/>
        <family val="2"/>
      </rPr>
      <t>aquatic</t>
    </r>
  </si>
  <si>
    <r>
      <t>k</t>
    </r>
    <r>
      <rPr>
        <vertAlign val="subscript"/>
        <sz val="10"/>
        <color theme="1"/>
        <rFont val="Arial"/>
        <family val="2"/>
      </rPr>
      <t>avian</t>
    </r>
  </si>
  <si>
    <r>
      <t>k</t>
    </r>
    <r>
      <rPr>
        <vertAlign val="subscript"/>
        <sz val="10"/>
        <color theme="1"/>
        <rFont val="Arial"/>
        <family val="2"/>
      </rPr>
      <t>mammalian</t>
    </r>
  </si>
  <si>
    <r>
      <t>k</t>
    </r>
    <r>
      <rPr>
        <vertAlign val="subscript"/>
        <sz val="10"/>
        <color theme="1"/>
        <rFont val="Arial"/>
        <family val="2"/>
      </rPr>
      <t>metabolism</t>
    </r>
  </si>
  <si>
    <r>
      <t>AE</t>
    </r>
    <r>
      <rPr>
        <vertAlign val="subscript"/>
        <sz val="10"/>
        <color theme="1"/>
        <rFont val="Arial"/>
        <family val="2"/>
      </rPr>
      <t xml:space="preserve">air </t>
    </r>
  </si>
  <si>
    <r>
      <t>AE</t>
    </r>
    <r>
      <rPr>
        <vertAlign val="subscript"/>
        <sz val="10"/>
        <color theme="1"/>
        <rFont val="Arial"/>
        <family val="2"/>
      </rPr>
      <t xml:space="preserve">water </t>
    </r>
  </si>
  <si>
    <r>
      <t>AE</t>
    </r>
    <r>
      <rPr>
        <vertAlign val="subscript"/>
        <sz val="10"/>
        <color theme="1"/>
        <rFont val="Arial"/>
        <family val="2"/>
      </rPr>
      <t xml:space="preserve">surface </t>
    </r>
  </si>
  <si>
    <r>
      <t>AE</t>
    </r>
    <r>
      <rPr>
        <vertAlign val="subscript"/>
        <sz val="10"/>
        <color theme="1"/>
        <rFont val="Arial"/>
        <family val="2"/>
      </rPr>
      <t xml:space="preserve">biota </t>
    </r>
  </si>
  <si>
    <r>
      <t>AE</t>
    </r>
    <r>
      <rPr>
        <vertAlign val="subscript"/>
        <sz val="10"/>
        <color theme="1"/>
        <rFont val="Arial"/>
        <family val="2"/>
      </rPr>
      <t>metabolism</t>
    </r>
  </si>
  <si>
    <r>
      <t>f</t>
    </r>
    <r>
      <rPr>
        <vertAlign val="subscript"/>
        <sz val="10"/>
        <color theme="1"/>
        <rFont val="Arial"/>
        <family val="2"/>
      </rPr>
      <t>ub</t>
    </r>
  </si>
  <si>
    <t>Molecular weight</t>
  </si>
  <si>
    <t>[O] Heats of phase transfer: air-water</t>
  </si>
  <si>
    <t xml:space="preserve">[O] Heats of phase transfer: octanol-water </t>
  </si>
  <si>
    <t>[O] Heats of phase transfer: octanol-air</t>
  </si>
  <si>
    <t>Reaction rate of vapor phase chemical with OH radicals</t>
  </si>
  <si>
    <t>Reaction rate constant in water</t>
  </si>
  <si>
    <t>[O] Reaction rate constant in artificial materials</t>
  </si>
  <si>
    <t>[O] Activation energy: reaction of vapor phase chemical with OH radicals</t>
  </si>
  <si>
    <t>[O] Activation energy: reaction in artificial surfaces</t>
  </si>
  <si>
    <t>[O] Activation energy: reaction in living organisms</t>
  </si>
  <si>
    <t>[O] Activation energy: biotransformation in humans</t>
  </si>
  <si>
    <r>
      <t>L kg</t>
    </r>
    <r>
      <rPr>
        <vertAlign val="superscript"/>
        <sz val="10"/>
        <color theme="1"/>
        <rFont val="Arial"/>
        <family val="2"/>
      </rPr>
      <t>-1</t>
    </r>
    <r>
      <rPr>
        <vertAlign val="subscript"/>
        <sz val="10"/>
        <color theme="1"/>
        <rFont val="Arial"/>
        <family val="2"/>
      </rPr>
      <t>nlipid</t>
    </r>
  </si>
  <si>
    <r>
      <t>L kg</t>
    </r>
    <r>
      <rPr>
        <vertAlign val="superscript"/>
        <sz val="10"/>
        <color theme="1"/>
        <rFont val="Arial"/>
        <family val="2"/>
      </rPr>
      <t>-1</t>
    </r>
    <r>
      <rPr>
        <vertAlign val="subscript"/>
        <sz val="10"/>
        <color theme="1"/>
        <rFont val="Arial"/>
        <family val="2"/>
      </rPr>
      <t>plipid</t>
    </r>
  </si>
  <si>
    <r>
      <t>L kg</t>
    </r>
    <r>
      <rPr>
        <vertAlign val="superscript"/>
        <sz val="10"/>
        <color theme="1"/>
        <rFont val="Arial"/>
        <family val="2"/>
      </rPr>
      <t>-1</t>
    </r>
    <r>
      <rPr>
        <vertAlign val="subscript"/>
        <sz val="10"/>
        <color theme="1"/>
        <rFont val="Arial"/>
        <family val="2"/>
      </rPr>
      <t>protein</t>
    </r>
  </si>
  <si>
    <r>
      <t>m</t>
    </r>
    <r>
      <rPr>
        <vertAlign val="superscript"/>
        <sz val="10"/>
        <color theme="1"/>
        <rFont val="Arial"/>
        <family val="2"/>
      </rPr>
      <t>3</t>
    </r>
    <r>
      <rPr>
        <sz val="10"/>
        <color theme="1"/>
        <rFont val="Arial"/>
        <family val="2"/>
      </rPr>
      <t xml:space="preserve"> ug</t>
    </r>
    <r>
      <rPr>
        <vertAlign val="superscript"/>
        <sz val="10"/>
        <color theme="1"/>
        <rFont val="Arial"/>
        <family val="2"/>
      </rPr>
      <t>-1</t>
    </r>
    <r>
      <rPr>
        <vertAlign val="subscript"/>
        <sz val="10"/>
        <color theme="1"/>
        <rFont val="Arial"/>
        <family val="2"/>
      </rPr>
      <t>OM</t>
    </r>
  </si>
  <si>
    <t>9999 = Not applicable</t>
  </si>
  <si>
    <t>Urban freshwater</t>
  </si>
  <si>
    <t>Rural freshwater</t>
  </si>
  <si>
    <r>
      <t>Lowest log</t>
    </r>
    <r>
      <rPr>
        <vertAlign val="subscript"/>
        <sz val="10"/>
        <color theme="1"/>
        <rFont val="Arial"/>
        <family val="2"/>
      </rPr>
      <t>10</t>
    </r>
    <r>
      <rPr>
        <i/>
        <sz val="10"/>
        <color theme="1"/>
        <rFont val="Arial"/>
        <family val="2"/>
      </rPr>
      <t>D</t>
    </r>
    <r>
      <rPr>
        <vertAlign val="subscript"/>
        <sz val="10"/>
        <color theme="1"/>
        <rFont val="Arial"/>
        <family val="2"/>
      </rPr>
      <t>OC</t>
    </r>
    <r>
      <rPr>
        <sz val="10"/>
        <color theme="1"/>
        <rFont val="Arial"/>
        <family val="2"/>
      </rPr>
      <t xml:space="preserve"> in the pH range of 4-9</t>
    </r>
  </si>
  <si>
    <r>
      <t>log</t>
    </r>
    <r>
      <rPr>
        <vertAlign val="subscript"/>
        <sz val="10"/>
        <color theme="1"/>
        <rFont val="Arial"/>
        <family val="2"/>
      </rPr>
      <t>10</t>
    </r>
    <r>
      <rPr>
        <sz val="10"/>
        <color theme="1"/>
        <rFont val="Arial"/>
        <family val="2"/>
      </rPr>
      <t>(L/kg)</t>
    </r>
  </si>
  <si>
    <t>The modeled individual was born in the year</t>
  </si>
  <si>
    <t>Output fluxes in the environment (Y/N)</t>
  </si>
  <si>
    <t>Output default anthropometrics (Y/N)</t>
  </si>
  <si>
    <t>Sex of the modeled individual</t>
  </si>
  <si>
    <t>Chemical</t>
  </si>
  <si>
    <t>Population</t>
  </si>
  <si>
    <r>
      <t>Scenario</t>
    </r>
    <r>
      <rPr>
        <sz val="11"/>
        <color theme="0"/>
        <rFont val="Arial"/>
        <family val="2"/>
      </rPr>
      <t xml:space="preserve"> (Please click "Select" after a selection)</t>
    </r>
  </si>
  <si>
    <t>Step1. Technosphere</t>
  </si>
  <si>
    <t>Step2. Environment</t>
  </si>
  <si>
    <t>Step4. Human</t>
  </si>
  <si>
    <t>Step3. Food web</t>
  </si>
  <si>
    <r>
      <t xml:space="preserve">PROTEX </t>
    </r>
    <r>
      <rPr>
        <b/>
        <sz val="16"/>
        <color rgb="FF0070C0"/>
        <rFont val="Arial"/>
        <family val="2"/>
      </rPr>
      <t>(</t>
    </r>
    <r>
      <rPr>
        <b/>
        <u/>
        <sz val="16"/>
        <color rgb="FF0070C0"/>
        <rFont val="Arial"/>
        <family val="2"/>
      </rPr>
      <t>PRO</t>
    </r>
    <r>
      <rPr>
        <b/>
        <sz val="16"/>
        <color rgb="FF0070C0"/>
        <rFont val="Arial"/>
        <family val="2"/>
      </rPr>
      <t>duction-</t>
    </r>
    <r>
      <rPr>
        <b/>
        <u/>
        <sz val="16"/>
        <color rgb="FF0070C0"/>
        <rFont val="Arial"/>
        <family val="2"/>
      </rPr>
      <t>T</t>
    </r>
    <r>
      <rPr>
        <b/>
        <sz val="16"/>
        <color rgb="FF0070C0"/>
        <rFont val="Arial"/>
        <family val="2"/>
      </rPr>
      <t>o-</t>
    </r>
    <r>
      <rPr>
        <b/>
        <u/>
        <sz val="16"/>
        <color rgb="FF0070C0"/>
        <rFont val="Arial"/>
        <family val="2"/>
      </rPr>
      <t>EX</t>
    </r>
    <r>
      <rPr>
        <b/>
        <sz val="16"/>
        <color rgb="FF0070C0"/>
        <rFont val="Arial"/>
        <family val="2"/>
      </rPr>
      <t>posure)</t>
    </r>
  </si>
  <si>
    <r>
      <t>K</t>
    </r>
    <r>
      <rPr>
        <vertAlign val="subscript"/>
        <sz val="10"/>
        <color theme="1"/>
        <rFont val="Arial"/>
        <family val="2"/>
      </rPr>
      <t>AOC</t>
    </r>
  </si>
  <si>
    <r>
      <t>K</t>
    </r>
    <r>
      <rPr>
        <vertAlign val="subscript"/>
        <sz val="10"/>
        <color theme="1"/>
        <rFont val="Arial"/>
        <family val="2"/>
      </rPr>
      <t>COC</t>
    </r>
  </si>
  <si>
    <r>
      <t>L kg</t>
    </r>
    <r>
      <rPr>
        <vertAlign val="superscript"/>
        <sz val="10"/>
        <color theme="1"/>
        <rFont val="Arial"/>
        <family val="2"/>
      </rPr>
      <t>-1</t>
    </r>
    <r>
      <rPr>
        <vertAlign val="subscript"/>
        <sz val="10"/>
        <color theme="1"/>
        <rFont val="Arial"/>
        <family val="2"/>
      </rPr>
      <t>AOC</t>
    </r>
  </si>
  <si>
    <r>
      <t>L kg</t>
    </r>
    <r>
      <rPr>
        <vertAlign val="superscript"/>
        <sz val="10"/>
        <color theme="1"/>
        <rFont val="Arial"/>
        <family val="2"/>
      </rPr>
      <t>-1</t>
    </r>
    <r>
      <rPr>
        <vertAlign val="subscript"/>
        <sz val="10"/>
        <color theme="1"/>
        <rFont val="Arial"/>
        <family val="2"/>
      </rPr>
      <t>COC</t>
    </r>
  </si>
  <si>
    <r>
      <t>L kg</t>
    </r>
    <r>
      <rPr>
        <vertAlign val="superscript"/>
        <sz val="10"/>
        <color theme="1"/>
        <rFont val="Arial"/>
        <family val="2"/>
      </rPr>
      <t>-1</t>
    </r>
    <r>
      <rPr>
        <vertAlign val="subscript"/>
        <sz val="10"/>
        <color theme="1"/>
        <rFont val="Arial"/>
        <family val="2"/>
      </rPr>
      <t>MM</t>
    </r>
  </si>
  <si>
    <r>
      <t>L mol</t>
    </r>
    <r>
      <rPr>
        <vertAlign val="superscript"/>
        <sz val="10"/>
        <color theme="1"/>
        <rFont val="Arial"/>
        <family val="2"/>
      </rPr>
      <t>-1</t>
    </r>
    <r>
      <rPr>
        <vertAlign val="subscript"/>
        <sz val="10"/>
        <color theme="1"/>
        <rFont val="Arial"/>
        <family val="2"/>
      </rPr>
      <t>CEC</t>
    </r>
  </si>
  <si>
    <r>
      <t>K</t>
    </r>
    <r>
      <rPr>
        <vertAlign val="subscript"/>
        <sz val="10"/>
        <color theme="1"/>
        <rFont val="Arial"/>
        <family val="2"/>
      </rPr>
      <t>CEC</t>
    </r>
  </si>
  <si>
    <t>[O] Sorption coefficient @ 25°C: mineral cation exchange capacity</t>
  </si>
  <si>
    <t>NAi</t>
  </si>
  <si>
    <t>[O] pp-LFER: number of hydrogens bound by the charged nitrogen</t>
  </si>
  <si>
    <t>Cation exchange capacity</t>
  </si>
  <si>
    <t xml:space="preserve">   Volume fraction: aerosol organics in solid</t>
  </si>
  <si>
    <t xml:space="preserve">   Volume fraction: amorphous organics in solid</t>
  </si>
  <si>
    <t xml:space="preserve">   Volume fraction: carbonaceous organics in solid</t>
  </si>
  <si>
    <t>Rural: Forest canopy</t>
  </si>
  <si>
    <t>Urban: Built-up area (roofted structures or indoor environ.)</t>
  </si>
  <si>
    <t>Urban: Unroofted impervious surfaces (paved surfaces)</t>
  </si>
  <si>
    <t>Indoor: Soft porous carpet</t>
  </si>
  <si>
    <t>Indoor: Rigid impermeable floor</t>
  </si>
  <si>
    <t xml:space="preserve">   Indoor: Hard contact surfaces</t>
  </si>
  <si>
    <t>Urban: Fresh water (lakes, rivers, creeks, ponds, etc.)</t>
  </si>
  <si>
    <t>Rural: Fresh water (lakes, rivers, creeks, ponds, etc.)</t>
  </si>
  <si>
    <t>Rural: Estuaries, coasts, or deep lakes</t>
  </si>
  <si>
    <t>Meteorology and hydrology</t>
  </si>
  <si>
    <t>Leaf area index</t>
  </si>
  <si>
    <t>Urban impervious surface area index</t>
  </si>
  <si>
    <t>Total water suspended particle concentration: urban (mg/L)</t>
  </si>
  <si>
    <t>Total water suspended particle concentration: rural (mg/L)</t>
  </si>
  <si>
    <t>TO | OUTSIDE</t>
  </si>
  <si>
    <t>FROM | OUTSIDE</t>
  </si>
  <si>
    <r>
      <t>Amorphous organic carbon (m</t>
    </r>
    <r>
      <rPr>
        <b/>
        <vertAlign val="superscript"/>
        <sz val="10"/>
        <color theme="0"/>
        <rFont val="Arial"/>
        <family val="2"/>
      </rPr>
      <t>3</t>
    </r>
    <r>
      <rPr>
        <b/>
        <sz val="10"/>
        <color theme="0"/>
        <rFont val="Arial"/>
        <family val="2"/>
      </rPr>
      <t>/h)</t>
    </r>
  </si>
  <si>
    <r>
      <t>Carbonaceous organic carbon (m</t>
    </r>
    <r>
      <rPr>
        <b/>
        <vertAlign val="superscript"/>
        <sz val="10"/>
        <color theme="0"/>
        <rFont val="Arial"/>
        <family val="2"/>
      </rPr>
      <t>3</t>
    </r>
    <r>
      <rPr>
        <b/>
        <sz val="10"/>
        <color theme="0"/>
        <rFont val="Arial"/>
        <family val="2"/>
      </rPr>
      <t>/h)</t>
    </r>
  </si>
  <si>
    <r>
      <t>Water flows (m</t>
    </r>
    <r>
      <rPr>
        <b/>
        <vertAlign val="superscript"/>
        <sz val="10"/>
        <color theme="0"/>
        <rFont val="Arial"/>
        <family val="2"/>
      </rPr>
      <t>3</t>
    </r>
    <r>
      <rPr>
        <b/>
        <sz val="10"/>
        <color theme="0"/>
        <rFont val="Arial"/>
        <family val="2"/>
      </rPr>
      <t>/h)</t>
    </r>
  </si>
  <si>
    <t>Overall dissipation half-life from rural freshwater</t>
  </si>
  <si>
    <t>Overall dissipation half-life from rural freshwater sediment</t>
  </si>
  <si>
    <t xml:space="preserve">Overall dissipation half-life from rural soil </t>
  </si>
  <si>
    <t>L/kg</t>
  </si>
  <si>
    <t>Unitless</t>
  </si>
  <si>
    <t>Wet-weight based fish bioconcentration factor - Planktivorous</t>
  </si>
  <si>
    <t>Wet-weight based fish bioaccumulation factor - Planktivorous</t>
  </si>
  <si>
    <t>Fugacity based fish bioconcentration factor - Planktivorous</t>
  </si>
  <si>
    <t>Fugacity based fish bioaccumulation factor - Planktivorous</t>
  </si>
  <si>
    <t>Wet-weight based fish bioconcentration factor - Piscivorous</t>
  </si>
  <si>
    <t>Wet-weight based fish bioaccumulation factor - Piscivorous</t>
  </si>
  <si>
    <t>Fugacity based fish bioconcentration factor - Piscivorous</t>
  </si>
  <si>
    <t>Fugacity based fish bioaccumulation factor - Piscivorous</t>
  </si>
  <si>
    <t>Indoor_air_(ngPERm3)</t>
  </si>
  <si>
    <t>Soft_porous_carpet_(pgPERm3)</t>
  </si>
  <si>
    <t>Rigid_impermeable_floor_(pgPERm3)</t>
  </si>
  <si>
    <t>Hard_contact_surfaces_(pgPERm3)</t>
  </si>
  <si>
    <t>Walls_and_ceiling_(pgPERm3)</t>
  </si>
  <si>
    <t>Urban_air_(ngPERm3)</t>
  </si>
  <si>
    <t>Urban_vegetation_(ngPERg-fresh)</t>
  </si>
  <si>
    <t>Urban_soil_(ngPERg-solid)</t>
  </si>
  <si>
    <t>Urban_fresh_water_(pgPERL)</t>
  </si>
  <si>
    <t>Urban_freshwater_sediment_(ngPERg-solid)</t>
  </si>
  <si>
    <t>Urban_built-up_surface_(pgPERm3)</t>
  </si>
  <si>
    <t>Urban_shallow_groundwater_(pgPERL)</t>
  </si>
  <si>
    <t>Urban_deep_groundwater_(pgPERL)</t>
  </si>
  <si>
    <t>Rural_air_(ngPERm3)</t>
  </si>
  <si>
    <t>Rural_vegetation_(ngPERg-fresh)</t>
  </si>
  <si>
    <t>Rural_soil_(ngPERg-solid)</t>
  </si>
  <si>
    <t>Rural_fresh_water_(pgPERL)</t>
  </si>
  <si>
    <t>Rural_freshwater_sediment_(ngPERg-solid)</t>
  </si>
  <si>
    <t>Rural_estuarine_water_(pgPERL)</t>
  </si>
  <si>
    <t>Rural_estuarine_sediment_(ngPERg-solid)</t>
  </si>
  <si>
    <t>Rural_shallow_groundwater_(pgPERL)</t>
  </si>
  <si>
    <t>Rural_deep_groundwater_(pgPERL)</t>
  </si>
  <si>
    <t>Degradation_half-life_in_rural_freshwater_(hours)</t>
  </si>
  <si>
    <t>Degradation_half-life_in_rural_freshwater_sediment_(hours)</t>
  </si>
  <si>
    <t>Degradation_half-life_in_rural_soil_(hours)</t>
  </si>
  <si>
    <t>Overall_dissipation_half-life_from_rural_freshwater_(hours)</t>
  </si>
  <si>
    <t>Overall_dissipation_half-life_from_rural_freshwater_sediment_(hours)</t>
  </si>
  <si>
    <t>Overall_dissipation_half-life_from_rural_soil_(hours)</t>
  </si>
  <si>
    <t>Planktivorous_fish_(ugPERg-lipid)</t>
  </si>
  <si>
    <t>Piscivorous_fish_(ugPERg-lipid)</t>
  </si>
  <si>
    <t>Plant_foliage_and_leafy_vegetables_(1m2)_(ugPERg-lipid)</t>
  </si>
  <si>
    <t>Plant_root_and_root_vegetables_(1m2)_(ugPERg-lipid)</t>
  </si>
  <si>
    <t>InvertebratePERearthworm_(1kg)_(ugPERg-lipid)</t>
  </si>
  <si>
    <t>Beef_cattle_(ugPERg-lipid)</t>
  </si>
  <si>
    <t>Dairy_cattle_(ugPERg-lipid)</t>
  </si>
  <si>
    <t>Broiler_poultry_(ugPERg-lipid)</t>
  </si>
  <si>
    <t>Egg-laying_poultry_(ugPERg-lipid)</t>
  </si>
  <si>
    <t>Swine_(ugPERg-lipid)</t>
  </si>
  <si>
    <t>Indoor_to_rural_transfer_efficiency_(%)</t>
  </si>
  <si>
    <t>Indoor_+_urban_to_rural_transfer_efficiency_(%)</t>
  </si>
  <si>
    <t>Wet-weight_based_fish_bioconcentration_factor_-_Planktivorous</t>
  </si>
  <si>
    <t>Wet-weight_based_fish_bioaccumulation_factor_-_Planktivorous</t>
  </si>
  <si>
    <t>Fugacity_based_fish_bioconcentration_factor_-_Planktivorous</t>
  </si>
  <si>
    <t>Fugacity_based_fish_bioaccumulation_factor_-_Planktivorous</t>
  </si>
  <si>
    <t>Wet-weight_based_fish_bioconcentration_factor_-_Piscivorous</t>
  </si>
  <si>
    <t>Wet-weight_based_fish_bioaccumulation_factor_-_Piscivorous</t>
  </si>
  <si>
    <t>Fugacity_based_fish_bioconcentration_factor_-_Piscivorous</t>
  </si>
  <si>
    <t>Fugacity_based_fish_bioaccumulation_factor_-_Piscivorous</t>
  </si>
  <si>
    <t>Mole_Indoor_air</t>
  </si>
  <si>
    <t>Mole_Soft_porous_carpet</t>
  </si>
  <si>
    <t>Mole_Rigid_impermeable_floor</t>
  </si>
  <si>
    <t>Mole_Hard_contact_surfaces</t>
  </si>
  <si>
    <t>Mole_Walls_and_ceiling</t>
  </si>
  <si>
    <t>Mole_Urban_air</t>
  </si>
  <si>
    <t>Mole_Urban_vegetation</t>
  </si>
  <si>
    <t>Mole_Urban_soil</t>
  </si>
  <si>
    <t>Mole_Urban_fresh_water</t>
  </si>
  <si>
    <t>Mole_Urban_freshwater_sediment</t>
  </si>
  <si>
    <t>Mole_Urban_built-up_surface</t>
  </si>
  <si>
    <t>Mole_Urban_shallow_groundwater</t>
  </si>
  <si>
    <t>Mole_Urban_deep_groundwater</t>
  </si>
  <si>
    <t>Mole_Rural_air</t>
  </si>
  <si>
    <t>Mole_Rural_vegetation</t>
  </si>
  <si>
    <t>Mole_Rural_soil</t>
  </si>
  <si>
    <t>Mole_Rural_fresh_water</t>
  </si>
  <si>
    <t>Mole_Rural_freshwater_sediment</t>
  </si>
  <si>
    <t>Mole_Rural_estuarine_water</t>
  </si>
  <si>
    <t>Mole_Rural_estuarine_sediment</t>
  </si>
  <si>
    <t>Mole_Rural_shallow_groundwater</t>
  </si>
  <si>
    <t>Mole_Rural_deep_groundwater</t>
  </si>
  <si>
    <t>POV_(hours)_Regional</t>
  </si>
  <si>
    <t>POV_(hours)_Indoor</t>
  </si>
  <si>
    <t>POV_(hours)_Urban</t>
  </si>
  <si>
    <t>POV_(hours)_Rural</t>
  </si>
  <si>
    <t>Chemical category</t>
  </si>
  <si>
    <t>[O] Sorption coefficient @ 25°C: amorphous organic carbon, ion</t>
  </si>
  <si>
    <t>[O] Sorption coefficient @ 25°C: carbonaceous organic carbon, ion</t>
  </si>
  <si>
    <t>[O] Sorption coefficient @ 25°C: mineral matter, ion</t>
  </si>
  <si>
    <t>[O] Partition coefficient @ 25°C: aerosol organic matter-gas, ion</t>
  </si>
  <si>
    <t>[O] Partition coefficient @ 37°C: phospholipid-water, ion</t>
  </si>
  <si>
    <t>[O] Partition coefficient @ 37°C: protein-water, ion</t>
  </si>
  <si>
    <t>[O] pp-LFER: excess molar refraction, ion</t>
  </si>
  <si>
    <t>[O] pp-LFER: dipolarity/polarizability parameter, ion</t>
  </si>
  <si>
    <t>[O] pp-LFER: solute H-bond acidity, ion</t>
  </si>
  <si>
    <t>[O] pp-LFER: solute H-bond basicity, ion</t>
  </si>
  <si>
    <t>[O] pp-LFER: McGowan molar volume, ion</t>
  </si>
  <si>
    <r>
      <t>K</t>
    </r>
    <r>
      <rPr>
        <vertAlign val="subscript"/>
        <sz val="10"/>
        <color theme="1"/>
        <rFont val="Arial"/>
        <family val="2"/>
      </rPr>
      <t>P,i</t>
    </r>
    <r>
      <rPr>
        <sz val="10"/>
        <color theme="1"/>
        <rFont val="Arial"/>
        <family val="2"/>
      </rPr>
      <t>/</t>
    </r>
    <r>
      <rPr>
        <i/>
        <sz val="10"/>
        <color theme="1"/>
        <rFont val="Arial"/>
        <family val="2"/>
      </rPr>
      <t>f</t>
    </r>
    <r>
      <rPr>
        <vertAlign val="subscript"/>
        <sz val="10"/>
        <color theme="1"/>
        <rFont val="Arial"/>
        <family val="2"/>
      </rPr>
      <t>OM</t>
    </r>
  </si>
  <si>
    <r>
      <t>K</t>
    </r>
    <r>
      <rPr>
        <vertAlign val="subscript"/>
        <sz val="10"/>
        <color theme="1"/>
        <rFont val="Arial"/>
        <family val="2"/>
      </rPr>
      <t>nlipid-water,i</t>
    </r>
  </si>
  <si>
    <t>[O] Partition coefficient @ 25°C: air-water, ion</t>
  </si>
  <si>
    <t>[O] Partition coefficient @ 25°C: octanol-air, ion</t>
  </si>
  <si>
    <t>[O] Partition coefficient @ 25°C: octanol-water, ion</t>
  </si>
  <si>
    <t>Partition coefficient @ 25°C: air-water, neutral</t>
  </si>
  <si>
    <t>Partition coefficient @ 25°C: octanol-air, neutral</t>
  </si>
  <si>
    <t>Partition coefficient @ 25°C: octanol-water, neutral</t>
  </si>
  <si>
    <t>[O] Sorption coefficient @ 25°C: amorphous organic carbon, neutral</t>
  </si>
  <si>
    <t>[O] Sorption coefficient @ 25°C: carbonaceous organic carbon, neutral</t>
  </si>
  <si>
    <t>[O] Sorption coefficient @ 25°C: mineral matter, neutral</t>
  </si>
  <si>
    <t>[O] Partition coefficient @ 25°C: aerosol organic matter-gas, neutral</t>
  </si>
  <si>
    <t>[O] Partition coefficient @ 37°C: phospholipid-water, neutral</t>
  </si>
  <si>
    <t>[O] Partition coefficient @ 37°C: protein-water, neutral</t>
  </si>
  <si>
    <r>
      <t>K</t>
    </r>
    <r>
      <rPr>
        <vertAlign val="subscript"/>
        <sz val="10"/>
        <color theme="1"/>
        <rFont val="Arial"/>
        <family val="2"/>
      </rPr>
      <t>AW,i</t>
    </r>
  </si>
  <si>
    <r>
      <t>K</t>
    </r>
    <r>
      <rPr>
        <vertAlign val="subscript"/>
        <sz val="10"/>
        <color theme="1"/>
        <rFont val="Arial"/>
        <family val="2"/>
      </rPr>
      <t>OA,i</t>
    </r>
  </si>
  <si>
    <r>
      <t>K</t>
    </r>
    <r>
      <rPr>
        <vertAlign val="subscript"/>
        <sz val="10"/>
        <color theme="1"/>
        <rFont val="Arial"/>
        <family val="2"/>
      </rPr>
      <t>OW,i</t>
    </r>
  </si>
  <si>
    <r>
      <t>K</t>
    </r>
    <r>
      <rPr>
        <vertAlign val="subscript"/>
        <sz val="10"/>
        <color theme="1"/>
        <rFont val="Arial"/>
        <family val="2"/>
      </rPr>
      <t>AOC,i</t>
    </r>
  </si>
  <si>
    <r>
      <t>K</t>
    </r>
    <r>
      <rPr>
        <vertAlign val="subscript"/>
        <sz val="10"/>
        <color theme="1"/>
        <rFont val="Arial"/>
        <family val="2"/>
      </rPr>
      <t>COC,i</t>
    </r>
  </si>
  <si>
    <r>
      <t>K</t>
    </r>
    <r>
      <rPr>
        <vertAlign val="subscript"/>
        <sz val="10"/>
        <color theme="1"/>
        <rFont val="Arial"/>
        <family val="2"/>
      </rPr>
      <t>MIN,i</t>
    </r>
  </si>
  <si>
    <r>
      <t>K</t>
    </r>
    <r>
      <rPr>
        <vertAlign val="subscript"/>
        <sz val="10"/>
        <color theme="1"/>
        <rFont val="Arial"/>
        <family val="2"/>
      </rPr>
      <t>plipid-water,i</t>
    </r>
  </si>
  <si>
    <r>
      <t>K</t>
    </r>
    <r>
      <rPr>
        <vertAlign val="subscript"/>
        <sz val="10"/>
        <color theme="1"/>
        <rFont val="Arial"/>
        <family val="2"/>
      </rPr>
      <t>protein-water,i</t>
    </r>
  </si>
  <si>
    <t>ChemCat</t>
  </si>
  <si>
    <t>[O] pp-LFER: additional descriptor for cation</t>
  </si>
  <si>
    <t>[O] pp-LFER: additional descriptor for anion</t>
  </si>
  <si>
    <t>[O] pp-LFER: excess molar refraction, neutral</t>
  </si>
  <si>
    <t>[O] pp-LFER: dipolarity/polarizability parameter, neutral</t>
  </si>
  <si>
    <t>[O] pp-LFER: solute H-bond acidity, neutral</t>
  </si>
  <si>
    <t>[O] pp-LFER: solute H-bond basicity, neutral</t>
  </si>
  <si>
    <t>[O] pp-LFER: McGowan molar volume, neutral</t>
  </si>
  <si>
    <t>[O] pp-LFER: log of the hexadecane-air partition coefficient, neutral</t>
  </si>
  <si>
    <r>
      <t>E</t>
    </r>
    <r>
      <rPr>
        <vertAlign val="subscript"/>
        <sz val="10"/>
        <color theme="1"/>
        <rFont val="Arial"/>
        <family val="2"/>
      </rPr>
      <t>i</t>
    </r>
  </si>
  <si>
    <r>
      <t>S</t>
    </r>
    <r>
      <rPr>
        <vertAlign val="subscript"/>
        <sz val="10"/>
        <color theme="1"/>
        <rFont val="Arial"/>
        <family val="2"/>
      </rPr>
      <t>i</t>
    </r>
  </si>
  <si>
    <r>
      <t>A</t>
    </r>
    <r>
      <rPr>
        <vertAlign val="subscript"/>
        <sz val="10"/>
        <color theme="1"/>
        <rFont val="Arial"/>
        <family val="2"/>
      </rPr>
      <t>i</t>
    </r>
  </si>
  <si>
    <r>
      <t>B</t>
    </r>
    <r>
      <rPr>
        <vertAlign val="subscript"/>
        <sz val="10"/>
        <color theme="1"/>
        <rFont val="Arial"/>
        <family val="2"/>
      </rPr>
      <t>i</t>
    </r>
  </si>
  <si>
    <r>
      <t>V</t>
    </r>
    <r>
      <rPr>
        <vertAlign val="subscript"/>
        <sz val="10"/>
        <color theme="1"/>
        <rFont val="Arial"/>
        <family val="2"/>
      </rPr>
      <t>i</t>
    </r>
  </si>
  <si>
    <r>
      <t>J</t>
    </r>
    <r>
      <rPr>
        <vertAlign val="superscript"/>
        <sz val="10"/>
        <color theme="1"/>
        <rFont val="Arial"/>
        <family val="2"/>
      </rPr>
      <t>+</t>
    </r>
  </si>
  <si>
    <r>
      <t>J</t>
    </r>
    <r>
      <rPr>
        <vertAlign val="superscript"/>
        <sz val="10"/>
        <color theme="1"/>
        <rFont val="Arial"/>
        <family val="2"/>
      </rPr>
      <t>-</t>
    </r>
  </si>
  <si>
    <t>Real chemicals</t>
  </si>
  <si>
    <t>Flux_Indoor2Urban(kgPERh)</t>
  </si>
  <si>
    <t>Flux_Urban2Indoor(kgPERh)</t>
  </si>
  <si>
    <t>Removal_Carpet(kgPERh)</t>
  </si>
  <si>
    <t>Removal_flooring(kgPERh)</t>
  </si>
  <si>
    <t>Removal_HardSurfaces(kgPERh)</t>
  </si>
  <si>
    <t>Removal_WallsCeiling(kgPERh)</t>
  </si>
  <si>
    <t>steady state chemical flux (kg/h)</t>
  </si>
  <si>
    <t>EMISSION</t>
  </si>
  <si>
    <r>
      <t>cm s</t>
    </r>
    <r>
      <rPr>
        <vertAlign val="superscript"/>
        <sz val="10"/>
        <color theme="1"/>
        <rFont val="Arial"/>
        <family val="2"/>
      </rPr>
      <t>-1</t>
    </r>
  </si>
  <si>
    <t>[O] Caco-2 apparent transmembrane permeability</t>
  </si>
  <si>
    <r>
      <t>P</t>
    </r>
    <r>
      <rPr>
        <vertAlign val="subscript"/>
        <sz val="10"/>
        <color theme="1"/>
        <rFont val="Arial"/>
        <family val="2"/>
      </rPr>
      <t>app,Caco-2</t>
    </r>
  </si>
  <si>
    <t>Property (O: Optional input)</t>
  </si>
  <si>
    <t>Mode of Input</t>
  </si>
  <si>
    <t>End-of-life
waste disposal</t>
  </si>
  <si>
    <t>Chemical properties</t>
  </si>
  <si>
    <t>End-of-life 
waste disposal</t>
  </si>
  <si>
    <t>Emission factor breakdown</t>
  </si>
  <si>
    <t>Emission factors (Fractions released; mass/mass)</t>
  </si>
  <si>
    <t>Age3_WholeBodyConc(ngPERg)</t>
  </si>
  <si>
    <t>Age14_WholeBodyConc(ngPERg)</t>
  </si>
  <si>
    <t>Age25_WholeBodyConc(ngPERg)</t>
  </si>
  <si>
    <t>Age3_PlasmaConc(uM)</t>
  </si>
  <si>
    <t>Age14_PlasmaConc(uM)</t>
  </si>
  <si>
    <t>Age25_PlasmaConc(uM)</t>
  </si>
  <si>
    <t>Age3_TotalEliminationHL(h)</t>
  </si>
  <si>
    <t>Age14_TotalEliminationHL(h)</t>
  </si>
  <si>
    <t>Age25_TotalEliminationHL(h)</t>
  </si>
  <si>
    <t>Age25_Dietary ingestion(ugPERd)</t>
  </si>
  <si>
    <t>Age25_Ingestion of soil particles(ugPERd)</t>
  </si>
  <si>
    <t>Age25_Drinking water(ugPERd)</t>
  </si>
  <si>
    <t>Age25_Inhalation of outdoor air(ugPERd)</t>
  </si>
  <si>
    <t>Age25_Mouthing-mediated ingestion(ugPERd)</t>
  </si>
  <si>
    <t>Age25_Dermal absorption(ugPERd)</t>
  </si>
  <si>
    <t>Age25_Inhalation of indoor air(ugPERd)</t>
  </si>
  <si>
    <t>Age3_AverageDailyDose(ugPERkgPERd)</t>
  </si>
  <si>
    <t>Age14_AverageDailyDose(ugPERkgPERd)</t>
  </si>
  <si>
    <t>Age25_AverageDailyDose(ugPERkgPERd)</t>
  </si>
  <si>
    <t>FROM</t>
  </si>
  <si>
    <t>D-values (mol/h/Pa)</t>
  </si>
  <si>
    <t>m/h</t>
  </si>
  <si>
    <t>Artificial introduction of water</t>
  </si>
  <si>
    <t>Artificial withdrawal of water</t>
  </si>
  <si>
    <t>Los Angeles Basin</t>
  </si>
  <si>
    <t>Elevation (m)</t>
  </si>
  <si>
    <t>Latitude (deg)</t>
  </si>
  <si>
    <t>Male</t>
  </si>
  <si>
    <t>Chacterization of a 25-year-old individual</t>
  </si>
  <si>
    <r>
      <t>kg m</t>
    </r>
    <r>
      <rPr>
        <vertAlign val="superscript"/>
        <sz val="10"/>
        <color theme="1"/>
        <rFont val="Arial"/>
        <family val="2"/>
      </rPr>
      <t>-2</t>
    </r>
  </si>
  <si>
    <t>kg</t>
  </si>
  <si>
    <t>m</t>
  </si>
  <si>
    <r>
      <t>m</t>
    </r>
    <r>
      <rPr>
        <vertAlign val="superscript"/>
        <sz val="10"/>
        <color theme="1"/>
        <rFont val="Arial"/>
        <family val="2"/>
      </rPr>
      <t>3</t>
    </r>
    <r>
      <rPr>
        <sz val="10"/>
        <color theme="1"/>
        <rFont val="Arial"/>
        <family val="2"/>
      </rPr>
      <t xml:space="preserve"> d</t>
    </r>
    <r>
      <rPr>
        <vertAlign val="superscript"/>
        <sz val="10"/>
        <color theme="1"/>
        <rFont val="Arial"/>
        <family val="2"/>
      </rPr>
      <t>-1</t>
    </r>
  </si>
  <si>
    <r>
      <t>mg d</t>
    </r>
    <r>
      <rPr>
        <vertAlign val="superscript"/>
        <sz val="10"/>
        <color theme="1"/>
        <rFont val="Arial"/>
        <family val="2"/>
      </rPr>
      <t>-1</t>
    </r>
  </si>
  <si>
    <t>Air inhalation rate</t>
  </si>
  <si>
    <t>Drinking water ingestion rate</t>
  </si>
  <si>
    <t>Soil ingestion rate</t>
  </si>
  <si>
    <t>Indoor dust ingestion rate</t>
  </si>
  <si>
    <t>Body weight</t>
  </si>
  <si>
    <t>Fat weight</t>
  </si>
  <si>
    <t>Body height</t>
  </si>
  <si>
    <t>Body mass index</t>
  </si>
  <si>
    <t>Exposure medium intake rate</t>
  </si>
  <si>
    <t>Activity</t>
  </si>
  <si>
    <t>Living environment</t>
  </si>
  <si>
    <t>Drinking water source</t>
  </si>
  <si>
    <t>Age of childbearing</t>
  </si>
  <si>
    <t>Max gestational weight gain</t>
  </si>
  <si>
    <t>Weight of the new-born infant</t>
  </si>
  <si>
    <r>
      <t>m</t>
    </r>
    <r>
      <rPr>
        <vertAlign val="superscript"/>
        <sz val="10"/>
        <color theme="1"/>
        <rFont val="Arial"/>
        <family val="2"/>
      </rPr>
      <t>2</t>
    </r>
  </si>
  <si>
    <r>
      <t>kg/h/m</t>
    </r>
    <r>
      <rPr>
        <vertAlign val="superscript"/>
        <sz val="10"/>
        <color theme="1"/>
        <rFont val="Arial"/>
        <family val="2"/>
      </rPr>
      <t>3</t>
    </r>
  </si>
  <si>
    <r>
      <t>radical/cm</t>
    </r>
    <r>
      <rPr>
        <vertAlign val="superscript"/>
        <sz val="10"/>
        <color theme="1"/>
        <rFont val="Arial"/>
        <family val="2"/>
      </rPr>
      <t>3</t>
    </r>
  </si>
  <si>
    <t>Compartment</t>
  </si>
  <si>
    <r>
      <t>OH concentration (molecules cm</t>
    </r>
    <r>
      <rPr>
        <b/>
        <vertAlign val="superscript"/>
        <sz val="10"/>
        <color theme="0"/>
        <rFont val="Arial"/>
        <family val="2"/>
      </rPr>
      <t>-3</t>
    </r>
    <r>
      <rPr>
        <b/>
        <sz val="10"/>
        <color theme="0"/>
        <rFont val="Arial"/>
        <family val="2"/>
      </rPr>
      <t>)</t>
    </r>
  </si>
  <si>
    <t>Artificial introduction of water (m/h)</t>
  </si>
  <si>
    <t>Artificial withdrawal of water (m/h)</t>
  </si>
  <si>
    <r>
      <t>Total regional area (m</t>
    </r>
    <r>
      <rPr>
        <vertAlign val="superscript"/>
        <sz val="10"/>
        <color theme="1"/>
        <rFont val="Arial"/>
        <family val="2"/>
      </rPr>
      <t>2</t>
    </r>
    <r>
      <rPr>
        <sz val="10"/>
        <color theme="1"/>
        <rFont val="Arial"/>
        <family val="2"/>
      </rPr>
      <t>)</t>
    </r>
  </si>
  <si>
    <r>
      <t>Aerosol concentration: urban (μg/m</t>
    </r>
    <r>
      <rPr>
        <vertAlign val="superscript"/>
        <sz val="10"/>
        <color theme="1"/>
        <rFont val="Arial"/>
        <family val="2"/>
      </rPr>
      <t>3</t>
    </r>
    <r>
      <rPr>
        <sz val="10"/>
        <color theme="1"/>
        <rFont val="Arial"/>
        <family val="2"/>
      </rPr>
      <t>)</t>
    </r>
  </si>
  <si>
    <r>
      <t>Aerosol concentration: rural (μg/m</t>
    </r>
    <r>
      <rPr>
        <vertAlign val="superscript"/>
        <sz val="10"/>
        <color theme="1"/>
        <rFont val="Arial"/>
        <family val="2"/>
      </rPr>
      <t>3</t>
    </r>
    <r>
      <rPr>
        <sz val="10"/>
        <color theme="1"/>
        <rFont val="Arial"/>
        <family val="2"/>
      </rPr>
      <t>)</t>
    </r>
  </si>
  <si>
    <r>
      <t>"Heat island effect" (</t>
    </r>
    <r>
      <rPr>
        <i/>
        <sz val="10"/>
        <color theme="1"/>
        <rFont val="Arial"/>
        <family val="2"/>
      </rPr>
      <t>T</t>
    </r>
    <r>
      <rPr>
        <vertAlign val="subscript"/>
        <sz val="10"/>
        <color theme="1"/>
        <rFont val="Arial"/>
        <family val="2"/>
      </rPr>
      <t>urban</t>
    </r>
    <r>
      <rPr>
        <sz val="10"/>
        <color theme="1"/>
        <rFont val="Arial"/>
        <family val="2"/>
      </rPr>
      <t>-</t>
    </r>
    <r>
      <rPr>
        <i/>
        <sz val="10"/>
        <color theme="1"/>
        <rFont val="Arial"/>
        <family val="2"/>
      </rPr>
      <t>T</t>
    </r>
    <r>
      <rPr>
        <vertAlign val="subscript"/>
        <sz val="10"/>
        <color theme="1"/>
        <rFont val="Arial"/>
        <family val="2"/>
      </rPr>
      <t>rural</t>
    </r>
    <r>
      <rPr>
        <sz val="10"/>
        <color theme="1"/>
        <rFont val="Arial"/>
        <family val="2"/>
      </rPr>
      <t>) (K)</t>
    </r>
  </si>
  <si>
    <r>
      <t>Urban-rural difference (molecules cm</t>
    </r>
    <r>
      <rPr>
        <vertAlign val="superscript"/>
        <sz val="10"/>
        <color theme="1"/>
        <rFont val="Arial"/>
        <family val="2"/>
      </rPr>
      <t>-3</t>
    </r>
    <r>
      <rPr>
        <sz val="10"/>
        <color theme="1"/>
        <rFont val="Arial"/>
        <family val="2"/>
      </rPr>
      <t>)</t>
    </r>
  </si>
  <si>
    <t>Male growth curve</t>
  </si>
  <si>
    <t>Female growth curve</t>
  </si>
  <si>
    <t>Rate of new particle generation</t>
  </si>
  <si>
    <t>Fat percent</t>
  </si>
  <si>
    <t>Zooplankton</t>
  </si>
  <si>
    <t>Invertebrate/earthworm</t>
  </si>
  <si>
    <t>Plant foliage and leafy vegetables</t>
  </si>
  <si>
    <t>Plant root and root vegetables</t>
  </si>
  <si>
    <t>Edible equivalent portion
of the organisms</t>
  </si>
  <si>
    <t>Organism name</t>
  </si>
  <si>
    <t>Environment</t>
  </si>
  <si>
    <t>von Bertalanffy growth model parameters</t>
  </si>
  <si>
    <t>Chemical production/use starts on the first day of the year</t>
  </si>
  <si>
    <t>Simulation ends on the first day of the year</t>
  </si>
  <si>
    <t>Slaughter age
(Required; &lt;80 yr)</t>
  </si>
  <si>
    <t>Human</t>
  </si>
  <si>
    <t>Food-web organisms</t>
  </si>
  <si>
    <t>Bioaccumulation potential</t>
  </si>
  <si>
    <t>Database: Chemical Properties</t>
  </si>
  <si>
    <t>Database: Population</t>
  </si>
  <si>
    <t>Whole-body biotransformation rate constant in humans (70 kg-normalized)</t>
  </si>
  <si>
    <t>Whole-body biotransformation rate constant in aquatic organisms (10 g-normalized)</t>
  </si>
  <si>
    <t>[O] Whole-body biotransformation rate constant in avian species (1 kg-normalized)</t>
  </si>
  <si>
    <t>[O] Whole-body biotransformation rate constant in invertebrate (10 g-normalized)</t>
  </si>
  <si>
    <t>[O] Partition coefficient @ 37°C: storage lipid-water, neutral</t>
  </si>
  <si>
    <t>[O] Partition coefficient @ 37°C: storage lipid-water, ion</t>
  </si>
  <si>
    <t>Whole-body biotransformation rate constant in mammals (70 kg-normalized)</t>
  </si>
  <si>
    <t>Volumetric conc. of particles (m3/m3)</t>
  </si>
  <si>
    <t>Mass-based conc. of particles (kg/m3)</t>
  </si>
  <si>
    <t>Fractional volume of particles (%)</t>
  </si>
  <si>
    <r>
      <t>Deposition rate to urban surfaces (h</t>
    </r>
    <r>
      <rPr>
        <vertAlign val="superscript"/>
        <sz val="10"/>
        <color theme="1"/>
        <rFont val="Arial"/>
        <family val="2"/>
      </rPr>
      <t>-1</t>
    </r>
    <r>
      <rPr>
        <sz val="10"/>
        <color theme="1"/>
        <rFont val="Arial"/>
        <family val="2"/>
      </rPr>
      <t>)</t>
    </r>
  </si>
  <si>
    <r>
      <t>Deposition rate to rural surfaces (h</t>
    </r>
    <r>
      <rPr>
        <vertAlign val="superscript"/>
        <sz val="10"/>
        <color theme="1"/>
        <rFont val="Arial"/>
        <family val="2"/>
      </rPr>
      <t>-1</t>
    </r>
    <r>
      <rPr>
        <sz val="10"/>
        <color theme="1"/>
        <rFont val="Arial"/>
        <family val="2"/>
      </rPr>
      <t>)</t>
    </r>
  </si>
  <si>
    <t>Cleaning frequency</t>
  </si>
  <si>
    <t>times/month</t>
  </si>
  <si>
    <t>Particle generation</t>
  </si>
  <si>
    <t>Capita</t>
  </si>
  <si>
    <t>Regional population</t>
  </si>
  <si>
    <t>Latitude (absolute value)</t>
  </si>
  <si>
    <t>Elevation above mean sea level</t>
  </si>
  <si>
    <t>Frequency of storm events</t>
  </si>
  <si>
    <t>Fraction of vegetation that is coniferous: urban area</t>
  </si>
  <si>
    <t>Fraction of vegetation that is coniferous: rural area</t>
  </si>
  <si>
    <t>Compartment specific</t>
  </si>
  <si>
    <t>Temperature</t>
  </si>
  <si>
    <t>Wind speed</t>
  </si>
  <si>
    <t>Hydroxyl radical concentration</t>
  </si>
  <si>
    <t>Annual average</t>
  </si>
  <si>
    <r>
      <t>mol</t>
    </r>
    <r>
      <rPr>
        <vertAlign val="subscript"/>
        <sz val="10"/>
        <color theme="1"/>
        <rFont val="Arial"/>
        <family val="2"/>
      </rPr>
      <t>C</t>
    </r>
    <r>
      <rPr>
        <sz val="10"/>
        <color theme="1"/>
        <rFont val="Arial"/>
        <family val="2"/>
      </rPr>
      <t xml:space="preserve"> kg</t>
    </r>
    <r>
      <rPr>
        <vertAlign val="superscript"/>
        <sz val="10"/>
        <color theme="1"/>
        <rFont val="Arial"/>
        <family val="2"/>
      </rPr>
      <t>-1</t>
    </r>
  </si>
  <si>
    <r>
      <t>times yr</t>
    </r>
    <r>
      <rPr>
        <vertAlign val="superscript"/>
        <sz val="10"/>
        <color theme="1"/>
        <rFont val="Arial"/>
        <family val="2"/>
      </rPr>
      <t>-1</t>
    </r>
  </si>
  <si>
    <t>Degree</t>
  </si>
  <si>
    <t>Marcescent leave retention rate during winter</t>
  </si>
  <si>
    <t>Efficiency of chemical removal in storm water treatment plants</t>
  </si>
  <si>
    <t>Efficiency of chemical removal during solid waste compost</t>
  </si>
  <si>
    <t>Fraction of the urban river channels lined with concrete</t>
  </si>
  <si>
    <t>Dew point temperature</t>
  </si>
  <si>
    <t>°C</t>
  </si>
  <si>
    <t>Kelvin</t>
  </si>
  <si>
    <r>
      <t>m s</t>
    </r>
    <r>
      <rPr>
        <vertAlign val="superscript"/>
        <sz val="10"/>
        <color theme="1"/>
        <rFont val="Arial"/>
        <family val="2"/>
      </rPr>
      <t>-1</t>
    </r>
  </si>
  <si>
    <r>
      <t>Resuspension rate from urban surfaces (h</t>
    </r>
    <r>
      <rPr>
        <vertAlign val="superscript"/>
        <sz val="10"/>
        <color rgb="FF000000"/>
        <rFont val="Arial"/>
        <family val="2"/>
      </rPr>
      <t>-1</t>
    </r>
    <r>
      <rPr>
        <sz val="10"/>
        <color theme="1"/>
        <rFont val="Arial"/>
        <family val="2"/>
      </rPr>
      <t>)</t>
    </r>
  </si>
  <si>
    <r>
      <t>Resuspension rate from rural surfaces (h</t>
    </r>
    <r>
      <rPr>
        <vertAlign val="superscript"/>
        <sz val="10"/>
        <color rgb="FF000000"/>
        <rFont val="Arial"/>
        <family val="2"/>
      </rPr>
      <t>-1</t>
    </r>
    <r>
      <rPr>
        <sz val="10"/>
        <color theme="1"/>
        <rFont val="Arial"/>
        <family val="2"/>
      </rPr>
      <t>)</t>
    </r>
  </si>
  <si>
    <t>Outdoor area</t>
  </si>
  <si>
    <t>Indoor area</t>
  </si>
  <si>
    <t>Database: Particles</t>
  </si>
  <si>
    <t>Chemical ID</t>
  </si>
  <si>
    <t>Body weight at age 25 (kg)</t>
  </si>
  <si>
    <t>Fat weight at age 25 (kg)</t>
  </si>
  <si>
    <t>Body height at age 25 (m)</t>
  </si>
  <si>
    <r>
      <t>Body mass index at age 25 (kg m</t>
    </r>
    <r>
      <rPr>
        <vertAlign val="superscript"/>
        <sz val="10"/>
        <color theme="1"/>
        <rFont val="Arial"/>
        <family val="2"/>
      </rPr>
      <t>-2</t>
    </r>
    <r>
      <rPr>
        <sz val="10"/>
        <color theme="1"/>
        <rFont val="Arial"/>
        <family val="2"/>
      </rPr>
      <t>)</t>
    </r>
  </si>
  <si>
    <r>
      <t>Air inhalation rate at age 25 (m</t>
    </r>
    <r>
      <rPr>
        <vertAlign val="superscript"/>
        <sz val="10"/>
        <color theme="1"/>
        <rFont val="Arial"/>
        <family val="2"/>
      </rPr>
      <t>3</t>
    </r>
    <r>
      <rPr>
        <sz val="10"/>
        <color theme="1"/>
        <rFont val="Arial"/>
        <family val="2"/>
      </rPr>
      <t xml:space="preserve"> d</t>
    </r>
    <r>
      <rPr>
        <vertAlign val="superscript"/>
        <sz val="10"/>
        <color theme="1"/>
        <rFont val="Arial"/>
        <family val="2"/>
      </rPr>
      <t>-1</t>
    </r>
    <r>
      <rPr>
        <sz val="10"/>
        <color theme="1"/>
        <rFont val="Arial"/>
        <family val="2"/>
      </rPr>
      <t>)</t>
    </r>
  </si>
  <si>
    <r>
      <t>Drinking water ingestion rate at age 25 (m</t>
    </r>
    <r>
      <rPr>
        <vertAlign val="superscript"/>
        <sz val="10"/>
        <color theme="1"/>
        <rFont val="Arial"/>
        <family val="2"/>
      </rPr>
      <t>3</t>
    </r>
    <r>
      <rPr>
        <sz val="10"/>
        <color theme="1"/>
        <rFont val="Arial"/>
        <family val="2"/>
      </rPr>
      <t xml:space="preserve"> d</t>
    </r>
    <r>
      <rPr>
        <vertAlign val="superscript"/>
        <sz val="10"/>
        <color theme="1"/>
        <rFont val="Arial"/>
        <family val="2"/>
      </rPr>
      <t>-1</t>
    </r>
    <r>
      <rPr>
        <sz val="10"/>
        <color theme="1"/>
        <rFont val="Arial"/>
        <family val="2"/>
      </rPr>
      <t>)</t>
    </r>
  </si>
  <si>
    <r>
      <t>Soil ingestion rate at age 25 (m</t>
    </r>
    <r>
      <rPr>
        <vertAlign val="superscript"/>
        <sz val="10"/>
        <color theme="1"/>
        <rFont val="Arial"/>
        <family val="2"/>
      </rPr>
      <t>3</t>
    </r>
    <r>
      <rPr>
        <sz val="10"/>
        <color theme="1"/>
        <rFont val="Arial"/>
        <family val="2"/>
      </rPr>
      <t xml:space="preserve"> d</t>
    </r>
    <r>
      <rPr>
        <vertAlign val="superscript"/>
        <sz val="10"/>
        <color theme="1"/>
        <rFont val="Arial"/>
        <family val="2"/>
      </rPr>
      <t>-1</t>
    </r>
    <r>
      <rPr>
        <sz val="10"/>
        <color theme="1"/>
        <rFont val="Arial"/>
        <family val="2"/>
      </rPr>
      <t>)</t>
    </r>
  </si>
  <si>
    <r>
      <t>Indoor dust ingestion rate at age 25 (mg d</t>
    </r>
    <r>
      <rPr>
        <vertAlign val="superscript"/>
        <sz val="10"/>
        <color theme="1"/>
        <rFont val="Arial"/>
        <family val="2"/>
      </rPr>
      <t>-1</t>
    </r>
    <r>
      <rPr>
        <sz val="10"/>
        <color theme="1"/>
        <rFont val="Arial"/>
        <family val="2"/>
      </rPr>
      <t>)</t>
    </r>
  </si>
  <si>
    <t>Surface water</t>
  </si>
  <si>
    <t>Database: Environmental Characteristics</t>
  </si>
  <si>
    <t>The "EmissionRate" module</t>
  </si>
  <si>
    <t>Not used</t>
  </si>
  <si>
    <t>Used or not</t>
  </si>
  <si>
    <t>The "SkinApplication" module</t>
  </si>
  <si>
    <r>
      <t>Mass of chemical per application (g-product m</t>
    </r>
    <r>
      <rPr>
        <vertAlign val="superscript"/>
        <sz val="10"/>
        <color theme="1"/>
        <rFont val="Arial"/>
        <family val="2"/>
      </rPr>
      <t>-2</t>
    </r>
    <r>
      <rPr>
        <sz val="10"/>
        <color theme="1"/>
        <rFont val="Arial"/>
        <family val="2"/>
      </rPr>
      <t>-skin)</t>
    </r>
  </si>
  <si>
    <r>
      <t>Conc. of chemical in the product (g-chem L</t>
    </r>
    <r>
      <rPr>
        <vertAlign val="superscript"/>
        <sz val="10"/>
        <color theme="1"/>
        <rFont val="Arial"/>
        <family val="2"/>
      </rPr>
      <t>-1</t>
    </r>
    <r>
      <rPr>
        <sz val="10"/>
        <color theme="1"/>
        <rFont val="Arial"/>
        <family val="2"/>
      </rPr>
      <t>-product)</t>
    </r>
  </si>
  <si>
    <r>
      <t>Frequency of application per day (times d</t>
    </r>
    <r>
      <rPr>
        <vertAlign val="superscript"/>
        <sz val="10"/>
        <color theme="1"/>
        <rFont val="Arial"/>
        <family val="2"/>
      </rPr>
      <t>-1</t>
    </r>
    <r>
      <rPr>
        <sz val="10"/>
        <color theme="1"/>
        <rFont val="Arial"/>
        <family val="2"/>
      </rPr>
      <t>)</t>
    </r>
  </si>
  <si>
    <r>
      <t>Duration of each application (min time</t>
    </r>
    <r>
      <rPr>
        <vertAlign val="superscript"/>
        <sz val="10"/>
        <color theme="1"/>
        <rFont val="Arial"/>
        <family val="2"/>
      </rPr>
      <t>-1</t>
    </r>
    <r>
      <rPr>
        <sz val="10"/>
        <color theme="1"/>
        <rFont val="Arial"/>
        <family val="2"/>
      </rPr>
      <t>)</t>
    </r>
  </si>
  <si>
    <t>Material thickness (m)</t>
  </si>
  <si>
    <r>
      <t>Initial concentration (mol m</t>
    </r>
    <r>
      <rPr>
        <vertAlign val="superscript"/>
        <sz val="10"/>
        <color theme="1"/>
        <rFont val="Arial"/>
        <family val="2"/>
      </rPr>
      <t>-3</t>
    </r>
    <r>
      <rPr>
        <sz val="10"/>
        <color theme="1"/>
        <rFont val="Arial"/>
        <family val="2"/>
      </rPr>
      <t>)</t>
    </r>
  </si>
  <si>
    <t>Population #</t>
  </si>
  <si>
    <t>China Anhui</t>
  </si>
  <si>
    <t>Precipitation rate</t>
  </si>
  <si>
    <t>mm</t>
  </si>
  <si>
    <t>Rain rate (mm)</t>
  </si>
  <si>
    <r>
      <t>"Rain island effect" (</t>
    </r>
    <r>
      <rPr>
        <i/>
        <sz val="10"/>
        <color theme="1"/>
        <rFont val="Arial"/>
        <family val="2"/>
      </rPr>
      <t>Urban - Rural</t>
    </r>
    <r>
      <rPr>
        <sz val="10"/>
        <color theme="1"/>
        <rFont val="Arial"/>
        <family val="2"/>
      </rPr>
      <t>) (mm)</t>
    </r>
  </si>
  <si>
    <t>Dew point temperature (°C)</t>
  </si>
  <si>
    <t>Frequency of storm events (times/yr)</t>
  </si>
  <si>
    <t>0 min remaining</t>
  </si>
  <si>
    <t>Lab rat</t>
  </si>
  <si>
    <t>Lab mice</t>
  </si>
  <si>
    <r>
      <t>Food intake preference (In either percent contribution or absolute m</t>
    </r>
    <r>
      <rPr>
        <b/>
        <vertAlign val="superscript"/>
        <sz val="10"/>
        <color theme="0"/>
        <rFont val="Arial"/>
        <family val="2"/>
      </rPr>
      <t>3</t>
    </r>
    <r>
      <rPr>
        <b/>
        <sz val="10"/>
        <color theme="0"/>
        <rFont val="Arial"/>
        <family val="2"/>
      </rPr>
      <t xml:space="preserve"> h</t>
    </r>
    <r>
      <rPr>
        <b/>
        <vertAlign val="superscript"/>
        <sz val="10"/>
        <color theme="0"/>
        <rFont val="Arial"/>
        <family val="2"/>
      </rPr>
      <t>-1</t>
    </r>
    <r>
      <rPr>
        <b/>
        <sz val="10"/>
        <color theme="0"/>
        <rFont val="Arial"/>
        <family val="2"/>
      </rPr>
      <t xml:space="preserve"> kgBW</t>
    </r>
    <r>
      <rPr>
        <b/>
        <vertAlign val="superscript"/>
        <sz val="10"/>
        <color theme="0"/>
        <rFont val="Arial"/>
        <family val="2"/>
      </rPr>
      <t>-1</t>
    </r>
    <r>
      <rPr>
        <b/>
        <sz val="10"/>
        <color theme="0"/>
        <rFont val="Arial"/>
        <family val="2"/>
      </rPr>
      <t>)</t>
    </r>
  </si>
  <si>
    <r>
      <t>Total food
 (m</t>
    </r>
    <r>
      <rPr>
        <vertAlign val="superscript"/>
        <sz val="10"/>
        <color rgb="FF0070C0"/>
        <rFont val="Arial"/>
        <family val="2"/>
      </rPr>
      <t>3</t>
    </r>
    <r>
      <rPr>
        <sz val="10"/>
        <color rgb="FF0070C0"/>
        <rFont val="Arial"/>
        <family val="2"/>
      </rPr>
      <t xml:space="preserve"> h</t>
    </r>
    <r>
      <rPr>
        <vertAlign val="superscript"/>
        <sz val="10"/>
        <color rgb="FF0070C0"/>
        <rFont val="Arial"/>
        <family val="2"/>
      </rPr>
      <t>-1</t>
    </r>
    <r>
      <rPr>
        <sz val="10"/>
        <color rgb="FF0070C0"/>
        <rFont val="Arial"/>
        <family val="2"/>
      </rPr>
      <t xml:space="preserve"> kgBW</t>
    </r>
    <r>
      <rPr>
        <vertAlign val="superscript"/>
        <sz val="10"/>
        <color rgb="FF0070C0"/>
        <rFont val="Arial"/>
        <family val="2"/>
      </rPr>
      <t>-1</t>
    </r>
    <r>
      <rPr>
        <sz val="10"/>
        <color rgb="FF0070C0"/>
        <rFont val="Arial"/>
        <family val="2"/>
      </rPr>
      <t>)</t>
    </r>
  </si>
  <si>
    <r>
      <t>Air
 (m</t>
    </r>
    <r>
      <rPr>
        <vertAlign val="superscript"/>
        <sz val="10"/>
        <color rgb="FF0070C0"/>
        <rFont val="Arial"/>
        <family val="2"/>
      </rPr>
      <t>3</t>
    </r>
    <r>
      <rPr>
        <sz val="10"/>
        <color rgb="FF0070C0"/>
        <rFont val="Arial"/>
        <family val="2"/>
      </rPr>
      <t xml:space="preserve"> h</t>
    </r>
    <r>
      <rPr>
        <vertAlign val="superscript"/>
        <sz val="10"/>
        <color rgb="FF0070C0"/>
        <rFont val="Arial"/>
        <family val="2"/>
      </rPr>
      <t>-1</t>
    </r>
    <r>
      <rPr>
        <sz val="10"/>
        <color rgb="FF0070C0"/>
        <rFont val="Arial"/>
        <family val="2"/>
      </rPr>
      <t xml:space="preserve"> kgBW</t>
    </r>
    <r>
      <rPr>
        <vertAlign val="superscript"/>
        <sz val="10"/>
        <color rgb="FF0070C0"/>
        <rFont val="Arial"/>
        <family val="2"/>
      </rPr>
      <t>-1</t>
    </r>
    <r>
      <rPr>
        <sz val="10"/>
        <color rgb="FF0070C0"/>
        <rFont val="Arial"/>
        <family val="2"/>
      </rPr>
      <t>)</t>
    </r>
  </si>
  <si>
    <r>
      <t>Water
 (m</t>
    </r>
    <r>
      <rPr>
        <vertAlign val="superscript"/>
        <sz val="10"/>
        <color rgb="FF0070C0"/>
        <rFont val="Arial"/>
        <family val="2"/>
      </rPr>
      <t>3</t>
    </r>
    <r>
      <rPr>
        <sz val="10"/>
        <color rgb="FF0070C0"/>
        <rFont val="Arial"/>
        <family val="2"/>
      </rPr>
      <t xml:space="preserve"> h</t>
    </r>
    <r>
      <rPr>
        <vertAlign val="superscript"/>
        <sz val="10"/>
        <color rgb="FF0070C0"/>
        <rFont val="Arial"/>
        <family val="2"/>
      </rPr>
      <t>-1</t>
    </r>
    <r>
      <rPr>
        <sz val="10"/>
        <color rgb="FF0070C0"/>
        <rFont val="Arial"/>
        <family val="2"/>
      </rPr>
      <t xml:space="preserve"> kgBW</t>
    </r>
    <r>
      <rPr>
        <vertAlign val="superscript"/>
        <sz val="10"/>
        <color rgb="FF0070C0"/>
        <rFont val="Arial"/>
        <family val="2"/>
      </rPr>
      <t>-1</t>
    </r>
    <r>
      <rPr>
        <sz val="10"/>
        <color rgb="FF0070C0"/>
        <rFont val="Arial"/>
        <family val="2"/>
      </rPr>
      <t>)</t>
    </r>
  </si>
  <si>
    <r>
      <t>Soil
 (m</t>
    </r>
    <r>
      <rPr>
        <vertAlign val="superscript"/>
        <sz val="10"/>
        <color rgb="FF0070C0"/>
        <rFont val="Arial"/>
        <family val="2"/>
      </rPr>
      <t>3</t>
    </r>
    <r>
      <rPr>
        <sz val="10"/>
        <color rgb="FF0070C0"/>
        <rFont val="Arial"/>
        <family val="2"/>
      </rPr>
      <t xml:space="preserve"> h</t>
    </r>
    <r>
      <rPr>
        <vertAlign val="superscript"/>
        <sz val="10"/>
        <color rgb="FF0070C0"/>
        <rFont val="Arial"/>
        <family val="2"/>
      </rPr>
      <t>-1</t>
    </r>
    <r>
      <rPr>
        <sz val="10"/>
        <color rgb="FF0070C0"/>
        <rFont val="Arial"/>
        <family val="2"/>
      </rPr>
      <t xml:space="preserve"> kgBW</t>
    </r>
    <r>
      <rPr>
        <vertAlign val="superscript"/>
        <sz val="10"/>
        <color rgb="FF0070C0"/>
        <rFont val="Arial"/>
        <family val="2"/>
      </rPr>
      <t>-1</t>
    </r>
    <r>
      <rPr>
        <sz val="10"/>
        <color rgb="FF0070C0"/>
        <rFont val="Arial"/>
        <family val="2"/>
      </rPr>
      <t>)</t>
    </r>
  </si>
  <si>
    <t>Total food</t>
  </si>
  <si>
    <t>Soil</t>
  </si>
  <si>
    <t>Taxon</t>
  </si>
  <si>
    <t>Plankton</t>
  </si>
  <si>
    <t>Fish</t>
  </si>
  <si>
    <t>Plant</t>
  </si>
  <si>
    <t>Bird</t>
  </si>
  <si>
    <t>LargeMammal</t>
  </si>
  <si>
    <t>Rodent</t>
  </si>
  <si>
    <t>Body-weight-normalized medium intake rate (blank = use default values)</t>
  </si>
  <si>
    <t>Absorption efficiency  (blank = use default values)</t>
  </si>
  <si>
    <t>2,6-Dichlorobenzamide</t>
  </si>
  <si>
    <t>4-(Trifluoromethyl)phenol</t>
  </si>
  <si>
    <t>4-Formylaminoantipyrine</t>
  </si>
  <si>
    <t>5-Methyl-1H-benzotriazole</t>
  </si>
  <si>
    <t>Acesulfame potassium</t>
  </si>
  <si>
    <t>Atrazine</t>
  </si>
  <si>
    <t>2-Hydroxyatrazine</t>
  </si>
  <si>
    <t>s-Chloroaminoisopropylaminotriazine</t>
  </si>
  <si>
    <t>1,2,3-Benzotriazole</t>
  </si>
  <si>
    <t>Caffeine</t>
  </si>
  <si>
    <t>Candesartan</t>
  </si>
  <si>
    <t>Carbamazepine</t>
  </si>
  <si>
    <t>3(2H)-Pyridazinone, 5-amino-4-chloro-</t>
  </si>
  <si>
    <t>Methyldesphenylchloridazon</t>
  </si>
  <si>
    <t>Diuron</t>
  </si>
  <si>
    <t>Hydrochlorothiazide</t>
  </si>
  <si>
    <t>Lamotrigine</t>
  </si>
  <si>
    <t>Metolachlor ESA</t>
  </si>
  <si>
    <t>O-Desmethylvenlafaxine</t>
  </si>
  <si>
    <t>Oxazepam</t>
  </si>
  <si>
    <t>Perfluorobutanoic acid</t>
  </si>
  <si>
    <t>Potassium perfluorobutanesulfonate</t>
  </si>
  <si>
    <t>Perfluoroheptanoic acid</t>
  </si>
  <si>
    <t>Perfluorohexanoic acid</t>
  </si>
  <si>
    <t>Potassium perfluorohexanesulfonate</t>
  </si>
  <si>
    <t>Perfluorooctanoic acid</t>
  </si>
  <si>
    <t>Perfluorooctanesulfonic acid</t>
  </si>
  <si>
    <t>Sucralose</t>
  </si>
  <si>
    <t>Sulfamethoxazole</t>
  </si>
  <si>
    <t>Sulpiride</t>
  </si>
  <si>
    <t>Hydroxyterbuthylazine</t>
  </si>
  <si>
    <t>Tramadol</t>
  </si>
  <si>
    <t>Venlafaxine</t>
  </si>
  <si>
    <t>PCB28</t>
  </si>
  <si>
    <t>PCB52</t>
  </si>
  <si>
    <t>PCB118</t>
  </si>
  <si>
    <t>PCB153</t>
  </si>
  <si>
    <t>BDE15</t>
  </si>
  <si>
    <t>BDE28</t>
  </si>
  <si>
    <t>BDE47</t>
  </si>
  <si>
    <t>BDE99</t>
  </si>
  <si>
    <t>BDE100</t>
  </si>
  <si>
    <t>BDE153</t>
  </si>
  <si>
    <t>BDE183</t>
  </si>
  <si>
    <t>BDE209</t>
  </si>
  <si>
    <t>Dieldrin</t>
  </si>
  <si>
    <t>Aldrin</t>
    <phoneticPr fontId="2" type="noConversion"/>
  </si>
  <si>
    <t>Dicofol</t>
    <phoneticPr fontId="2" type="noConversion"/>
  </si>
  <si>
    <t>Heptachlor</t>
  </si>
  <si>
    <t>DCPS</t>
  </si>
  <si>
    <t>SCCPs (C13Cl6)</t>
  </si>
  <si>
    <t>MCCPs (C14Cl7)</t>
  </si>
  <si>
    <t>Neutral</t>
  </si>
  <si>
    <t>33/33 chemicals</t>
  </si>
  <si>
    <t>[O] Fraction of active renal tubular reabsorption</t>
  </si>
  <si>
    <t>[O] Multiplier for active renal tubular secretion</t>
  </si>
  <si>
    <r>
      <t>F</t>
    </r>
    <r>
      <rPr>
        <vertAlign val="subscript"/>
        <sz val="10"/>
        <color theme="1"/>
        <rFont val="Arial"/>
        <family val="2"/>
      </rPr>
      <t>reabsorp</t>
    </r>
  </si>
  <si>
    <r>
      <t>F</t>
    </r>
    <r>
      <rPr>
        <vertAlign val="subscript"/>
        <sz val="10"/>
        <color theme="1"/>
        <rFont val="Arial"/>
        <family val="2"/>
      </rPr>
      <t>secret</t>
    </r>
  </si>
  <si>
    <t>Lab zebrafish</t>
  </si>
  <si>
    <t>Lab zebrafish larva</t>
  </si>
  <si>
    <t>Freshwater</t>
  </si>
  <si>
    <t>Protein
(%)</t>
  </si>
  <si>
    <t>Output default food chain information (Y/N)</t>
  </si>
  <si>
    <t>Advanced</t>
  </si>
  <si>
    <t>80-05-7</t>
  </si>
  <si>
    <t>3380-34-5</t>
  </si>
  <si>
    <t>1912-24-9</t>
  </si>
  <si>
    <t>86-50-0</t>
  </si>
  <si>
    <t>63-25-2</t>
  </si>
  <si>
    <t>1563-66-2</t>
  </si>
  <si>
    <t>52918-63-5</t>
  </si>
  <si>
    <t>333-41-5</t>
  </si>
  <si>
    <t>94-75-7</t>
  </si>
  <si>
    <t>62-73-7</t>
  </si>
  <si>
    <t>2921-88-2</t>
  </si>
  <si>
    <t>60-51-5</t>
  </si>
  <si>
    <t>96-45-7</t>
  </si>
  <si>
    <t>55-38-9</t>
  </si>
  <si>
    <t>118-74-1</t>
  </si>
  <si>
    <t>319-85-7</t>
  </si>
  <si>
    <t>58-89-9</t>
  </si>
  <si>
    <t>608-73-1</t>
  </si>
  <si>
    <t>121-75-5</t>
  </si>
  <si>
    <t>950-37-8</t>
  </si>
  <si>
    <t>298-00-0</t>
  </si>
  <si>
    <t>1836-75-5</t>
  </si>
  <si>
    <t>56-38-2</t>
  </si>
  <si>
    <t>82-68-8</t>
  </si>
  <si>
    <t>87-86-5</t>
  </si>
  <si>
    <t>90-43-7</t>
  </si>
  <si>
    <t>93-76-5</t>
  </si>
  <si>
    <t>52-68-6</t>
  </si>
  <si>
    <t>134-62-3</t>
  </si>
  <si>
    <t>298-04-4</t>
  </si>
  <si>
    <t>2104-64-5</t>
  </si>
  <si>
    <t>13071-79-9</t>
  </si>
  <si>
    <t>52645-53-1</t>
  </si>
  <si>
    <t>51218-45-2</t>
  </si>
  <si>
    <t>30560-19-1</t>
  </si>
  <si>
    <t>34256-82-1</t>
  </si>
  <si>
    <t>141-66-2</t>
  </si>
  <si>
    <t>55285-14-8</t>
  </si>
  <si>
    <t>64902-72-3</t>
  </si>
  <si>
    <t>52315-07-8</t>
  </si>
  <si>
    <t>563-12-2</t>
  </si>
  <si>
    <t>300-76-5</t>
  </si>
  <si>
    <t>732-11-6</t>
  </si>
  <si>
    <t>29232-93-7</t>
  </si>
  <si>
    <t>3689-24-5</t>
  </si>
  <si>
    <t>123-30-8</t>
  </si>
  <si>
    <t>54593-83-8</t>
  </si>
  <si>
    <t>5598-13-0</t>
  </si>
  <si>
    <t>298-02-2</t>
  </si>
  <si>
    <t>3383-96-8</t>
  </si>
  <si>
    <t>122-14-5</t>
  </si>
  <si>
    <t>22248-79-9</t>
  </si>
  <si>
    <t>111991-09-4</t>
  </si>
  <si>
    <t>299-84-3</t>
  </si>
  <si>
    <t>68359-37-5</t>
  </si>
  <si>
    <t>97-17-6</t>
  </si>
  <si>
    <t>42576-02-3</t>
  </si>
  <si>
    <t>82560-54-1</t>
  </si>
  <si>
    <t>34643-46-4</t>
  </si>
  <si>
    <t>1836-77-7</t>
  </si>
  <si>
    <t>301-12-2</t>
  </si>
  <si>
    <t>32861-85-1</t>
  </si>
  <si>
    <t>36519-00-3</t>
  </si>
  <si>
    <t>52570-16-8</t>
  </si>
  <si>
    <t>141776-32-1</t>
  </si>
  <si>
    <t>65907-30-4</t>
  </si>
  <si>
    <t>94125-34-5</t>
  </si>
  <si>
    <t>327-98-0</t>
  </si>
  <si>
    <t>3566-10-7</t>
  </si>
  <si>
    <t>42509-83-1</t>
  </si>
  <si>
    <t>129-00-0</t>
  </si>
  <si>
    <t>91-20-3</t>
  </si>
  <si>
    <t>98-95-3</t>
  </si>
  <si>
    <t>86-73-7</t>
  </si>
  <si>
    <t>85-01-8</t>
  </si>
  <si>
    <t>100-17-4</t>
  </si>
  <si>
    <t>85-68-7</t>
  </si>
  <si>
    <t>117-81-7</t>
  </si>
  <si>
    <t>84-66-2</t>
  </si>
  <si>
    <t>84-74-2</t>
  </si>
  <si>
    <t>117-84-0</t>
  </si>
  <si>
    <t>140-66-9</t>
  </si>
  <si>
    <t>131-11-3</t>
  </si>
  <si>
    <t>84-69-5</t>
  </si>
  <si>
    <t>84-61-7</t>
  </si>
  <si>
    <t>94-26-8</t>
  </si>
  <si>
    <t>56-72-4</t>
  </si>
  <si>
    <t>94-13-3</t>
  </si>
  <si>
    <t>120-47-8</t>
  </si>
  <si>
    <t>99-76-3</t>
  </si>
  <si>
    <t>131-57-7</t>
  </si>
  <si>
    <t>120-82-1</t>
  </si>
  <si>
    <t>541-73-1</t>
  </si>
  <si>
    <t>108-70-3</t>
  </si>
  <si>
    <t>106-46-7</t>
  </si>
  <si>
    <t>DEHP</t>
  </si>
  <si>
    <t>MEHP</t>
  </si>
  <si>
    <t>5oxo-MEHP</t>
  </si>
  <si>
    <t>5OH-MEHP</t>
  </si>
  <si>
    <t>5cx-MEHP</t>
  </si>
  <si>
    <t>MCMHP</t>
  </si>
  <si>
    <t>DINP</t>
  </si>
  <si>
    <t>MINP</t>
  </si>
  <si>
    <t>7oxo-MMeOP</t>
  </si>
  <si>
    <t>7OH-MMeOP</t>
  </si>
  <si>
    <t>7cx-MMEHP</t>
  </si>
  <si>
    <t>DPHP</t>
  </si>
  <si>
    <t>oxo-MPHP</t>
  </si>
  <si>
    <t>OH-MPHP</t>
  </si>
  <si>
    <t>cx-MPHxP</t>
  </si>
  <si>
    <t>DnBP</t>
  </si>
  <si>
    <t>MnBP</t>
  </si>
  <si>
    <t>3OH-MnBP</t>
  </si>
  <si>
    <t>4OH-MnBP</t>
  </si>
  <si>
    <t>2OH-MnBP</t>
  </si>
  <si>
    <t>MCPP</t>
  </si>
  <si>
    <t>DiBP</t>
  </si>
  <si>
    <t>MiBP</t>
  </si>
  <si>
    <t>2OH-MiBP</t>
  </si>
  <si>
    <t>3OH-MiBP</t>
  </si>
  <si>
    <t>MCiPP</t>
  </si>
  <si>
    <t>DEP</t>
  </si>
  <si>
    <t>MEP</t>
  </si>
  <si>
    <t>DMP</t>
  </si>
  <si>
    <t>MMP</t>
  </si>
  <si>
    <t>C8BAC</t>
  </si>
  <si>
    <t>C10BAC</t>
  </si>
  <si>
    <t>C12BAC</t>
  </si>
  <si>
    <t>C14BAC</t>
  </si>
  <si>
    <t>C16BAC</t>
  </si>
  <si>
    <t>C18BAC</t>
  </si>
  <si>
    <t>C12ADEAC</t>
  </si>
  <si>
    <t>C14ADEAC</t>
  </si>
  <si>
    <t>DODAC</t>
  </si>
  <si>
    <t>DDDAC</t>
  </si>
  <si>
    <t>ODDAC</t>
  </si>
  <si>
    <t>C14ADBAS</t>
  </si>
  <si>
    <t>Benzethonium Chloride</t>
  </si>
  <si>
    <t>Cetrimonium Bromide</t>
  </si>
  <si>
    <t>Chloroxylenol</t>
  </si>
  <si>
    <t>Triethylene glycol</t>
  </si>
  <si>
    <t>Bronopol</t>
  </si>
  <si>
    <t>Chlorhexidine Gluconate</t>
  </si>
  <si>
    <t>Thymol</t>
  </si>
  <si>
    <t>O-Phenylphenol</t>
  </si>
  <si>
    <t>Triclocarban</t>
  </si>
  <si>
    <t>Triclosan</t>
  </si>
  <si>
    <t>Nicotine</t>
  </si>
  <si>
    <t>Cotinine</t>
  </si>
  <si>
    <t>Hydroxycotinine</t>
  </si>
  <si>
    <t>Methamphetamine</t>
  </si>
  <si>
    <t>NA</t>
  </si>
  <si>
    <t>Amines</t>
  </si>
  <si>
    <t>Phenoxides</t>
  </si>
  <si>
    <t>Carboxylates</t>
  </si>
  <si>
    <t>Pyridines</t>
  </si>
  <si>
    <t>Biodegradation rate constant</t>
  </si>
  <si>
    <r>
      <t>k</t>
    </r>
    <r>
      <rPr>
        <vertAlign val="subscript"/>
        <sz val="10"/>
        <color theme="1"/>
        <rFont val="Arial"/>
        <family val="2"/>
      </rPr>
      <t>biodeg</t>
    </r>
  </si>
  <si>
    <t>[O] Activation energy: biodegradation</t>
  </si>
  <si>
    <r>
      <t>AE</t>
    </r>
    <r>
      <rPr>
        <vertAlign val="subscript"/>
        <sz val="10"/>
        <color theme="1"/>
        <rFont val="Arial"/>
        <family val="2"/>
      </rPr>
      <t xml:space="preserve">biodeg </t>
    </r>
  </si>
  <si>
    <r>
      <t>Environmental reactivity condition scaling factor for HL</t>
    </r>
    <r>
      <rPr>
        <vertAlign val="subscript"/>
        <sz val="10"/>
        <color theme="1"/>
        <rFont val="Arial"/>
        <family val="2"/>
      </rPr>
      <t>biodeg</t>
    </r>
  </si>
  <si>
    <r>
      <t>Environmental reactivity condition scaling factor for HL</t>
    </r>
    <r>
      <rPr>
        <b/>
        <vertAlign val="subscript"/>
        <sz val="10"/>
        <color theme="0"/>
        <rFont val="Arial"/>
        <family val="2"/>
      </rPr>
      <t>biodeg</t>
    </r>
  </si>
  <si>
    <t>Western Baltic drainage basin</t>
  </si>
  <si>
    <t>Constant</t>
  </si>
  <si>
    <t>Time-variant, Year 1</t>
  </si>
  <si>
    <t>Version 3.0 @ Jan 2026 Release</t>
  </si>
  <si>
    <t>This run | User: lili; Start time: 2026-02-03 22:18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</si>
</sst>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0.000"/>
    <numFmt numFmtId="165" formatCode="0.0%"/>
    <numFmt numFmtId="166" formatCode="0.0E+00"/>
    <numFmt numFmtId="167" formatCode="0.0"/>
    <numFmt numFmtId="168" formatCode="0.0000"/>
    <numFmt numFmtId="169" formatCode="_(* #,##0_);_(* \(#,##0\);_(* &quot;-&quot;??_);_(@_)"/>
  </numFmts>
  <fonts count="61">
    <font>
      <sz val="11"/>
      <color theme="1"/>
      <name val="Calibri"/>
      <family val="2"/>
      <charset val="134"/>
      <scheme val="minor"/>
    </font>
    <font>
      <b/>
      <sz val="10"/>
      <color theme="1"/>
      <name val="Arial"/>
      <family val="2"/>
    </font>
    <font>
      <sz val="9"/>
      <name val="Calibri"/>
      <family val="2"/>
      <charset val="134"/>
      <scheme val="minor"/>
    </font>
    <font>
      <sz val="9"/>
      <name val="Calibri"/>
      <family val="3"/>
      <charset val="134"/>
      <scheme val="minor"/>
    </font>
    <font>
      <sz val="10"/>
      <color theme="1"/>
      <name val="Arial"/>
      <family val="2"/>
    </font>
    <font>
      <b/>
      <sz val="9"/>
      <color indexed="81"/>
      <name val="Tahoma"/>
      <family val="2"/>
    </font>
    <font>
      <sz val="9"/>
      <color indexed="81"/>
      <name val="Tahoma"/>
      <family val="2"/>
    </font>
    <font>
      <sz val="10.5"/>
      <color theme="1"/>
      <name val="Arial"/>
      <family val="2"/>
    </font>
    <font>
      <b/>
      <sz val="11"/>
      <color rgb="FF000000"/>
      <name val="Arial"/>
      <family val="2"/>
    </font>
    <font>
      <sz val="11"/>
      <color theme="1"/>
      <name val="Arial"/>
      <family val="2"/>
    </font>
    <font>
      <sz val="11"/>
      <color theme="1"/>
      <name val="Calibri"/>
      <family val="2"/>
      <charset val="134"/>
      <scheme val="minor"/>
    </font>
    <font>
      <sz val="10"/>
      <color theme="1"/>
      <name val="Arial"/>
      <family val="2"/>
    </font>
    <font>
      <b/>
      <sz val="10"/>
      <color theme="1"/>
      <name val="Arial"/>
      <family val="2"/>
    </font>
    <font>
      <sz val="10"/>
      <color theme="1"/>
      <name val="Arial"/>
      <family val="2"/>
    </font>
    <font>
      <sz val="10"/>
      <color theme="1"/>
      <name val="Arial"/>
      <family val="2"/>
    </font>
    <font>
      <b/>
      <sz val="22"/>
      <color theme="1"/>
      <name val="Arial"/>
      <family val="2"/>
    </font>
    <font>
      <sz val="11"/>
      <color theme="1"/>
      <name val="Calibri"/>
      <family val="2"/>
      <charset val="134"/>
      <scheme val="minor"/>
    </font>
    <font>
      <sz val="10"/>
      <color theme="1"/>
      <name val="Calibri"/>
      <family val="2"/>
    </font>
    <font>
      <sz val="11"/>
      <color theme="1"/>
      <name val="Calibri"/>
      <family val="2"/>
    </font>
    <font>
      <sz val="10.5"/>
      <color theme="1"/>
      <name val="Calibri"/>
      <family val="2"/>
    </font>
    <font>
      <sz val="10"/>
      <color rgb="FF000000"/>
      <name val="Arial"/>
      <family val="2"/>
    </font>
    <font>
      <sz val="10.5"/>
      <color theme="1"/>
      <name val="Segoe UI"/>
      <family val="2"/>
    </font>
    <font>
      <b/>
      <sz val="10.5"/>
      <color rgb="FF0070C0"/>
      <name val="Segoe UI"/>
      <family val="2"/>
    </font>
    <font>
      <sz val="10.5"/>
      <color rgb="FF0070C0"/>
      <name val="Segoe UI"/>
      <family val="2"/>
    </font>
    <font>
      <sz val="11"/>
      <color rgb="FF0070C0"/>
      <name val="Segoe UI"/>
      <family val="2"/>
    </font>
    <font>
      <sz val="10"/>
      <color rgb="FF0070C0"/>
      <name val="Segoe UI"/>
      <family val="2"/>
    </font>
    <font>
      <b/>
      <sz val="10.5"/>
      <color theme="0"/>
      <name val="Arial"/>
      <family val="2"/>
    </font>
    <font>
      <vertAlign val="superscript"/>
      <sz val="10"/>
      <color theme="1"/>
      <name val="Arial"/>
      <family val="2"/>
    </font>
    <font>
      <b/>
      <sz val="10"/>
      <color theme="0"/>
      <name val="Arial"/>
      <family val="2"/>
    </font>
    <font>
      <b/>
      <sz val="11"/>
      <color theme="0"/>
      <name val="Arial"/>
      <family val="2"/>
    </font>
    <font>
      <vertAlign val="subscript"/>
      <sz val="10"/>
      <color rgb="FF000000"/>
      <name val="Arial"/>
      <family val="2"/>
    </font>
    <font>
      <vertAlign val="superscript"/>
      <sz val="10"/>
      <color rgb="FF000000"/>
      <name val="Arial"/>
      <family val="2"/>
    </font>
    <font>
      <i/>
      <sz val="10"/>
      <color theme="1"/>
      <name val="Arial"/>
      <family val="2"/>
    </font>
    <font>
      <vertAlign val="subscript"/>
      <sz val="10"/>
      <color theme="1"/>
      <name val="Arial"/>
      <family val="2"/>
    </font>
    <font>
      <b/>
      <sz val="20"/>
      <color rgb="FF0070C0"/>
      <name val="Arial"/>
      <family val="2"/>
    </font>
    <font>
      <sz val="11"/>
      <color rgb="FF0070C0"/>
      <name val="Arial"/>
      <family val="2"/>
    </font>
    <font>
      <b/>
      <sz val="44"/>
      <color rgb="FF0070C0"/>
      <name val="Arial"/>
      <family val="2"/>
    </font>
    <font>
      <b/>
      <sz val="16"/>
      <color rgb="FF0070C0"/>
      <name val="Arial"/>
      <family val="2"/>
    </font>
    <font>
      <sz val="11"/>
      <color theme="0"/>
      <name val="Arial"/>
      <family val="2"/>
    </font>
    <font>
      <b/>
      <sz val="10.5"/>
      <color rgb="FF0070C0"/>
      <name val="Arial"/>
      <family val="2"/>
    </font>
    <font>
      <b/>
      <sz val="10.5"/>
      <color theme="1"/>
      <name val="Arial"/>
      <family val="2"/>
    </font>
    <font>
      <sz val="10"/>
      <name val="Arial"/>
      <family val="2"/>
    </font>
    <font>
      <b/>
      <vertAlign val="superscript"/>
      <sz val="10"/>
      <color theme="0"/>
      <name val="Arial"/>
      <family val="2"/>
    </font>
    <font>
      <sz val="10"/>
      <color theme="0"/>
      <name val="Arial"/>
      <family val="2"/>
    </font>
    <font>
      <sz val="10"/>
      <color rgb="FF0070C0"/>
      <name val="Arial"/>
      <family val="2"/>
    </font>
    <font>
      <vertAlign val="superscript"/>
      <sz val="10"/>
      <color rgb="FF0070C0"/>
      <name val="Arial"/>
      <family val="2"/>
    </font>
    <font>
      <sz val="8"/>
      <color theme="1"/>
      <name val="Arial"/>
      <family val="2"/>
    </font>
    <font>
      <sz val="10"/>
      <color theme="1"/>
      <name val="Calibri"/>
      <family val="2"/>
      <charset val="134"/>
      <scheme val="minor"/>
    </font>
    <font>
      <b/>
      <sz val="9"/>
      <color rgb="FF000000"/>
      <name val="Tahoma"/>
      <family val="2"/>
    </font>
    <font>
      <sz val="9"/>
      <color rgb="FF000000"/>
      <name val="Tahoma"/>
      <family val="2"/>
    </font>
    <font>
      <sz val="8"/>
      <name val="Calibri"/>
      <family val="2"/>
      <charset val="134"/>
      <scheme val="minor"/>
    </font>
    <font>
      <sz val="10.5"/>
      <color rgb="FF000000"/>
      <name val="Arial"/>
      <family val="2"/>
    </font>
    <font>
      <b/>
      <sz val="10"/>
      <color theme="1"/>
      <name val="Verdana"/>
      <family val="2"/>
    </font>
    <font>
      <b/>
      <u/>
      <sz val="16"/>
      <color rgb="FF0070C0"/>
      <name val="Arial"/>
      <family val="2"/>
    </font>
    <font>
      <sz val="11"/>
      <color theme="7" tint="-0.249977111117893"/>
      <name val="Arial"/>
      <family val="2"/>
    </font>
    <font>
      <b/>
      <sz val="20"/>
      <color theme="1" tint="0.34998626667073579"/>
      <name val="Arial"/>
      <family val="2"/>
    </font>
    <font>
      <b/>
      <sz val="10"/>
      <color theme="1"/>
      <name val="Calibri"/>
      <family val="2"/>
      <scheme val="minor"/>
    </font>
    <font>
      <b/>
      <sz val="10"/>
      <color theme="1"/>
      <name val="Calibri"/>
      <family val="2"/>
      <charset val="134"/>
      <scheme val="minor"/>
    </font>
    <font>
      <b/>
      <sz val="11"/>
      <color theme="1"/>
      <name val="Calibri"/>
      <family val="2"/>
      <charset val="134"/>
      <scheme val="minor"/>
    </font>
    <font>
      <b/>
      <sz val="10.5"/>
      <color theme="1"/>
      <name val="Calibri"/>
      <family val="2"/>
    </font>
    <font>
      <b/>
      <vertAlign val="subscript"/>
      <sz val="10"/>
      <color theme="0"/>
      <name val="Arial"/>
      <family val="2"/>
    </font>
  </fonts>
  <fills count="13">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0" tint="-0.34998626667073579"/>
        <bgColor indexed="64"/>
      </patternFill>
    </fill>
    <fill>
      <patternFill patternType="solid">
        <fgColor rgb="FF0070C0"/>
        <bgColor indexed="64"/>
      </patternFill>
    </fill>
    <fill>
      <patternFill patternType="solid">
        <fgColor rgb="FFD1EBFF"/>
        <bgColor indexed="64"/>
      </patternFill>
    </fill>
    <fill>
      <patternFill patternType="solid">
        <fgColor theme="0"/>
        <bgColor indexed="64"/>
      </patternFill>
    </fill>
    <fill>
      <patternFill patternType="solid">
        <fgColor theme="7" tint="0.79998168889431442"/>
        <bgColor indexed="64"/>
      </patternFill>
    </fill>
    <fill>
      <patternFill patternType="solid">
        <fgColor rgb="FFA6A6A6"/>
        <bgColor indexed="64"/>
      </patternFill>
    </fill>
    <fill>
      <patternFill patternType="solid">
        <fgColor rgb="FFD9D9D9"/>
        <bgColor indexed="64"/>
      </patternFill>
    </fill>
    <fill>
      <patternFill patternType="solid">
        <fgColor rgb="FFFFF2CC"/>
        <bgColor indexed="64"/>
      </patternFill>
    </fill>
  </fills>
  <borders count="90">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top style="thin">
        <color theme="0"/>
      </top>
      <bottom style="thin">
        <color theme="0"/>
      </bottom>
      <diagonal/>
    </border>
    <border>
      <left style="thin">
        <color theme="0" tint="-0.249977111117893"/>
      </left>
      <right style="thin">
        <color theme="0" tint="-0.249977111117893"/>
      </right>
      <top style="thin">
        <color theme="0" tint="-0.249977111117893"/>
      </top>
      <bottom/>
      <diagonal/>
    </border>
    <border>
      <left/>
      <right style="thin">
        <color theme="0"/>
      </right>
      <top/>
      <bottom style="thin">
        <color theme="0"/>
      </bottom>
      <diagonal/>
    </border>
    <border>
      <left style="thin">
        <color theme="0"/>
      </left>
      <right/>
      <top/>
      <bottom style="thin">
        <color theme="0"/>
      </bottom>
      <diagonal/>
    </border>
    <border>
      <left style="thin">
        <color theme="0" tint="-0.249977111117893"/>
      </left>
      <right style="thin">
        <color theme="0" tint="-0.249977111117893"/>
      </right>
      <top/>
      <bottom style="thin">
        <color theme="0" tint="-0.249977111117893"/>
      </bottom>
      <diagonal/>
    </border>
    <border>
      <left/>
      <right style="medium">
        <color theme="0"/>
      </right>
      <top/>
      <bottom/>
      <diagonal/>
    </border>
    <border>
      <left style="thin">
        <color theme="0" tint="-0.249977111117893"/>
      </left>
      <right/>
      <top style="thin">
        <color theme="0" tint="-0.249977111117893"/>
      </top>
      <bottom style="thin">
        <color theme="0" tint="-0.249977111117893"/>
      </bottom>
      <diagonal/>
    </border>
    <border>
      <left/>
      <right style="thin">
        <color theme="0"/>
      </right>
      <top style="thin">
        <color theme="0"/>
      </top>
      <bottom/>
      <diagonal/>
    </border>
    <border>
      <left style="thin">
        <color theme="0"/>
      </left>
      <right style="thin">
        <color theme="0"/>
      </right>
      <top/>
      <bottom/>
      <diagonal/>
    </border>
    <border>
      <left style="thin">
        <color rgb="FF0070C0"/>
      </left>
      <right/>
      <top style="thin">
        <color rgb="FF0070C0"/>
      </top>
      <bottom style="thin">
        <color rgb="FF0070C0"/>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medium">
        <color rgb="FF0070C0"/>
      </left>
      <right style="thin">
        <color theme="0" tint="-0.249977111117893"/>
      </right>
      <top style="medium">
        <color rgb="FF0070C0"/>
      </top>
      <bottom style="thin">
        <color theme="0" tint="-0.249977111117893"/>
      </bottom>
      <diagonal/>
    </border>
    <border>
      <left style="thin">
        <color theme="0" tint="-0.249977111117893"/>
      </left>
      <right style="thin">
        <color theme="0" tint="-0.249977111117893"/>
      </right>
      <top style="medium">
        <color rgb="FF0070C0"/>
      </top>
      <bottom style="thin">
        <color theme="0" tint="-0.249977111117893"/>
      </bottom>
      <diagonal/>
    </border>
    <border>
      <left style="thin">
        <color theme="0" tint="-0.249977111117893"/>
      </left>
      <right style="medium">
        <color rgb="FF0070C0"/>
      </right>
      <top style="medium">
        <color rgb="FF0070C0"/>
      </top>
      <bottom style="thin">
        <color theme="0" tint="-0.249977111117893"/>
      </bottom>
      <diagonal/>
    </border>
    <border>
      <left style="medium">
        <color rgb="FF0070C0"/>
      </left>
      <right style="thin">
        <color theme="0" tint="-0.249977111117893"/>
      </right>
      <top style="thin">
        <color theme="0" tint="-0.249977111117893"/>
      </top>
      <bottom style="thin">
        <color theme="0" tint="-0.249977111117893"/>
      </bottom>
      <diagonal/>
    </border>
    <border>
      <left style="thin">
        <color theme="0" tint="-0.249977111117893"/>
      </left>
      <right style="medium">
        <color rgb="FF0070C0"/>
      </right>
      <top style="thin">
        <color theme="0" tint="-0.249977111117893"/>
      </top>
      <bottom style="thin">
        <color theme="0" tint="-0.249977111117893"/>
      </bottom>
      <diagonal/>
    </border>
    <border>
      <left style="medium">
        <color rgb="FF0070C0"/>
      </left>
      <right style="thin">
        <color theme="0" tint="-0.249977111117893"/>
      </right>
      <top style="thin">
        <color theme="0" tint="-0.249977111117893"/>
      </top>
      <bottom style="medium">
        <color rgb="FF0070C0"/>
      </bottom>
      <diagonal/>
    </border>
    <border>
      <left style="thin">
        <color theme="0" tint="-0.249977111117893"/>
      </left>
      <right style="thin">
        <color theme="0" tint="-0.249977111117893"/>
      </right>
      <top style="thin">
        <color theme="0" tint="-0.249977111117893"/>
      </top>
      <bottom style="medium">
        <color rgb="FF0070C0"/>
      </bottom>
      <diagonal/>
    </border>
    <border>
      <left style="thin">
        <color theme="0" tint="-0.249977111117893"/>
      </left>
      <right style="medium">
        <color rgb="FF0070C0"/>
      </right>
      <top style="thin">
        <color theme="0" tint="-0.249977111117893"/>
      </top>
      <bottom style="medium">
        <color rgb="FF0070C0"/>
      </bottom>
      <diagonal/>
    </border>
    <border>
      <left style="thin">
        <color theme="0"/>
      </left>
      <right style="thin">
        <color theme="0"/>
      </right>
      <top style="thin">
        <color theme="0"/>
      </top>
      <bottom style="medium">
        <color rgb="FF0070C0"/>
      </bottom>
      <diagonal/>
    </border>
    <border>
      <left style="thin">
        <color theme="0"/>
      </left>
      <right style="thin">
        <color theme="0"/>
      </right>
      <top/>
      <bottom style="medium">
        <color rgb="FF0070C0"/>
      </bottom>
      <diagonal/>
    </border>
    <border>
      <left/>
      <right style="thin">
        <color theme="0"/>
      </right>
      <top style="thin">
        <color theme="0"/>
      </top>
      <bottom style="medium">
        <color rgb="FF0070C0"/>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left>
      <right style="thin">
        <color theme="0"/>
      </right>
      <top style="thin">
        <color theme="0"/>
      </top>
      <bottom style="dashed">
        <color rgb="FF0070C0"/>
      </bottom>
      <diagonal/>
    </border>
    <border>
      <left/>
      <right style="thick">
        <color theme="0"/>
      </right>
      <top style="thin">
        <color rgb="FF0070C0"/>
      </top>
      <bottom/>
      <diagonal/>
    </border>
    <border>
      <left/>
      <right style="medium">
        <color theme="0"/>
      </right>
      <top style="thin">
        <color rgb="FF0070C0"/>
      </top>
      <bottom/>
      <diagonal/>
    </border>
    <border>
      <left style="thin">
        <color theme="0"/>
      </left>
      <right style="thin">
        <color theme="0"/>
      </right>
      <top style="thin">
        <color theme="0"/>
      </top>
      <bottom style="medium">
        <color theme="7" tint="-0.249977111117893"/>
      </bottom>
      <diagonal/>
    </border>
    <border>
      <left style="medium">
        <color theme="7" tint="-0.249977111117893"/>
      </left>
      <right style="thin">
        <color theme="0"/>
      </right>
      <top style="medium">
        <color theme="7" tint="-0.249977111117893"/>
      </top>
      <bottom style="thin">
        <color theme="0"/>
      </bottom>
      <diagonal/>
    </border>
    <border>
      <left style="thin">
        <color theme="0"/>
      </left>
      <right style="thin">
        <color theme="0"/>
      </right>
      <top style="medium">
        <color theme="7" tint="-0.249977111117893"/>
      </top>
      <bottom style="thin">
        <color theme="0"/>
      </bottom>
      <diagonal/>
    </border>
    <border>
      <left style="thin">
        <color theme="0"/>
      </left>
      <right style="medium">
        <color theme="7" tint="-0.249977111117893"/>
      </right>
      <top style="medium">
        <color theme="7" tint="-0.249977111117893"/>
      </top>
      <bottom style="thin">
        <color theme="0"/>
      </bottom>
      <diagonal/>
    </border>
    <border>
      <left style="medium">
        <color theme="7" tint="-0.249977111117893"/>
      </left>
      <right style="thin">
        <color theme="0"/>
      </right>
      <top style="thin">
        <color theme="0"/>
      </top>
      <bottom style="thin">
        <color theme="0"/>
      </bottom>
      <diagonal/>
    </border>
    <border>
      <left style="thin">
        <color theme="0"/>
      </left>
      <right style="medium">
        <color theme="7" tint="-0.249977111117893"/>
      </right>
      <top style="thin">
        <color theme="0"/>
      </top>
      <bottom style="thin">
        <color theme="0"/>
      </bottom>
      <diagonal/>
    </border>
    <border>
      <left style="medium">
        <color theme="7" tint="-0.249977111117893"/>
      </left>
      <right style="thin">
        <color theme="0"/>
      </right>
      <top style="thin">
        <color theme="0"/>
      </top>
      <bottom style="medium">
        <color theme="7" tint="-0.249977111117893"/>
      </bottom>
      <diagonal/>
    </border>
    <border>
      <left style="thin">
        <color theme="0"/>
      </left>
      <right style="medium">
        <color theme="7" tint="-0.249977111117893"/>
      </right>
      <top style="thin">
        <color theme="0"/>
      </top>
      <bottom style="medium">
        <color theme="7" tint="-0.249977111117893"/>
      </bottom>
      <diagonal/>
    </border>
    <border>
      <left/>
      <right style="thin">
        <color theme="4" tint="0.39997558519241921"/>
      </right>
      <top style="thin">
        <color theme="4" tint="0.39997558519241921"/>
      </top>
      <bottom style="thin">
        <color theme="4" tint="0.39997558519241921"/>
      </bottom>
      <diagonal/>
    </border>
    <border>
      <left style="thin">
        <color theme="0"/>
      </left>
      <right style="thin">
        <color theme="0"/>
      </right>
      <top style="thin">
        <color theme="0"/>
      </top>
      <bottom style="thin">
        <color rgb="FF0070C0"/>
      </bottom>
      <diagonal/>
    </border>
    <border>
      <left style="thin">
        <color theme="0"/>
      </left>
      <right style="thin">
        <color theme="0"/>
      </right>
      <top style="thin">
        <color rgb="FF0070C0"/>
      </top>
      <bottom style="thin">
        <color rgb="FF0070C0"/>
      </bottom>
      <diagonal/>
    </border>
    <border>
      <left style="thin">
        <color theme="0"/>
      </left>
      <right style="thin">
        <color theme="0"/>
      </right>
      <top style="thin">
        <color rgb="FF0070C0"/>
      </top>
      <bottom/>
      <diagonal/>
    </border>
    <border>
      <left style="thin">
        <color theme="0"/>
      </left>
      <right style="thin">
        <color theme="0"/>
      </right>
      <top style="thin">
        <color rgb="FF0099FF"/>
      </top>
      <bottom style="thin">
        <color theme="0"/>
      </bottom>
      <diagonal/>
    </border>
    <border>
      <left/>
      <right/>
      <top style="thin">
        <color rgb="FF0099FF"/>
      </top>
      <bottom/>
      <diagonal/>
    </border>
    <border>
      <left/>
      <right/>
      <top style="thin">
        <color theme="0"/>
      </top>
      <bottom/>
      <diagonal/>
    </border>
    <border>
      <left/>
      <right style="thin">
        <color theme="0"/>
      </right>
      <top style="thin">
        <color rgb="FF0099FF"/>
      </top>
      <bottom style="thin">
        <color theme="0"/>
      </bottom>
      <diagonal/>
    </border>
    <border>
      <left/>
      <right/>
      <top style="thin">
        <color rgb="FF0099FF"/>
      </top>
      <bottom style="thin">
        <color theme="0"/>
      </bottom>
      <diagonal/>
    </border>
    <border>
      <left style="thin">
        <color theme="0"/>
      </left>
      <right style="thin">
        <color theme="0"/>
      </right>
      <top style="thin">
        <color rgb="FF0099FF"/>
      </top>
      <bottom/>
      <diagonal/>
    </border>
    <border>
      <left/>
      <right style="thin">
        <color theme="0"/>
      </right>
      <top style="thin">
        <color rgb="FF0099FF"/>
      </top>
      <bottom/>
      <diagonal/>
    </border>
    <border>
      <left style="thin">
        <color theme="0"/>
      </left>
      <right/>
      <top style="thin">
        <color rgb="FF0070C0"/>
      </top>
      <bottom/>
      <diagonal/>
    </border>
    <border>
      <left style="thin">
        <color rgb="FF0070C0"/>
      </left>
      <right style="thin">
        <color rgb="FF0070C0"/>
      </right>
      <top style="thin">
        <color rgb="FF0070C0"/>
      </top>
      <bottom/>
      <diagonal/>
    </border>
    <border>
      <left style="thin">
        <color rgb="FF0070C0"/>
      </left>
      <right style="thin">
        <color rgb="FF0070C0"/>
      </right>
      <top style="thin">
        <color theme="0"/>
      </top>
      <bottom style="thin">
        <color theme="0"/>
      </bottom>
      <diagonal/>
    </border>
    <border>
      <left style="thin">
        <color rgb="FF0070C0"/>
      </left>
      <right style="thin">
        <color rgb="FF0070C0"/>
      </right>
      <top style="thin">
        <color theme="0"/>
      </top>
      <bottom style="thin">
        <color rgb="FF0070C0"/>
      </bottom>
      <diagonal/>
    </border>
    <border>
      <left style="thin">
        <color theme="0"/>
      </left>
      <right/>
      <top style="thin">
        <color theme="0"/>
      </top>
      <bottom style="thin">
        <color rgb="FF0070C0"/>
      </bottom>
      <diagonal/>
    </border>
    <border>
      <left/>
      <right style="thin">
        <color theme="0"/>
      </right>
      <top style="thin">
        <color theme="0"/>
      </top>
      <bottom style="thin">
        <color rgb="FF0070C0"/>
      </bottom>
      <diagonal/>
    </border>
    <border>
      <left style="thin">
        <color rgb="FF0070C0"/>
      </left>
      <right/>
      <top/>
      <bottom/>
      <diagonal/>
    </border>
    <border>
      <left style="thin">
        <color rgb="FF0070C0"/>
      </left>
      <right style="thin">
        <color rgb="FF0066FF"/>
      </right>
      <top style="thin">
        <color theme="0"/>
      </top>
      <bottom/>
      <diagonal/>
    </border>
    <border>
      <left/>
      <right style="thin">
        <color rgb="FF0066FF"/>
      </right>
      <top/>
      <bottom/>
      <diagonal/>
    </border>
    <border>
      <left style="thin">
        <color theme="0"/>
      </left>
      <right style="thin">
        <color rgb="FF0066FF"/>
      </right>
      <top style="thin">
        <color theme="0"/>
      </top>
      <bottom style="thin">
        <color theme="0"/>
      </bottom>
      <diagonal/>
    </border>
    <border>
      <left style="thin">
        <color rgb="FF0066FF"/>
      </left>
      <right style="thin">
        <color rgb="FF0066FF"/>
      </right>
      <top style="thin">
        <color theme="0"/>
      </top>
      <bottom style="thin">
        <color theme="0"/>
      </bottom>
      <diagonal/>
    </border>
    <border>
      <left style="thin">
        <color rgb="FF0066FF"/>
      </left>
      <right style="thin">
        <color rgb="FF0066FF"/>
      </right>
      <top style="thin">
        <color theme="0"/>
      </top>
      <bottom/>
      <diagonal/>
    </border>
    <border>
      <left style="thin">
        <color rgb="FF0066FF"/>
      </left>
      <right style="thin">
        <color rgb="FF0066FF"/>
      </right>
      <top/>
      <bottom/>
      <diagonal/>
    </border>
    <border>
      <left style="thin">
        <color theme="0" tint="-0.249977111117893"/>
      </left>
      <right style="thin">
        <color theme="0" tint="-0.249977111117893"/>
      </right>
      <top/>
      <bottom/>
      <diagonal/>
    </border>
    <border>
      <left/>
      <right style="thin">
        <color rgb="FF0066FF"/>
      </right>
      <top style="thin">
        <color theme="0"/>
      </top>
      <bottom/>
      <diagonal/>
    </border>
    <border>
      <left/>
      <right style="thin">
        <color rgb="FF0066FF"/>
      </right>
      <top style="thin">
        <color theme="0"/>
      </top>
      <bottom style="thin">
        <color theme="0"/>
      </bottom>
      <diagonal/>
    </border>
    <border>
      <left style="thin">
        <color theme="0"/>
      </left>
      <right style="hair">
        <color theme="0"/>
      </right>
      <top style="thin">
        <color theme="0"/>
      </top>
      <bottom style="thin">
        <color theme="0"/>
      </bottom>
      <diagonal/>
    </border>
    <border>
      <left/>
      <right style="hair">
        <color theme="0"/>
      </right>
      <top/>
      <bottom/>
      <diagonal/>
    </border>
    <border>
      <left style="thin">
        <color theme="0"/>
      </left>
      <right style="hair">
        <color theme="0"/>
      </right>
      <top style="thin">
        <color theme="0"/>
      </top>
      <bottom/>
      <diagonal/>
    </border>
    <border>
      <left style="thin">
        <color theme="0"/>
      </left>
      <right style="hair">
        <color theme="0"/>
      </right>
      <top/>
      <bottom style="thin">
        <color theme="0"/>
      </bottom>
      <diagonal/>
    </border>
    <border>
      <left style="hair">
        <color theme="0"/>
      </left>
      <right style="hair">
        <color theme="0"/>
      </right>
      <top style="hair">
        <color theme="0"/>
      </top>
      <bottom style="hair">
        <color theme="0"/>
      </bottom>
      <diagonal/>
    </border>
    <border>
      <left style="hair">
        <color theme="0"/>
      </left>
      <right style="hair">
        <color theme="0"/>
      </right>
      <top/>
      <bottom style="hair">
        <color theme="0"/>
      </bottom>
      <diagonal/>
    </border>
    <border>
      <left style="thin">
        <color theme="0"/>
      </left>
      <right style="thin">
        <color theme="0"/>
      </right>
      <top style="thin">
        <color rgb="FF0070C0"/>
      </top>
      <bottom style="thin">
        <color theme="0"/>
      </bottom>
      <diagonal/>
    </border>
    <border>
      <left style="thin">
        <color theme="0"/>
      </left>
      <right style="thin">
        <color theme="0"/>
      </right>
      <top/>
      <bottom style="thin">
        <color rgb="FF0070C0"/>
      </bottom>
      <diagonal/>
    </border>
    <border>
      <left style="thin">
        <color theme="0"/>
      </left>
      <right style="thin">
        <color theme="0"/>
      </right>
      <top style="thin">
        <color theme="0"/>
      </top>
      <bottom style="thin">
        <color theme="8"/>
      </bottom>
      <diagonal/>
    </border>
    <border>
      <left style="thin">
        <color theme="0"/>
      </left>
      <right style="thin">
        <color theme="0"/>
      </right>
      <top style="medium">
        <color rgb="FF0070C0"/>
      </top>
      <bottom style="medium">
        <color rgb="FF0070C0"/>
      </bottom>
      <diagonal/>
    </border>
    <border>
      <left style="thin">
        <color theme="0"/>
      </left>
      <right style="medium">
        <color rgb="FF0070C0"/>
      </right>
      <top style="medium">
        <color rgb="FF0070C0"/>
      </top>
      <bottom style="thin">
        <color theme="0"/>
      </bottom>
      <diagonal/>
    </border>
    <border>
      <left style="thin">
        <color theme="0"/>
      </left>
      <right style="medium">
        <color rgb="FF0070C0"/>
      </right>
      <top style="thin">
        <color theme="0"/>
      </top>
      <bottom style="thin">
        <color theme="0"/>
      </bottom>
      <diagonal/>
    </border>
    <border>
      <left style="medium">
        <color rgb="FF0070C0"/>
      </left>
      <right style="thin">
        <color theme="0"/>
      </right>
      <top style="thin">
        <color theme="0"/>
      </top>
      <bottom style="medium">
        <color rgb="FF0070C0"/>
      </bottom>
      <diagonal/>
    </border>
    <border>
      <left style="thin">
        <color theme="0"/>
      </left>
      <right style="medium">
        <color rgb="FF0070C0"/>
      </right>
      <top style="thin">
        <color theme="0"/>
      </top>
      <bottom style="medium">
        <color rgb="FF0070C0"/>
      </bottom>
      <diagonal/>
    </border>
    <border>
      <left/>
      <right/>
      <top style="thin">
        <color theme="0"/>
      </top>
      <bottom style="medium">
        <color rgb="FF0070C0"/>
      </bottom>
      <diagonal/>
    </border>
  </borders>
  <cellStyleXfs count="3">
    <xf numFmtId="0" fontId="0" fillId="0" borderId="0">
      <alignment vertical="center"/>
    </xf>
    <xf numFmtId="9" fontId="10" fillId="0" borderId="0" applyFont="0" applyFill="0" applyBorder="0" applyAlignment="0" applyProtection="0">
      <alignment vertical="center"/>
    </xf>
    <xf numFmtId="43" fontId="10" fillId="0" borderId="0" applyFont="0" applyFill="0" applyBorder="0" applyAlignment="0" applyProtection="0"/>
  </cellStyleXfs>
  <cellXfs count="451">
    <xf numFmtId="0" fontId="0" fillId="0" borderId="0" xfId="0">
      <alignment vertical="center"/>
    </xf>
    <xf numFmtId="0" fontId="7" fillId="0" borderId="0" xfId="0" applyFont="1">
      <alignment vertical="center"/>
    </xf>
    <xf numFmtId="0" fontId="11" fillId="0" borderId="2" xfId="0" applyFont="1" applyBorder="1">
      <alignment vertical="center"/>
    </xf>
    <xf numFmtId="0" fontId="11" fillId="0" borderId="3" xfId="0" applyFont="1" applyBorder="1">
      <alignment vertical="center"/>
    </xf>
    <xf numFmtId="0" fontId="11" fillId="0" borderId="0" xfId="0" applyFont="1">
      <alignment vertical="center"/>
    </xf>
    <xf numFmtId="0" fontId="12" fillId="0" borderId="2" xfId="0" applyFont="1" applyBorder="1">
      <alignment vertical="center"/>
    </xf>
    <xf numFmtId="0" fontId="11" fillId="0" borderId="4" xfId="0" applyFont="1" applyBorder="1" applyAlignment="1">
      <alignment horizontal="right" vertical="center"/>
    </xf>
    <xf numFmtId="0" fontId="11" fillId="0" borderId="4" xfId="0" applyFont="1" applyBorder="1">
      <alignment vertical="center"/>
    </xf>
    <xf numFmtId="0" fontId="11" fillId="0" borderId="5" xfId="0" applyFont="1" applyBorder="1">
      <alignment vertical="center"/>
    </xf>
    <xf numFmtId="0" fontId="11" fillId="0" borderId="6" xfId="0" applyFont="1" applyBorder="1">
      <alignment vertical="center"/>
    </xf>
    <xf numFmtId="0" fontId="11" fillId="0" borderId="10" xfId="0" applyFont="1" applyBorder="1">
      <alignment vertical="center"/>
    </xf>
    <xf numFmtId="0" fontId="14" fillId="0" borderId="2" xfId="0" applyFont="1" applyBorder="1">
      <alignment vertical="center"/>
    </xf>
    <xf numFmtId="0" fontId="15" fillId="0" borderId="2" xfId="0" applyFont="1" applyBorder="1">
      <alignment vertical="center"/>
    </xf>
    <xf numFmtId="0" fontId="16" fillId="4" borderId="0" xfId="0" applyFont="1" applyFill="1" applyAlignment="1"/>
    <xf numFmtId="0" fontId="14" fillId="0" borderId="0" xfId="0" applyFont="1">
      <alignment vertical="center"/>
    </xf>
    <xf numFmtId="0" fontId="14" fillId="0" borderId="3" xfId="0" applyFont="1" applyBorder="1">
      <alignment vertical="center"/>
    </xf>
    <xf numFmtId="0" fontId="17" fillId="0" borderId="2" xfId="0" applyFont="1" applyBorder="1">
      <alignment vertical="center"/>
    </xf>
    <xf numFmtId="0" fontId="17" fillId="0" borderId="0" xfId="0" applyFont="1">
      <alignment vertical="center"/>
    </xf>
    <xf numFmtId="0" fontId="17" fillId="0" borderId="5" xfId="0" applyFont="1" applyBorder="1">
      <alignment vertical="center"/>
    </xf>
    <xf numFmtId="0" fontId="19" fillId="0" borderId="0" xfId="0" applyFont="1">
      <alignment vertical="center"/>
    </xf>
    <xf numFmtId="0" fontId="17" fillId="0" borderId="3" xfId="0" applyFont="1" applyBorder="1">
      <alignment vertical="center"/>
    </xf>
    <xf numFmtId="0" fontId="19" fillId="0" borderId="2" xfId="0" applyFont="1" applyBorder="1">
      <alignment vertical="center"/>
    </xf>
    <xf numFmtId="11" fontId="17" fillId="0" borderId="2" xfId="0" applyNumberFormat="1" applyFont="1" applyBorder="1">
      <alignment vertical="center"/>
    </xf>
    <xf numFmtId="0" fontId="19" fillId="0" borderId="3" xfId="0" applyFont="1" applyBorder="1">
      <alignment vertical="center"/>
    </xf>
    <xf numFmtId="0" fontId="19" fillId="0" borderId="5" xfId="0" applyFont="1" applyBorder="1">
      <alignment vertical="center"/>
    </xf>
    <xf numFmtId="0" fontId="14" fillId="0" borderId="5" xfId="0" applyFont="1" applyBorder="1">
      <alignment vertical="center"/>
    </xf>
    <xf numFmtId="0" fontId="21" fillId="0" borderId="2" xfId="0" applyFont="1" applyBorder="1">
      <alignment vertical="center"/>
    </xf>
    <xf numFmtId="0" fontId="21" fillId="0" borderId="4" xfId="0" applyFont="1" applyBorder="1">
      <alignment vertical="center"/>
    </xf>
    <xf numFmtId="0" fontId="21" fillId="0" borderId="3" xfId="0" applyFont="1" applyBorder="1">
      <alignment vertical="center"/>
    </xf>
    <xf numFmtId="0" fontId="21" fillId="0" borderId="4" xfId="0" applyFont="1" applyBorder="1" applyAlignment="1">
      <alignment horizontal="right"/>
    </xf>
    <xf numFmtId="0" fontId="23" fillId="0" borderId="2" xfId="0" applyFont="1" applyBorder="1">
      <alignment vertical="center"/>
    </xf>
    <xf numFmtId="0" fontId="25" fillId="0" borderId="2" xfId="0" applyFont="1" applyBorder="1">
      <alignment vertical="center"/>
    </xf>
    <xf numFmtId="0" fontId="25" fillId="0" borderId="3" xfId="0" applyFont="1" applyBorder="1">
      <alignment vertical="center"/>
    </xf>
    <xf numFmtId="0" fontId="25" fillId="0" borderId="5" xfId="0" applyFont="1" applyBorder="1">
      <alignment vertical="center"/>
    </xf>
    <xf numFmtId="0" fontId="25" fillId="0" borderId="0" xfId="0" applyFont="1">
      <alignment vertical="center"/>
    </xf>
    <xf numFmtId="0" fontId="19" fillId="0" borderId="0" xfId="0" applyFont="1" applyProtection="1">
      <alignment vertical="center"/>
      <protection locked="0"/>
    </xf>
    <xf numFmtId="0" fontId="17" fillId="0" borderId="0" xfId="0" applyFont="1" applyProtection="1">
      <alignment vertical="center"/>
      <protection locked="0"/>
    </xf>
    <xf numFmtId="0" fontId="24" fillId="0" borderId="6" xfId="0" applyFont="1" applyBorder="1" applyAlignment="1">
      <alignment horizontal="left"/>
    </xf>
    <xf numFmtId="0" fontId="4" fillId="2" borderId="11" xfId="0" applyFont="1" applyFill="1" applyBorder="1" applyAlignment="1">
      <alignment horizontal="left" vertical="center"/>
    </xf>
    <xf numFmtId="0" fontId="26" fillId="6" borderId="17" xfId="0" applyFont="1" applyFill="1" applyBorder="1">
      <alignment vertical="center"/>
    </xf>
    <xf numFmtId="0" fontId="26" fillId="6" borderId="18" xfId="0" applyFont="1" applyFill="1" applyBorder="1">
      <alignment vertical="center"/>
    </xf>
    <xf numFmtId="0" fontId="4" fillId="2" borderId="1" xfId="0" applyFont="1" applyFill="1" applyBorder="1">
      <alignment vertical="center"/>
    </xf>
    <xf numFmtId="0" fontId="4" fillId="2" borderId="1" xfId="0" applyFont="1" applyFill="1" applyBorder="1" applyAlignment="1">
      <alignment horizontal="right" vertical="center"/>
    </xf>
    <xf numFmtId="0" fontId="4" fillId="2" borderId="13" xfId="0" applyFont="1" applyFill="1" applyBorder="1" applyAlignment="1">
      <alignment horizontal="left" vertical="center"/>
    </xf>
    <xf numFmtId="0" fontId="26" fillId="6" borderId="0" xfId="0" applyFont="1" applyFill="1">
      <alignment vertical="center"/>
    </xf>
    <xf numFmtId="0" fontId="4" fillId="3" borderId="1" xfId="0" applyFont="1" applyFill="1" applyBorder="1" applyAlignment="1" applyProtection="1">
      <alignment horizontal="right" vertical="center"/>
      <protection locked="0"/>
    </xf>
    <xf numFmtId="0" fontId="4" fillId="3" borderId="2" xfId="0" applyFont="1" applyFill="1" applyBorder="1" applyAlignment="1" applyProtection="1">
      <alignment horizontal="right" vertical="center"/>
      <protection locked="0"/>
    </xf>
    <xf numFmtId="0" fontId="4" fillId="3" borderId="2" xfId="0" applyFont="1" applyFill="1" applyBorder="1" applyProtection="1">
      <alignment vertical="center"/>
      <protection locked="0"/>
    </xf>
    <xf numFmtId="0" fontId="4" fillId="3" borderId="6" xfId="0" applyFont="1" applyFill="1" applyBorder="1" applyAlignment="1" applyProtection="1">
      <alignment horizontal="right" vertical="center"/>
      <protection locked="0"/>
    </xf>
    <xf numFmtId="0" fontId="4" fillId="0" borderId="2" xfId="0" applyFont="1" applyBorder="1">
      <alignment vertical="center"/>
    </xf>
    <xf numFmtId="0" fontId="4" fillId="3" borderId="4" xfId="0" applyFont="1" applyFill="1" applyBorder="1" applyProtection="1">
      <alignment vertical="center"/>
      <protection locked="0"/>
    </xf>
    <xf numFmtId="11" fontId="4" fillId="3" borderId="2" xfId="0" applyNumberFormat="1" applyFont="1" applyFill="1" applyBorder="1" applyProtection="1">
      <alignment vertical="center"/>
      <protection locked="0"/>
    </xf>
    <xf numFmtId="0" fontId="4" fillId="0" borderId="2" xfId="0" applyFont="1" applyBorder="1" applyAlignment="1"/>
    <xf numFmtId="11" fontId="4" fillId="9" borderId="2" xfId="0" applyNumberFormat="1" applyFont="1" applyFill="1" applyBorder="1" applyAlignment="1" applyProtection="1">
      <alignment horizontal="center" vertical="center"/>
      <protection locked="0"/>
    </xf>
    <xf numFmtId="165" fontId="4" fillId="9" borderId="6" xfId="1" applyNumberFormat="1" applyFont="1" applyFill="1" applyBorder="1" applyAlignment="1" applyProtection="1">
      <alignment horizontal="center" vertical="center"/>
      <protection locked="0"/>
    </xf>
    <xf numFmtId="11" fontId="4" fillId="9" borderId="6" xfId="0" applyNumberFormat="1" applyFont="1" applyFill="1" applyBorder="1" applyAlignment="1" applyProtection="1">
      <alignment horizontal="center" vertical="center"/>
      <protection locked="0"/>
    </xf>
    <xf numFmtId="11" fontId="4" fillId="9" borderId="37" xfId="0" applyNumberFormat="1" applyFont="1" applyFill="1" applyBorder="1" applyAlignment="1" applyProtection="1">
      <alignment horizontal="center" vertical="center"/>
      <protection locked="0"/>
    </xf>
    <xf numFmtId="2" fontId="4" fillId="9" borderId="29" xfId="0" applyNumberFormat="1" applyFont="1" applyFill="1" applyBorder="1" applyAlignment="1" applyProtection="1">
      <alignment horizontal="center" vertical="center"/>
      <protection locked="0"/>
    </xf>
    <xf numFmtId="11" fontId="4" fillId="9" borderId="29" xfId="0" applyNumberFormat="1" applyFont="1" applyFill="1" applyBorder="1" applyAlignment="1" applyProtection="1">
      <alignment horizontal="center" vertical="center"/>
      <protection locked="0"/>
    </xf>
    <xf numFmtId="9" fontId="4" fillId="3" borderId="2" xfId="0" applyNumberFormat="1" applyFont="1" applyFill="1" applyBorder="1" applyProtection="1">
      <alignment vertical="center"/>
      <protection locked="0"/>
    </xf>
    <xf numFmtId="9" fontId="4" fillId="3" borderId="2" xfId="0" applyNumberFormat="1" applyFont="1" applyFill="1" applyBorder="1" applyAlignment="1" applyProtection="1">
      <alignment horizontal="right" vertical="center"/>
      <protection locked="0"/>
    </xf>
    <xf numFmtId="0" fontId="4" fillId="2" borderId="2" xfId="0" applyFont="1" applyFill="1" applyBorder="1" applyAlignment="1">
      <alignment horizontal="center" vertical="center"/>
    </xf>
    <xf numFmtId="0" fontId="4" fillId="2" borderId="2" xfId="0" applyFont="1" applyFill="1" applyBorder="1" applyAlignment="1">
      <alignment horizontal="center" vertical="center" wrapText="1"/>
    </xf>
    <xf numFmtId="0" fontId="34" fillId="0" borderId="2" xfId="0" applyFont="1" applyBorder="1">
      <alignment vertical="center"/>
    </xf>
    <xf numFmtId="0" fontId="35" fillId="0" borderId="6" xfId="0" applyFont="1" applyBorder="1" applyAlignment="1"/>
    <xf numFmtId="0" fontId="36" fillId="0" borderId="4" xfId="0" applyFont="1" applyBorder="1" applyAlignment="1">
      <alignment vertical="top"/>
    </xf>
    <xf numFmtId="0" fontId="29" fillId="6" borderId="3" xfId="0" applyFont="1" applyFill="1" applyBorder="1">
      <alignment vertical="center"/>
    </xf>
    <xf numFmtId="0" fontId="38" fillId="6" borderId="5" xfId="0" applyFont="1" applyFill="1" applyBorder="1">
      <alignment vertical="center"/>
    </xf>
    <xf numFmtId="0" fontId="7" fillId="0" borderId="6" xfId="0" applyFont="1" applyBorder="1">
      <alignment vertical="center"/>
    </xf>
    <xf numFmtId="0" fontId="7" fillId="0" borderId="2" xfId="0" applyFont="1" applyBorder="1">
      <alignment vertical="center"/>
    </xf>
    <xf numFmtId="0" fontId="7" fillId="3" borderId="2" xfId="0" applyFont="1" applyFill="1" applyBorder="1" applyProtection="1">
      <alignment vertical="center"/>
      <protection locked="0"/>
    </xf>
    <xf numFmtId="0" fontId="29" fillId="6" borderId="7" xfId="0" applyFont="1" applyFill="1" applyBorder="1">
      <alignment vertical="center"/>
    </xf>
    <xf numFmtId="0" fontId="29" fillId="6" borderId="5" xfId="0" applyFont="1" applyFill="1" applyBorder="1">
      <alignment vertical="center"/>
    </xf>
    <xf numFmtId="0" fontId="39" fillId="0" borderId="2" xfId="0" applyFont="1" applyBorder="1">
      <alignment vertical="center"/>
    </xf>
    <xf numFmtId="11" fontId="7" fillId="0" borderId="2" xfId="0" applyNumberFormat="1" applyFont="1" applyBorder="1">
      <alignment vertical="center"/>
    </xf>
    <xf numFmtId="0" fontId="1" fillId="5" borderId="0" xfId="0" applyFont="1" applyFill="1">
      <alignment vertical="center"/>
    </xf>
    <xf numFmtId="0" fontId="4" fillId="5" borderId="0" xfId="0" applyFont="1" applyFill="1">
      <alignment vertical="center"/>
    </xf>
    <xf numFmtId="0" fontId="4" fillId="0" borderId="0" xfId="0" applyFont="1">
      <alignment vertical="center"/>
    </xf>
    <xf numFmtId="0" fontId="4" fillId="2" borderId="0" xfId="0" applyFont="1" applyFill="1" applyAlignment="1">
      <alignment horizontal="left" vertical="center"/>
    </xf>
    <xf numFmtId="0" fontId="4" fillId="2" borderId="13" xfId="0" applyFont="1" applyFill="1" applyBorder="1">
      <alignment vertical="center"/>
    </xf>
    <xf numFmtId="0" fontId="4" fillId="0" borderId="0" xfId="0" applyFont="1" applyProtection="1">
      <alignment vertical="center"/>
      <protection locked="0"/>
    </xf>
    <xf numFmtId="9" fontId="4" fillId="0" borderId="0" xfId="0" applyNumberFormat="1" applyFont="1" applyProtection="1">
      <alignment vertical="center"/>
      <protection locked="0"/>
    </xf>
    <xf numFmtId="11" fontId="4" fillId="0" borderId="0" xfId="0" applyNumberFormat="1" applyFont="1" applyProtection="1">
      <alignment vertical="center"/>
      <protection locked="0"/>
    </xf>
    <xf numFmtId="0" fontId="13" fillId="8" borderId="0" xfId="0" applyFont="1" applyFill="1" applyAlignment="1">
      <alignment horizontal="right" vertical="center"/>
    </xf>
    <xf numFmtId="0" fontId="17" fillId="8" borderId="0" xfId="0" applyFont="1" applyFill="1">
      <alignment vertical="center"/>
    </xf>
    <xf numFmtId="0" fontId="19" fillId="8" borderId="0" xfId="0" applyFont="1" applyFill="1">
      <alignment vertical="center"/>
    </xf>
    <xf numFmtId="164" fontId="17" fillId="0" borderId="2" xfId="0" applyNumberFormat="1" applyFont="1" applyBorder="1">
      <alignment vertical="center"/>
    </xf>
    <xf numFmtId="0" fontId="18" fillId="0" borderId="2" xfId="0" applyFont="1" applyBorder="1">
      <alignment vertical="center"/>
    </xf>
    <xf numFmtId="0" fontId="18" fillId="8" borderId="0" xfId="0" applyFont="1" applyFill="1" applyAlignment="1">
      <alignment horizontal="left" vertical="center"/>
    </xf>
    <xf numFmtId="0" fontId="18" fillId="8" borderId="0" xfId="0" applyFont="1" applyFill="1">
      <alignment vertical="center"/>
    </xf>
    <xf numFmtId="0" fontId="28" fillId="6" borderId="16" xfId="0" applyFont="1" applyFill="1" applyBorder="1">
      <alignment vertical="center"/>
    </xf>
    <xf numFmtId="0" fontId="9" fillId="0" borderId="2" xfId="0" applyFont="1" applyBorder="1">
      <alignment vertical="center"/>
    </xf>
    <xf numFmtId="0" fontId="9" fillId="0" borderId="0" xfId="0" applyFont="1">
      <alignment vertical="center"/>
    </xf>
    <xf numFmtId="0" fontId="9" fillId="8" borderId="0" xfId="0" applyFont="1" applyFill="1">
      <alignment vertical="center"/>
    </xf>
    <xf numFmtId="0" fontId="13" fillId="0" borderId="2" xfId="0" applyFont="1" applyBorder="1">
      <alignment vertical="center"/>
    </xf>
    <xf numFmtId="0" fontId="13" fillId="0" borderId="3" xfId="0" applyFont="1" applyBorder="1">
      <alignment vertical="center"/>
    </xf>
    <xf numFmtId="0" fontId="13" fillId="8" borderId="0" xfId="0" applyFont="1" applyFill="1">
      <alignment vertical="center"/>
    </xf>
    <xf numFmtId="0" fontId="4" fillId="0" borderId="6" xfId="0" applyFont="1" applyBorder="1">
      <alignment vertical="center"/>
    </xf>
    <xf numFmtId="0" fontId="4" fillId="0" borderId="7" xfId="0" applyFont="1" applyBorder="1">
      <alignment vertical="center"/>
    </xf>
    <xf numFmtId="0" fontId="4" fillId="0" borderId="37" xfId="0" applyFont="1" applyBorder="1">
      <alignment vertical="center"/>
    </xf>
    <xf numFmtId="0" fontId="4" fillId="0" borderId="5" xfId="0" applyFont="1" applyBorder="1">
      <alignment vertical="center"/>
    </xf>
    <xf numFmtId="0" fontId="13" fillId="0" borderId="6" xfId="0" applyFont="1" applyBorder="1">
      <alignment vertical="center"/>
    </xf>
    <xf numFmtId="0" fontId="28" fillId="6" borderId="17" xfId="0" applyFont="1" applyFill="1" applyBorder="1">
      <alignment vertical="center"/>
    </xf>
    <xf numFmtId="0" fontId="4" fillId="0" borderId="4" xfId="0" applyFont="1" applyBorder="1">
      <alignment vertical="center"/>
    </xf>
    <xf numFmtId="0" fontId="4" fillId="0" borderId="6" xfId="0" applyFont="1" applyBorder="1" applyAlignment="1">
      <alignment horizontal="right" vertical="center"/>
    </xf>
    <xf numFmtId="0" fontId="4" fillId="0" borderId="2" xfId="0" applyFont="1" applyBorder="1" applyAlignment="1">
      <alignment horizontal="right" vertical="center"/>
    </xf>
    <xf numFmtId="0" fontId="13" fillId="0" borderId="6" xfId="0" applyFont="1" applyBorder="1" applyProtection="1">
      <alignment vertical="center"/>
      <protection locked="0"/>
    </xf>
    <xf numFmtId="0" fontId="4" fillId="0" borderId="28" xfId="0" applyFont="1" applyBorder="1">
      <alignment vertical="center"/>
    </xf>
    <xf numFmtId="0" fontId="4" fillId="0" borderId="30" xfId="0" applyFont="1" applyBorder="1">
      <alignment vertical="center"/>
    </xf>
    <xf numFmtId="11" fontId="4" fillId="3" borderId="28" xfId="0" applyNumberFormat="1" applyFont="1" applyFill="1" applyBorder="1" applyProtection="1">
      <alignment vertical="center"/>
      <protection locked="0"/>
    </xf>
    <xf numFmtId="165" fontId="4" fillId="0" borderId="0" xfId="0" applyNumberFormat="1" applyFont="1" applyProtection="1">
      <alignment vertical="center"/>
      <protection locked="0"/>
    </xf>
    <xf numFmtId="168" fontId="4" fillId="3" borderId="6" xfId="0" applyNumberFormat="1" applyFont="1" applyFill="1" applyBorder="1" applyProtection="1">
      <alignment vertical="center"/>
      <protection locked="0"/>
    </xf>
    <xf numFmtId="168" fontId="4" fillId="3" borderId="2" xfId="0" applyNumberFormat="1" applyFont="1" applyFill="1" applyBorder="1" applyProtection="1">
      <alignment vertical="center"/>
      <protection locked="0"/>
    </xf>
    <xf numFmtId="0" fontId="34" fillId="0" borderId="2" xfId="0" applyFont="1" applyBorder="1" applyAlignment="1">
      <alignment vertical="top"/>
    </xf>
    <xf numFmtId="0" fontId="1" fillId="0" borderId="2" xfId="0" applyFont="1" applyBorder="1">
      <alignment vertical="center"/>
    </xf>
    <xf numFmtId="0" fontId="28" fillId="6" borderId="18" xfId="0" applyFont="1" applyFill="1" applyBorder="1">
      <alignment vertical="center"/>
    </xf>
    <xf numFmtId="0" fontId="1" fillId="0" borderId="2" xfId="0" applyFont="1" applyBorder="1" applyAlignment="1"/>
    <xf numFmtId="11" fontId="4" fillId="8" borderId="5" xfId="0" applyNumberFormat="1" applyFont="1" applyFill="1" applyBorder="1" applyAlignment="1" applyProtection="1">
      <alignment horizontal="right"/>
      <protection locked="0"/>
    </xf>
    <xf numFmtId="0" fontId="4" fillId="3" borderId="5" xfId="0" applyFont="1" applyFill="1" applyBorder="1" applyAlignment="1" applyProtection="1">
      <alignment horizontal="right"/>
      <protection locked="0"/>
    </xf>
    <xf numFmtId="0" fontId="4" fillId="9" borderId="6" xfId="0" applyFont="1" applyFill="1" applyBorder="1" applyAlignment="1" applyProtection="1">
      <alignment horizontal="center" vertical="center"/>
      <protection locked="0"/>
    </xf>
    <xf numFmtId="0" fontId="4" fillId="9" borderId="2" xfId="0" applyFont="1" applyFill="1" applyBorder="1" applyAlignment="1" applyProtection="1">
      <alignment horizontal="center" vertical="center"/>
      <protection locked="0"/>
    </xf>
    <xf numFmtId="0" fontId="17" fillId="0" borderId="2" xfId="0" applyFont="1" applyBorder="1" applyAlignment="1">
      <alignment vertical="center" wrapText="1"/>
    </xf>
    <xf numFmtId="0" fontId="17" fillId="0" borderId="3" xfId="0" applyFont="1" applyBorder="1" applyAlignment="1">
      <alignment vertical="center" wrapText="1"/>
    </xf>
    <xf numFmtId="0" fontId="25" fillId="0" borderId="2" xfId="0" applyFont="1" applyBorder="1" applyAlignment="1">
      <alignment vertical="center" wrapText="1"/>
    </xf>
    <xf numFmtId="0" fontId="25" fillId="0" borderId="3" xfId="0" applyFont="1" applyBorder="1" applyAlignment="1">
      <alignment vertical="center" wrapText="1"/>
    </xf>
    <xf numFmtId="0" fontId="11" fillId="0" borderId="2" xfId="0" applyFont="1" applyBorder="1" applyAlignment="1">
      <alignment vertical="center" wrapText="1"/>
    </xf>
    <xf numFmtId="0" fontId="11" fillId="0" borderId="3" xfId="0" applyFont="1" applyBorder="1" applyAlignment="1">
      <alignment vertical="center" wrapText="1"/>
    </xf>
    <xf numFmtId="0" fontId="26" fillId="6" borderId="18" xfId="0" applyFont="1" applyFill="1" applyBorder="1" applyAlignment="1">
      <alignment vertical="center" wrapText="1"/>
    </xf>
    <xf numFmtId="0" fontId="26" fillId="6" borderId="19" xfId="0" applyFont="1" applyFill="1" applyBorder="1" applyAlignment="1">
      <alignment vertical="center" wrapText="1"/>
    </xf>
    <xf numFmtId="0" fontId="4" fillId="3" borderId="20" xfId="1" applyNumberFormat="1" applyFont="1" applyFill="1" applyBorder="1" applyAlignment="1" applyProtection="1">
      <alignment vertical="center" wrapText="1"/>
      <protection locked="0"/>
    </xf>
    <xf numFmtId="11" fontId="4" fillId="3" borderId="21" xfId="1" applyNumberFormat="1" applyFont="1" applyFill="1" applyBorder="1" applyAlignment="1" applyProtection="1">
      <alignment vertical="center" wrapText="1"/>
      <protection locked="0"/>
    </xf>
    <xf numFmtId="0" fontId="4" fillId="3" borderId="21" xfId="1" applyNumberFormat="1" applyFont="1" applyFill="1" applyBorder="1" applyAlignment="1" applyProtection="1">
      <alignment vertical="center" wrapText="1"/>
      <protection locked="0"/>
    </xf>
    <xf numFmtId="0" fontId="4" fillId="3" borderId="22" xfId="1" applyNumberFormat="1" applyFont="1" applyFill="1" applyBorder="1" applyAlignment="1" applyProtection="1">
      <alignment vertical="center" wrapText="1"/>
      <protection locked="0"/>
    </xf>
    <xf numFmtId="0" fontId="4" fillId="3" borderId="23" xfId="1" applyNumberFormat="1" applyFont="1" applyFill="1" applyBorder="1" applyAlignment="1" applyProtection="1">
      <alignment vertical="center" wrapText="1"/>
      <protection locked="0"/>
    </xf>
    <xf numFmtId="0" fontId="4" fillId="3" borderId="1" xfId="1" applyNumberFormat="1" applyFont="1" applyFill="1" applyBorder="1" applyAlignment="1" applyProtection="1">
      <alignment vertical="center" wrapText="1"/>
      <protection locked="0"/>
    </xf>
    <xf numFmtId="0" fontId="4" fillId="3" borderId="24" xfId="1" applyNumberFormat="1" applyFont="1" applyFill="1" applyBorder="1" applyAlignment="1" applyProtection="1">
      <alignment vertical="center" wrapText="1"/>
      <protection locked="0"/>
    </xf>
    <xf numFmtId="11" fontId="4" fillId="3" borderId="1" xfId="1" applyNumberFormat="1" applyFont="1" applyFill="1" applyBorder="1" applyAlignment="1" applyProtection="1">
      <alignment vertical="center" wrapText="1"/>
      <protection locked="0"/>
    </xf>
    <xf numFmtId="11" fontId="4" fillId="3" borderId="23" xfId="1" applyNumberFormat="1" applyFont="1" applyFill="1" applyBorder="1" applyAlignment="1" applyProtection="1">
      <alignment vertical="center" wrapText="1"/>
      <protection locked="0"/>
    </xf>
    <xf numFmtId="11" fontId="4" fillId="3" borderId="24" xfId="1" applyNumberFormat="1" applyFont="1" applyFill="1" applyBorder="1" applyAlignment="1" applyProtection="1">
      <alignment vertical="center" wrapText="1"/>
      <protection locked="0"/>
    </xf>
    <xf numFmtId="0" fontId="4" fillId="3" borderId="25" xfId="1" applyNumberFormat="1" applyFont="1" applyFill="1" applyBorder="1" applyAlignment="1" applyProtection="1">
      <alignment vertical="center" wrapText="1"/>
      <protection locked="0"/>
    </xf>
    <xf numFmtId="0" fontId="4" fillId="3" borderId="26" xfId="1" applyNumberFormat="1" applyFont="1" applyFill="1" applyBorder="1" applyAlignment="1" applyProtection="1">
      <alignment vertical="center" wrapText="1"/>
      <protection locked="0"/>
    </xf>
    <xf numFmtId="0" fontId="4" fillId="3" borderId="27" xfId="1" applyNumberFormat="1" applyFont="1" applyFill="1" applyBorder="1" applyAlignment="1" applyProtection="1">
      <alignment vertical="center" wrapText="1"/>
      <protection locked="0"/>
    </xf>
    <xf numFmtId="11" fontId="17" fillId="0" borderId="2" xfId="0" applyNumberFormat="1" applyFont="1" applyBorder="1" applyAlignment="1">
      <alignment vertical="center" wrapText="1"/>
    </xf>
    <xf numFmtId="0" fontId="4" fillId="2" borderId="8" xfId="0" applyFont="1" applyFill="1" applyBorder="1" applyAlignment="1">
      <alignment horizontal="right" vertical="center" wrapText="1"/>
    </xf>
    <xf numFmtId="0" fontId="11" fillId="0" borderId="0" xfId="0" applyFont="1" applyAlignment="1">
      <alignment vertical="center" wrapText="1"/>
    </xf>
    <xf numFmtId="11" fontId="4" fillId="3" borderId="2" xfId="0" applyNumberFormat="1" applyFont="1" applyFill="1" applyBorder="1" applyAlignment="1" applyProtection="1">
      <alignment horizontal="right" vertical="center"/>
      <protection locked="0"/>
    </xf>
    <xf numFmtId="1" fontId="4" fillId="3" borderId="2" xfId="0" applyNumberFormat="1" applyFont="1" applyFill="1" applyBorder="1" applyAlignment="1" applyProtection="1">
      <alignment horizontal="right" vertical="center"/>
      <protection locked="0"/>
    </xf>
    <xf numFmtId="11" fontId="4" fillId="3" borderId="22" xfId="1" applyNumberFormat="1" applyFont="1" applyFill="1" applyBorder="1" applyAlignment="1" applyProtection="1">
      <alignment vertical="center" wrapText="1"/>
      <protection locked="0"/>
    </xf>
    <xf numFmtId="11" fontId="4" fillId="3" borderId="23" xfId="1" applyNumberFormat="1" applyFont="1" applyFill="1" applyBorder="1" applyAlignment="1" applyProtection="1">
      <alignment vertical="center"/>
      <protection locked="0"/>
    </xf>
    <xf numFmtId="9" fontId="4" fillId="3" borderId="6" xfId="0" applyNumberFormat="1" applyFont="1" applyFill="1" applyBorder="1" applyProtection="1">
      <alignment vertical="center"/>
      <protection locked="0"/>
    </xf>
    <xf numFmtId="0" fontId="4" fillId="0" borderId="0" xfId="0" applyFont="1" applyAlignment="1" applyProtection="1">
      <alignment horizontal="right" vertical="center"/>
      <protection locked="0"/>
    </xf>
    <xf numFmtId="0" fontId="28" fillId="6" borderId="0" xfId="0" applyFont="1" applyFill="1">
      <alignment vertical="center"/>
    </xf>
    <xf numFmtId="0" fontId="44" fillId="7" borderId="0" xfId="0" applyFont="1" applyFill="1" applyAlignment="1">
      <alignment horizontal="right"/>
    </xf>
    <xf numFmtId="0" fontId="44" fillId="7" borderId="0" xfId="0" applyFont="1" applyFill="1" applyAlignment="1">
      <alignment horizontal="left"/>
    </xf>
    <xf numFmtId="0" fontId="44" fillId="7" borderId="0" xfId="0" applyFont="1" applyFill="1" applyAlignment="1">
      <alignment horizontal="center" wrapText="1"/>
    </xf>
    <xf numFmtId="0" fontId="44" fillId="7" borderId="0" xfId="0" applyFont="1" applyFill="1" applyAlignment="1"/>
    <xf numFmtId="0" fontId="0" fillId="0" borderId="2" xfId="0" applyBorder="1">
      <alignment vertical="center"/>
    </xf>
    <xf numFmtId="0" fontId="47" fillId="0" borderId="0" xfId="0" applyFont="1">
      <alignment vertical="center"/>
    </xf>
    <xf numFmtId="0" fontId="4" fillId="0" borderId="2" xfId="0" applyFont="1" applyBorder="1" applyProtection="1">
      <alignment vertical="center"/>
      <protection locked="0"/>
    </xf>
    <xf numFmtId="0" fontId="0" fillId="0" borderId="0" xfId="0" applyProtection="1">
      <alignment vertical="center"/>
      <protection locked="0"/>
    </xf>
    <xf numFmtId="0" fontId="4" fillId="0" borderId="2" xfId="0" applyFont="1" applyBorder="1" applyAlignment="1">
      <alignment vertical="center" wrapText="1"/>
    </xf>
    <xf numFmtId="0" fontId="43" fillId="0" borderId="2" xfId="0" applyFont="1" applyBorder="1">
      <alignment vertical="center"/>
    </xf>
    <xf numFmtId="11" fontId="4" fillId="3" borderId="2" xfId="0" applyNumberFormat="1" applyFont="1" applyFill="1" applyBorder="1" applyAlignment="1" applyProtection="1">
      <alignment horizontal="left" vertical="center"/>
      <protection locked="0"/>
    </xf>
    <xf numFmtId="11" fontId="20" fillId="3" borderId="2" xfId="0" applyNumberFormat="1" applyFont="1" applyFill="1" applyBorder="1" applyAlignment="1" applyProtection="1">
      <alignment horizontal="right" vertical="center"/>
      <protection locked="0"/>
    </xf>
    <xf numFmtId="11" fontId="4" fillId="3" borderId="2" xfId="0" applyNumberFormat="1" applyFont="1" applyFill="1" applyBorder="1" applyAlignment="1" applyProtection="1">
      <alignment horizontal="center" vertical="center"/>
      <protection locked="0"/>
    </xf>
    <xf numFmtId="0" fontId="1" fillId="0" borderId="2" xfId="0" applyFont="1" applyBorder="1" applyAlignment="1">
      <alignment horizontal="right" vertical="center"/>
    </xf>
    <xf numFmtId="0" fontId="20" fillId="0" borderId="2" xfId="0" applyFont="1" applyBorder="1" applyProtection="1">
      <alignment vertical="center"/>
      <protection locked="0"/>
    </xf>
    <xf numFmtId="0" fontId="4" fillId="3" borderId="3" xfId="0" applyFont="1" applyFill="1" applyBorder="1" applyAlignment="1" applyProtection="1">
      <alignment horizontal="right" vertical="center"/>
      <protection locked="0"/>
    </xf>
    <xf numFmtId="0" fontId="4" fillId="9" borderId="2" xfId="0" applyFont="1" applyFill="1" applyBorder="1" applyProtection="1">
      <alignment vertical="center"/>
      <protection locked="0"/>
    </xf>
    <xf numFmtId="0" fontId="4" fillId="9" borderId="5" xfId="0" applyFont="1" applyFill="1" applyBorder="1" applyProtection="1">
      <alignment vertical="center"/>
      <protection locked="0"/>
    </xf>
    <xf numFmtId="164" fontId="4" fillId="9" borderId="41" xfId="0" applyNumberFormat="1" applyFont="1" applyFill="1" applyBorder="1" applyProtection="1">
      <alignment vertical="center"/>
      <protection locked="0"/>
    </xf>
    <xf numFmtId="164" fontId="4" fillId="9" borderId="42" xfId="0" applyNumberFormat="1" applyFont="1" applyFill="1" applyBorder="1" applyProtection="1">
      <alignment vertical="center"/>
      <protection locked="0"/>
    </xf>
    <xf numFmtId="164" fontId="4" fillId="9" borderId="43" xfId="0" applyNumberFormat="1" applyFont="1" applyFill="1" applyBorder="1" applyProtection="1">
      <alignment vertical="center"/>
      <protection locked="0"/>
    </xf>
    <xf numFmtId="164" fontId="4" fillId="9" borderId="44" xfId="0" applyNumberFormat="1" applyFont="1" applyFill="1" applyBorder="1" applyProtection="1">
      <alignment vertical="center"/>
      <protection locked="0"/>
    </xf>
    <xf numFmtId="164" fontId="4" fillId="9" borderId="2" xfId="0" applyNumberFormat="1" applyFont="1" applyFill="1" applyBorder="1" applyProtection="1">
      <alignment vertical="center"/>
      <protection locked="0"/>
    </xf>
    <xf numFmtId="164" fontId="4" fillId="9" borderId="45" xfId="0" applyNumberFormat="1" applyFont="1" applyFill="1" applyBorder="1" applyProtection="1">
      <alignment vertical="center"/>
      <protection locked="0"/>
    </xf>
    <xf numFmtId="164" fontId="4" fillId="9" borderId="46" xfId="0" applyNumberFormat="1" applyFont="1" applyFill="1" applyBorder="1" applyProtection="1">
      <alignment vertical="center"/>
      <protection locked="0"/>
    </xf>
    <xf numFmtId="164" fontId="4" fillId="9" borderId="40" xfId="0" applyNumberFormat="1" applyFont="1" applyFill="1" applyBorder="1" applyProtection="1">
      <alignment vertical="center"/>
      <protection locked="0"/>
    </xf>
    <xf numFmtId="164" fontId="4" fillId="9" borderId="47" xfId="0" applyNumberFormat="1" applyFont="1" applyFill="1" applyBorder="1" applyProtection="1">
      <alignment vertical="center"/>
      <protection locked="0"/>
    </xf>
    <xf numFmtId="0" fontId="4" fillId="3" borderId="2" xfId="0" applyFont="1" applyFill="1" applyBorder="1" applyAlignment="1" applyProtection="1">
      <alignment horizontal="left" vertical="center"/>
      <protection locked="0"/>
    </xf>
    <xf numFmtId="0" fontId="4" fillId="3" borderId="5" xfId="0" applyFont="1" applyFill="1" applyBorder="1" applyAlignment="1" applyProtection="1">
      <alignment horizontal="right" vertical="center"/>
      <protection locked="0"/>
    </xf>
    <xf numFmtId="0" fontId="4" fillId="0" borderId="3" xfId="0" applyFont="1" applyBorder="1">
      <alignment vertical="center"/>
    </xf>
    <xf numFmtId="0" fontId="1" fillId="5" borderId="12" xfId="0" applyFont="1" applyFill="1" applyBorder="1">
      <alignment vertical="center"/>
    </xf>
    <xf numFmtId="0" fontId="20" fillId="0" borderId="0" xfId="0" applyFont="1" applyProtection="1">
      <alignment vertical="center"/>
      <protection locked="0"/>
    </xf>
    <xf numFmtId="0" fontId="4" fillId="0" borderId="2" xfId="0" quotePrefix="1" applyFont="1" applyBorder="1">
      <alignment vertical="center"/>
    </xf>
    <xf numFmtId="0" fontId="4" fillId="0" borderId="6" xfId="0" quotePrefix="1" applyFont="1" applyBorder="1">
      <alignment vertical="center"/>
    </xf>
    <xf numFmtId="11" fontId="4" fillId="3" borderId="6" xfId="0" applyNumberFormat="1" applyFont="1" applyFill="1" applyBorder="1" applyAlignment="1" applyProtection="1">
      <alignment horizontal="right" vertical="center"/>
      <protection locked="0"/>
    </xf>
    <xf numFmtId="0" fontId="4" fillId="3" borderId="4" xfId="0" applyFont="1" applyFill="1" applyBorder="1" applyAlignment="1" applyProtection="1">
      <alignment horizontal="right" vertical="center"/>
      <protection locked="0"/>
    </xf>
    <xf numFmtId="0" fontId="4" fillId="0" borderId="4" xfId="0" quotePrefix="1" applyFont="1" applyBorder="1">
      <alignment vertical="center"/>
    </xf>
    <xf numFmtId="167" fontId="4" fillId="3" borderId="2" xfId="0" applyNumberFormat="1" applyFont="1" applyFill="1" applyBorder="1" applyAlignment="1" applyProtection="1">
      <alignment horizontal="right" vertical="center"/>
      <protection locked="0"/>
    </xf>
    <xf numFmtId="1" fontId="4" fillId="0" borderId="0" xfId="0" applyNumberFormat="1" applyFont="1" applyProtection="1">
      <alignment vertical="center"/>
      <protection locked="0"/>
    </xf>
    <xf numFmtId="11" fontId="4" fillId="3" borderId="48" xfId="0" applyNumberFormat="1" applyFont="1" applyFill="1" applyBorder="1" applyAlignment="1" applyProtection="1">
      <alignment horizontal="right"/>
      <protection locked="0"/>
    </xf>
    <xf numFmtId="0" fontId="4" fillId="3" borderId="48" xfId="0" applyFont="1" applyFill="1" applyBorder="1" applyAlignment="1" applyProtection="1">
      <alignment horizontal="right"/>
      <protection locked="0"/>
    </xf>
    <xf numFmtId="0" fontId="4" fillId="0" borderId="48" xfId="0" applyFont="1" applyBorder="1" applyAlignment="1"/>
    <xf numFmtId="0" fontId="4" fillId="3" borderId="9" xfId="0" applyFont="1" applyFill="1" applyBorder="1" applyAlignment="1" applyProtection="1">
      <alignment horizontal="right"/>
      <protection locked="0"/>
    </xf>
    <xf numFmtId="0" fontId="1" fillId="0" borderId="2" xfId="0" applyFont="1" applyBorder="1" applyProtection="1">
      <alignment vertical="center"/>
      <protection locked="0"/>
    </xf>
    <xf numFmtId="0" fontId="52" fillId="0" borderId="2" xfId="0" applyFont="1" applyBorder="1" applyProtection="1">
      <alignment vertical="center"/>
      <protection locked="0"/>
    </xf>
    <xf numFmtId="11" fontId="4" fillId="0" borderId="2" xfId="0" applyNumberFormat="1" applyFont="1" applyBorder="1" applyProtection="1">
      <alignment vertical="center"/>
      <protection locked="0"/>
    </xf>
    <xf numFmtId="2" fontId="4" fillId="3" borderId="6" xfId="0" applyNumberFormat="1" applyFont="1" applyFill="1" applyBorder="1" applyAlignment="1" applyProtection="1">
      <alignment horizontal="right" vertical="center"/>
      <protection locked="0"/>
    </xf>
    <xf numFmtId="2" fontId="4" fillId="3" borderId="2" xfId="0" applyNumberFormat="1" applyFont="1" applyFill="1" applyBorder="1" applyAlignment="1" applyProtection="1">
      <alignment horizontal="right" vertical="center"/>
      <protection locked="0"/>
    </xf>
    <xf numFmtId="2" fontId="4" fillId="3" borderId="4" xfId="0" applyNumberFormat="1" applyFont="1" applyFill="1" applyBorder="1" applyAlignment="1" applyProtection="1">
      <alignment horizontal="right" vertical="center"/>
      <protection locked="0"/>
    </xf>
    <xf numFmtId="0" fontId="4" fillId="4" borderId="2" xfId="0" applyFont="1" applyFill="1" applyBorder="1" applyAlignment="1" applyProtection="1">
      <alignment horizontal="right" vertical="center"/>
      <protection locked="0"/>
    </xf>
    <xf numFmtId="1" fontId="4" fillId="3" borderId="6" xfId="0" applyNumberFormat="1" applyFont="1" applyFill="1" applyBorder="1" applyAlignment="1" applyProtection="1">
      <alignment horizontal="right" vertical="center"/>
      <protection locked="0"/>
    </xf>
    <xf numFmtId="0" fontId="4" fillId="0" borderId="49" xfId="0" applyFont="1" applyBorder="1">
      <alignment vertical="center"/>
    </xf>
    <xf numFmtId="11" fontId="4" fillId="3" borderId="49" xfId="0" applyNumberFormat="1" applyFont="1" applyFill="1" applyBorder="1" applyAlignment="1" applyProtection="1">
      <alignment horizontal="right" vertical="center"/>
      <protection locked="0"/>
    </xf>
    <xf numFmtId="0" fontId="4" fillId="0" borderId="49" xfId="0" quotePrefix="1" applyFont="1" applyBorder="1">
      <alignment vertical="center"/>
    </xf>
    <xf numFmtId="0" fontId="4" fillId="3" borderId="49" xfId="0" applyFont="1" applyFill="1" applyBorder="1" applyAlignment="1" applyProtection="1">
      <alignment horizontal="right" vertical="center"/>
      <protection locked="0"/>
    </xf>
    <xf numFmtId="0" fontId="4" fillId="0" borderId="49" xfId="0" applyFont="1" applyBorder="1" applyAlignment="1"/>
    <xf numFmtId="2" fontId="4" fillId="3" borderId="49" xfId="0" applyNumberFormat="1" applyFont="1" applyFill="1" applyBorder="1" applyAlignment="1" applyProtection="1">
      <alignment horizontal="right" vertical="center"/>
      <protection locked="0"/>
    </xf>
    <xf numFmtId="0" fontId="43" fillId="0" borderId="0" xfId="0" applyFont="1">
      <alignment vertical="center"/>
    </xf>
    <xf numFmtId="0" fontId="54" fillId="9" borderId="6" xfId="0" applyFont="1" applyFill="1" applyBorder="1" applyAlignment="1">
      <alignment horizontal="center" vertical="center"/>
    </xf>
    <xf numFmtId="0" fontId="4" fillId="2" borderId="1" xfId="0" applyFont="1" applyFill="1" applyBorder="1" applyAlignment="1">
      <alignment horizontal="right" vertical="center" wrapText="1"/>
    </xf>
    <xf numFmtId="9" fontId="4" fillId="3" borderId="6" xfId="0" applyNumberFormat="1" applyFont="1" applyFill="1" applyBorder="1" applyAlignment="1" applyProtection="1">
      <alignment horizontal="right" vertical="center"/>
      <protection locked="0"/>
    </xf>
    <xf numFmtId="0" fontId="4" fillId="2" borderId="2" xfId="0" applyFont="1" applyFill="1" applyBorder="1" applyAlignment="1">
      <alignment horizontal="right" vertical="center"/>
    </xf>
    <xf numFmtId="0" fontId="4" fillId="2" borderId="2" xfId="0" applyFont="1" applyFill="1" applyBorder="1" applyAlignment="1">
      <alignment horizontal="right" vertical="center" wrapText="1"/>
    </xf>
    <xf numFmtId="2" fontId="4" fillId="3" borderId="6" xfId="0" applyNumberFormat="1" applyFont="1" applyFill="1" applyBorder="1" applyProtection="1">
      <alignment vertical="center"/>
      <protection locked="0"/>
    </xf>
    <xf numFmtId="10" fontId="4" fillId="3" borderId="6" xfId="0" applyNumberFormat="1" applyFont="1" applyFill="1" applyBorder="1" applyProtection="1">
      <alignment vertical="center"/>
      <protection locked="0"/>
    </xf>
    <xf numFmtId="2" fontId="4" fillId="3" borderId="2" xfId="0" applyNumberFormat="1" applyFont="1" applyFill="1" applyBorder="1" applyProtection="1">
      <alignment vertical="center"/>
      <protection locked="0"/>
    </xf>
    <xf numFmtId="10" fontId="4" fillId="3" borderId="2" xfId="0" applyNumberFormat="1" applyFont="1" applyFill="1" applyBorder="1" applyProtection="1">
      <alignment vertical="center"/>
      <protection locked="0"/>
    </xf>
    <xf numFmtId="1" fontId="0" fillId="0" borderId="2" xfId="0" applyNumberFormat="1" applyBorder="1">
      <alignment vertical="center"/>
    </xf>
    <xf numFmtId="10" fontId="4" fillId="3" borderId="26" xfId="1" applyNumberFormat="1" applyFont="1" applyFill="1" applyBorder="1" applyAlignment="1" applyProtection="1">
      <alignment vertical="center" wrapText="1"/>
      <protection locked="0"/>
    </xf>
    <xf numFmtId="0" fontId="4" fillId="0" borderId="15" xfId="0" applyFont="1" applyBorder="1">
      <alignment vertical="center"/>
    </xf>
    <xf numFmtId="0" fontId="4" fillId="8" borderId="0" xfId="0" applyFont="1" applyFill="1" applyAlignment="1">
      <alignment horizontal="left" vertical="center"/>
    </xf>
    <xf numFmtId="9" fontId="4" fillId="0" borderId="0" xfId="1" applyFont="1" applyFill="1" applyBorder="1" applyProtection="1">
      <alignment vertical="center"/>
      <protection locked="0"/>
    </xf>
    <xf numFmtId="0" fontId="17" fillId="0" borderId="2" xfId="0" quotePrefix="1" applyFont="1" applyBorder="1">
      <alignment vertical="center"/>
    </xf>
    <xf numFmtId="0" fontId="4" fillId="2" borderId="51" xfId="0" applyFont="1" applyFill="1" applyBorder="1" applyAlignment="1">
      <alignment horizontal="left" vertical="center"/>
    </xf>
    <xf numFmtId="0" fontId="1" fillId="2" borderId="51" xfId="0" applyFont="1" applyFill="1" applyBorder="1" applyAlignment="1">
      <alignment horizontal="left" vertical="center"/>
    </xf>
    <xf numFmtId="0" fontId="1" fillId="2" borderId="52" xfId="0" applyFont="1" applyFill="1" applyBorder="1" applyAlignment="1">
      <alignment horizontal="right" vertical="center"/>
    </xf>
    <xf numFmtId="0" fontId="4" fillId="0" borderId="52" xfId="0" applyFont="1" applyBorder="1">
      <alignment vertical="center"/>
    </xf>
    <xf numFmtId="2" fontId="4" fillId="3" borderId="52" xfId="0" applyNumberFormat="1" applyFont="1" applyFill="1" applyBorder="1" applyAlignment="1" applyProtection="1">
      <alignment horizontal="right" vertical="center"/>
      <protection locked="0"/>
    </xf>
    <xf numFmtId="0" fontId="4" fillId="8" borderId="53" xfId="0" applyFont="1" applyFill="1" applyBorder="1" applyAlignment="1">
      <alignment horizontal="left" vertical="center"/>
    </xf>
    <xf numFmtId="0" fontId="4" fillId="0" borderId="54" xfId="0" applyFont="1" applyBorder="1">
      <alignment vertical="center"/>
    </xf>
    <xf numFmtId="2" fontId="4" fillId="3" borderId="15" xfId="0" applyNumberFormat="1" applyFont="1" applyFill="1" applyBorder="1" applyAlignment="1" applyProtection="1">
      <alignment horizontal="right" vertical="center"/>
      <protection locked="0"/>
    </xf>
    <xf numFmtId="0" fontId="4" fillId="3" borderId="52" xfId="0" applyFont="1" applyFill="1" applyBorder="1" applyProtection="1">
      <alignment vertical="center"/>
      <protection locked="0"/>
    </xf>
    <xf numFmtId="0" fontId="4" fillId="0" borderId="55" xfId="0" applyFont="1" applyBorder="1">
      <alignment vertical="center"/>
    </xf>
    <xf numFmtId="0" fontId="4" fillId="0" borderId="14" xfId="0" applyFont="1" applyBorder="1">
      <alignment vertical="center"/>
    </xf>
    <xf numFmtId="0" fontId="4" fillId="0" borderId="56" xfId="0" applyFont="1" applyBorder="1">
      <alignment vertical="center"/>
    </xf>
    <xf numFmtId="11" fontId="4" fillId="3" borderId="52" xfId="0" applyNumberFormat="1" applyFont="1" applyFill="1" applyBorder="1" applyProtection="1">
      <alignment vertical="center"/>
      <protection locked="0"/>
    </xf>
    <xf numFmtId="11" fontId="4" fillId="3" borderId="4" xfId="0" applyNumberFormat="1" applyFont="1" applyFill="1" applyBorder="1" applyProtection="1">
      <alignment vertical="center"/>
      <protection locked="0"/>
    </xf>
    <xf numFmtId="0" fontId="17" fillId="0" borderId="4" xfId="0" quotePrefix="1" applyFont="1" applyBorder="1">
      <alignment vertical="center"/>
    </xf>
    <xf numFmtId="0" fontId="13" fillId="0" borderId="52" xfId="0" applyFont="1" applyBorder="1">
      <alignment vertical="center"/>
    </xf>
    <xf numFmtId="0" fontId="4" fillId="0" borderId="57" xfId="0" applyFont="1" applyBorder="1">
      <alignment vertical="center"/>
    </xf>
    <xf numFmtId="9" fontId="4" fillId="3" borderId="57" xfId="0" applyNumberFormat="1" applyFont="1" applyFill="1" applyBorder="1" applyProtection="1">
      <alignment vertical="center"/>
      <protection locked="0"/>
    </xf>
    <xf numFmtId="0" fontId="4" fillId="0" borderId="58" xfId="0" quotePrefix="1" applyFont="1" applyBorder="1">
      <alignment vertical="center"/>
    </xf>
    <xf numFmtId="0" fontId="1" fillId="2" borderId="59" xfId="0" applyFont="1" applyFill="1" applyBorder="1" applyAlignment="1">
      <alignment horizontal="left" vertical="center"/>
    </xf>
    <xf numFmtId="0" fontId="1" fillId="2" borderId="18" xfId="0" applyFont="1" applyFill="1" applyBorder="1" applyAlignment="1">
      <alignment horizontal="left" vertical="center"/>
    </xf>
    <xf numFmtId="0" fontId="4" fillId="0" borderId="52" xfId="0" applyFont="1" applyBorder="1" applyAlignment="1">
      <alignment horizontal="right" vertical="center"/>
    </xf>
    <xf numFmtId="0" fontId="13" fillId="0" borderId="4" xfId="0" applyFont="1" applyBorder="1">
      <alignment vertical="center"/>
    </xf>
    <xf numFmtId="0" fontId="4" fillId="0" borderId="4" xfId="0" applyFont="1" applyBorder="1" applyAlignment="1">
      <alignment horizontal="right" vertical="center"/>
    </xf>
    <xf numFmtId="168" fontId="4" fillId="3" borderId="52" xfId="1" applyNumberFormat="1" applyFont="1" applyFill="1" applyBorder="1" applyProtection="1">
      <alignment vertical="center"/>
      <protection locked="0"/>
    </xf>
    <xf numFmtId="0" fontId="4" fillId="0" borderId="52" xfId="0" applyFont="1" applyBorder="1" applyProtection="1">
      <alignment vertical="center"/>
      <protection locked="0"/>
    </xf>
    <xf numFmtId="0" fontId="4" fillId="0" borderId="4" xfId="0" applyFont="1" applyBorder="1" applyProtection="1">
      <alignment vertical="center"/>
      <protection locked="0"/>
    </xf>
    <xf numFmtId="0" fontId="13" fillId="0" borderId="52" xfId="0" applyFont="1" applyBorder="1" applyProtection="1">
      <alignment vertical="center"/>
      <protection locked="0"/>
    </xf>
    <xf numFmtId="0" fontId="4" fillId="0" borderId="55" xfId="0" applyFont="1" applyBorder="1" applyProtection="1">
      <alignment vertical="center"/>
      <protection locked="0"/>
    </xf>
    <xf numFmtId="0" fontId="4" fillId="0" borderId="9" xfId="0" applyFont="1" applyBorder="1" applyProtection="1">
      <alignment vertical="center"/>
      <protection locked="0"/>
    </xf>
    <xf numFmtId="0" fontId="13" fillId="0" borderId="2" xfId="0" applyFont="1" applyBorder="1" applyProtection="1">
      <alignment vertical="center"/>
      <protection locked="0"/>
    </xf>
    <xf numFmtId="0" fontId="28" fillId="6" borderId="16" xfId="0" applyFont="1" applyFill="1" applyBorder="1" applyProtection="1">
      <alignment vertical="center"/>
      <protection locked="0"/>
    </xf>
    <xf numFmtId="0" fontId="28" fillId="6" borderId="60" xfId="0" applyFont="1" applyFill="1" applyBorder="1">
      <alignment vertical="center"/>
    </xf>
    <xf numFmtId="0" fontId="1" fillId="0" borderId="49" xfId="0" applyFont="1" applyBorder="1">
      <alignment vertical="center"/>
    </xf>
    <xf numFmtId="0" fontId="4" fillId="0" borderId="63" xfId="0" applyFont="1" applyBorder="1">
      <alignment vertical="center"/>
    </xf>
    <xf numFmtId="0" fontId="4" fillId="0" borderId="64" xfId="0" applyFont="1" applyBorder="1">
      <alignment vertical="center"/>
    </xf>
    <xf numFmtId="10" fontId="4" fillId="0" borderId="0" xfId="1" applyNumberFormat="1" applyFont="1" applyFill="1" applyBorder="1" applyProtection="1">
      <alignment vertical="center"/>
      <protection locked="0"/>
    </xf>
    <xf numFmtId="10" fontId="4" fillId="0" borderId="0" xfId="0" applyNumberFormat="1" applyFont="1" applyProtection="1">
      <alignment vertical="center"/>
      <protection locked="0"/>
    </xf>
    <xf numFmtId="165" fontId="4" fillId="0" borderId="0" xfId="1" applyNumberFormat="1" applyFont="1" applyFill="1" applyBorder="1" applyProtection="1">
      <alignment vertical="center"/>
      <protection locked="0"/>
    </xf>
    <xf numFmtId="167" fontId="4" fillId="0" borderId="0" xfId="0" applyNumberFormat="1" applyFont="1" applyProtection="1">
      <alignment vertical="center"/>
      <protection locked="0"/>
    </xf>
    <xf numFmtId="0" fontId="44" fillId="0" borderId="0" xfId="0" applyFont="1" applyAlignment="1"/>
    <xf numFmtId="165" fontId="4" fillId="0" borderId="2" xfId="1" applyNumberFormat="1" applyFont="1" applyBorder="1" applyProtection="1">
      <alignment vertical="center"/>
      <protection locked="0"/>
    </xf>
    <xf numFmtId="166" fontId="46" fillId="0" borderId="2" xfId="0" applyNumberFormat="1" applyFont="1" applyBorder="1" applyProtection="1">
      <alignment vertical="center"/>
      <protection locked="0"/>
    </xf>
    <xf numFmtId="165" fontId="41" fillId="0" borderId="2" xfId="1" applyNumberFormat="1" applyFont="1" applyBorder="1" applyProtection="1">
      <alignment vertical="center"/>
    </xf>
    <xf numFmtId="165" fontId="4" fillId="0" borderId="2" xfId="0" applyNumberFormat="1" applyFont="1" applyBorder="1" applyProtection="1">
      <alignment vertical="center"/>
      <protection locked="0"/>
    </xf>
    <xf numFmtId="0" fontId="41" fillId="0" borderId="2" xfId="0" applyFont="1" applyBorder="1">
      <alignment vertical="center"/>
    </xf>
    <xf numFmtId="0" fontId="44" fillId="0" borderId="2" xfId="0" applyFont="1" applyBorder="1">
      <alignment vertical="center"/>
    </xf>
    <xf numFmtId="0" fontId="4" fillId="0" borderId="5" xfId="0" applyFont="1" applyBorder="1" applyAlignment="1" applyProtection="1">
      <alignment horizontal="right" vertical="center"/>
      <protection locked="0"/>
    </xf>
    <xf numFmtId="0" fontId="4" fillId="0" borderId="5" xfId="0" applyFont="1" applyBorder="1" applyProtection="1">
      <alignment vertical="center"/>
      <protection locked="0"/>
    </xf>
    <xf numFmtId="0" fontId="4" fillId="0" borderId="68" xfId="0" applyFont="1" applyBorder="1" applyProtection="1">
      <alignment vertical="center"/>
      <protection locked="0"/>
    </xf>
    <xf numFmtId="165" fontId="4" fillId="0" borderId="5" xfId="1" applyNumberFormat="1" applyFont="1" applyBorder="1" applyProtection="1">
      <alignment vertical="center"/>
      <protection locked="0"/>
    </xf>
    <xf numFmtId="165" fontId="4" fillId="0" borderId="5" xfId="0" applyNumberFormat="1" applyFont="1" applyBorder="1" applyProtection="1">
      <alignment vertical="center"/>
      <protection locked="0"/>
    </xf>
    <xf numFmtId="0" fontId="44" fillId="7" borderId="67" xfId="0" applyFont="1" applyFill="1" applyBorder="1" applyAlignment="1">
      <alignment horizontal="center" wrapText="1"/>
    </xf>
    <xf numFmtId="0" fontId="4" fillId="0" borderId="68" xfId="0" applyFont="1" applyBorder="1" applyAlignment="1" applyProtection="1">
      <alignment horizontal="right" vertical="center"/>
      <protection locked="0"/>
    </xf>
    <xf numFmtId="166" fontId="46" fillId="0" borderId="5" xfId="0" applyNumberFormat="1" applyFont="1" applyBorder="1" applyProtection="1">
      <alignment vertical="center"/>
      <protection locked="0"/>
    </xf>
    <xf numFmtId="165" fontId="4" fillId="0" borderId="68" xfId="1" applyNumberFormat="1" applyFont="1" applyBorder="1" applyProtection="1">
      <alignment vertical="center"/>
      <protection locked="0"/>
    </xf>
    <xf numFmtId="0" fontId="44" fillId="7" borderId="67" xfId="0" applyFont="1" applyFill="1" applyBorder="1" applyAlignment="1">
      <alignment horizontal="right"/>
    </xf>
    <xf numFmtId="11" fontId="4" fillId="0" borderId="68" xfId="0" applyNumberFormat="1" applyFont="1" applyBorder="1" applyProtection="1">
      <alignment vertical="center"/>
      <protection locked="0"/>
    </xf>
    <xf numFmtId="166" fontId="46" fillId="0" borderId="68" xfId="0" applyNumberFormat="1" applyFont="1" applyBorder="1" applyProtection="1">
      <alignment vertical="center"/>
      <protection locked="0"/>
    </xf>
    <xf numFmtId="165" fontId="41" fillId="0" borderId="5" xfId="1" applyNumberFormat="1" applyFont="1" applyBorder="1" applyProtection="1">
      <alignment vertical="center"/>
    </xf>
    <xf numFmtId="0" fontId="41" fillId="0" borderId="5" xfId="0" applyFont="1" applyBorder="1">
      <alignment vertical="center"/>
    </xf>
    <xf numFmtId="0" fontId="44" fillId="0" borderId="5" xfId="0" applyFont="1" applyBorder="1">
      <alignment vertical="center"/>
    </xf>
    <xf numFmtId="11" fontId="4" fillId="0" borderId="5" xfId="0" applyNumberFormat="1" applyFont="1" applyBorder="1" applyProtection="1">
      <alignment vertical="center"/>
      <protection locked="0"/>
    </xf>
    <xf numFmtId="0" fontId="4" fillId="0" borderId="69" xfId="0" applyFont="1" applyBorder="1" applyProtection="1">
      <alignment vertical="center"/>
      <protection locked="0"/>
    </xf>
    <xf numFmtId="9" fontId="4" fillId="0" borderId="69" xfId="0" applyNumberFormat="1" applyFont="1" applyBorder="1" applyProtection="1">
      <alignment vertical="center"/>
      <protection locked="0"/>
    </xf>
    <xf numFmtId="9" fontId="4" fillId="0" borderId="69" xfId="1" applyFont="1" applyFill="1" applyBorder="1" applyProtection="1">
      <alignment vertical="center"/>
      <protection locked="0"/>
    </xf>
    <xf numFmtId="0" fontId="44" fillId="7" borderId="71" xfId="0" applyFont="1" applyFill="1" applyBorder="1" applyAlignment="1">
      <alignment wrapText="1"/>
    </xf>
    <xf numFmtId="0" fontId="34" fillId="0" borderId="2" xfId="0" applyFont="1" applyBorder="1" applyAlignment="1">
      <alignment horizontal="left" vertical="center"/>
    </xf>
    <xf numFmtId="0" fontId="28" fillId="6" borderId="38" xfId="0" applyFont="1" applyFill="1" applyBorder="1">
      <alignment vertical="center"/>
    </xf>
    <xf numFmtId="0" fontId="28" fillId="6" borderId="39" xfId="0" applyFont="1" applyFill="1" applyBorder="1">
      <alignment vertical="center"/>
    </xf>
    <xf numFmtId="0" fontId="28" fillId="6" borderId="18" xfId="0" applyFont="1" applyFill="1" applyBorder="1" applyAlignment="1">
      <alignment vertical="center" wrapText="1"/>
    </xf>
    <xf numFmtId="0" fontId="28" fillId="6" borderId="19" xfId="0" applyFont="1" applyFill="1" applyBorder="1" applyAlignment="1">
      <alignment vertical="center" wrapText="1"/>
    </xf>
    <xf numFmtId="0" fontId="28" fillId="6" borderId="65" xfId="0" applyFont="1" applyFill="1" applyBorder="1">
      <alignment vertical="center"/>
    </xf>
    <xf numFmtId="0" fontId="28" fillId="6" borderId="66" xfId="0" applyFont="1" applyFill="1" applyBorder="1">
      <alignment vertical="center"/>
    </xf>
    <xf numFmtId="0" fontId="28" fillId="6" borderId="70" xfId="0" applyFont="1" applyFill="1" applyBorder="1">
      <alignment vertical="center"/>
    </xf>
    <xf numFmtId="0" fontId="28" fillId="0" borderId="0" xfId="0" applyFont="1">
      <alignment vertical="center"/>
    </xf>
    <xf numFmtId="167" fontId="41" fillId="11" borderId="2" xfId="0" applyNumberFormat="1" applyFont="1" applyFill="1" applyBorder="1" applyProtection="1">
      <alignment vertical="center"/>
      <protection locked="0"/>
    </xf>
    <xf numFmtId="0" fontId="55" fillId="0" borderId="2" xfId="0" applyFont="1" applyBorder="1">
      <alignment vertical="center"/>
    </xf>
    <xf numFmtId="0" fontId="56" fillId="10" borderId="0" xfId="0" applyFont="1" applyFill="1">
      <alignment vertical="center"/>
    </xf>
    <xf numFmtId="0" fontId="1" fillId="10" borderId="0" xfId="0" applyFont="1" applyFill="1">
      <alignment vertical="center"/>
    </xf>
    <xf numFmtId="0" fontId="57" fillId="0" borderId="0" xfId="0" applyFont="1">
      <alignment vertical="center"/>
    </xf>
    <xf numFmtId="0" fontId="4" fillId="0" borderId="0" xfId="0" applyFont="1" applyAlignment="1" applyProtection="1">
      <protection locked="0"/>
    </xf>
    <xf numFmtId="9" fontId="4" fillId="3" borderId="2" xfId="1" applyFont="1" applyFill="1" applyBorder="1" applyAlignment="1" applyProtection="1">
      <alignment horizontal="right" vertical="center"/>
      <protection locked="0"/>
    </xf>
    <xf numFmtId="11" fontId="4" fillId="3" borderId="61" xfId="0" applyNumberFormat="1" applyFont="1" applyFill="1" applyBorder="1" applyAlignment="1" applyProtection="1">
      <alignment horizontal="right" vertical="center"/>
      <protection locked="0"/>
    </xf>
    <xf numFmtId="11" fontId="4" fillId="3" borderId="5" xfId="0" applyNumberFormat="1" applyFont="1" applyFill="1" applyBorder="1" applyAlignment="1" applyProtection="1">
      <alignment horizontal="right" vertical="center"/>
      <protection locked="0"/>
    </xf>
    <xf numFmtId="0" fontId="4" fillId="3" borderId="61" xfId="0" applyFont="1" applyFill="1" applyBorder="1" applyAlignment="1" applyProtection="1">
      <alignment horizontal="right" vertical="center"/>
      <protection locked="0"/>
    </xf>
    <xf numFmtId="2" fontId="4" fillId="3" borderId="5" xfId="0" applyNumberFormat="1" applyFont="1" applyFill="1" applyBorder="1" applyAlignment="1" applyProtection="1">
      <alignment horizontal="right" vertical="center"/>
      <protection locked="0"/>
    </xf>
    <xf numFmtId="0" fontId="4" fillId="3" borderId="5" xfId="1" applyNumberFormat="1" applyFont="1" applyFill="1" applyBorder="1" applyAlignment="1" applyProtection="1">
      <alignment horizontal="right" vertical="center"/>
      <protection locked="0"/>
    </xf>
    <xf numFmtId="0" fontId="4" fillId="3" borderId="2" xfId="1" applyNumberFormat="1" applyFont="1" applyFill="1" applyBorder="1" applyAlignment="1" applyProtection="1">
      <alignment horizontal="right" vertical="center"/>
      <protection locked="0"/>
    </xf>
    <xf numFmtId="166" fontId="4" fillId="3" borderId="2" xfId="0" applyNumberFormat="1" applyFont="1" applyFill="1" applyBorder="1" applyAlignment="1" applyProtection="1">
      <alignment horizontal="right" vertical="center"/>
      <protection locked="0"/>
    </xf>
    <xf numFmtId="9" fontId="4" fillId="3" borderId="61" xfId="1" applyFont="1" applyFill="1" applyBorder="1" applyAlignment="1" applyProtection="1">
      <alignment horizontal="right" vertical="center"/>
      <protection locked="0"/>
    </xf>
    <xf numFmtId="11" fontId="4" fillId="0" borderId="61" xfId="0" applyNumberFormat="1" applyFont="1" applyBorder="1" applyAlignment="1">
      <alignment horizontal="right" vertical="center"/>
    </xf>
    <xf numFmtId="0" fontId="4" fillId="0" borderId="61" xfId="0" applyFont="1" applyBorder="1" applyAlignment="1">
      <alignment horizontal="right" vertical="center"/>
    </xf>
    <xf numFmtId="0" fontId="4" fillId="0" borderId="62" xfId="0" applyFont="1" applyBorder="1">
      <alignment vertical="center"/>
    </xf>
    <xf numFmtId="11" fontId="4" fillId="3" borderId="2" xfId="1" applyNumberFormat="1" applyFont="1" applyFill="1" applyBorder="1" applyAlignment="1" applyProtection="1">
      <alignment horizontal="right" vertical="center"/>
      <protection locked="0"/>
    </xf>
    <xf numFmtId="9" fontId="4" fillId="3" borderId="49" xfId="1" applyFont="1" applyFill="1" applyBorder="1" applyAlignment="1" applyProtection="1">
      <alignment horizontal="right" vertical="center"/>
      <protection locked="0"/>
    </xf>
    <xf numFmtId="11" fontId="4" fillId="9" borderId="49" xfId="0" applyNumberFormat="1" applyFont="1" applyFill="1" applyBorder="1" applyAlignment="1" applyProtection="1">
      <alignment horizontal="center" vertical="center"/>
      <protection locked="0"/>
    </xf>
    <xf numFmtId="0" fontId="4" fillId="9" borderId="49" xfId="0" applyFont="1" applyFill="1" applyBorder="1" applyAlignment="1" applyProtection="1">
      <alignment horizontal="center" vertical="center"/>
      <protection locked="0"/>
    </xf>
    <xf numFmtId="9" fontId="4" fillId="9" borderId="2" xfId="1" applyFont="1" applyFill="1" applyBorder="1" applyAlignment="1" applyProtection="1">
      <alignment horizontal="center" vertical="center"/>
      <protection locked="0"/>
    </xf>
    <xf numFmtId="0" fontId="18" fillId="0" borderId="3" xfId="0" applyFont="1" applyBorder="1">
      <alignment vertical="center"/>
    </xf>
    <xf numFmtId="0" fontId="18" fillId="0" borderId="0" xfId="0" applyFont="1">
      <alignment vertical="center"/>
    </xf>
    <xf numFmtId="0" fontId="29" fillId="6" borderId="31" xfId="0" applyFont="1" applyFill="1" applyBorder="1">
      <alignment vertical="center"/>
    </xf>
    <xf numFmtId="0" fontId="29" fillId="6" borderId="32" xfId="0" applyFont="1" applyFill="1" applyBorder="1">
      <alignment vertical="center"/>
    </xf>
    <xf numFmtId="0" fontId="29" fillId="6" borderId="33" xfId="0" applyFont="1" applyFill="1" applyBorder="1">
      <alignment vertical="center"/>
    </xf>
    <xf numFmtId="0" fontId="1" fillId="2" borderId="34" xfId="0" applyFont="1" applyFill="1" applyBorder="1" applyAlignment="1">
      <alignment horizontal="left" vertical="center"/>
    </xf>
    <xf numFmtId="0" fontId="1" fillId="2" borderId="35" xfId="0" applyFont="1" applyFill="1" applyBorder="1" applyAlignment="1">
      <alignment horizontal="center" vertical="center"/>
    </xf>
    <xf numFmtId="0" fontId="1" fillId="2" borderId="36" xfId="0" applyFont="1" applyFill="1" applyBorder="1" applyAlignment="1">
      <alignment horizontal="center" vertical="center"/>
    </xf>
    <xf numFmtId="0" fontId="18" fillId="0" borderId="5" xfId="0" applyFont="1" applyBorder="1">
      <alignment vertical="center"/>
    </xf>
    <xf numFmtId="0" fontId="17" fillId="0" borderId="10" xfId="0" applyFont="1" applyBorder="1">
      <alignment vertical="center"/>
    </xf>
    <xf numFmtId="11" fontId="17" fillId="0" borderId="0" xfId="0" applyNumberFormat="1" applyFont="1">
      <alignment vertical="center"/>
    </xf>
    <xf numFmtId="0" fontId="4" fillId="0" borderId="6" xfId="0" applyFont="1" applyBorder="1" applyAlignment="1"/>
    <xf numFmtId="0" fontId="17" fillId="0" borderId="63" xfId="0" applyFont="1" applyBorder="1">
      <alignment vertical="center"/>
    </xf>
    <xf numFmtId="11" fontId="17" fillId="0" borderId="10" xfId="0" applyNumberFormat="1" applyFont="1" applyBorder="1">
      <alignment vertical="center"/>
    </xf>
    <xf numFmtId="0" fontId="17" fillId="0" borderId="49" xfId="0" applyFont="1" applyBorder="1">
      <alignment vertical="center"/>
    </xf>
    <xf numFmtId="0" fontId="17" fillId="0" borderId="6" xfId="0" applyFont="1" applyBorder="1">
      <alignment vertical="center"/>
    </xf>
    <xf numFmtId="11" fontId="4" fillId="0" borderId="0" xfId="0" applyNumberFormat="1" applyFont="1">
      <alignment vertical="center"/>
    </xf>
    <xf numFmtId="11" fontId="9" fillId="0" borderId="0" xfId="0" applyNumberFormat="1" applyFont="1">
      <alignment vertical="center"/>
    </xf>
    <xf numFmtId="165" fontId="4" fillId="3" borderId="49" xfId="1" applyNumberFormat="1" applyFont="1" applyFill="1" applyBorder="1" applyAlignment="1" applyProtection="1">
      <alignment horizontal="right" vertical="center"/>
      <protection locked="0"/>
    </xf>
    <xf numFmtId="0" fontId="34" fillId="0" borderId="0" xfId="0" applyFont="1" applyProtection="1">
      <alignment vertical="center"/>
      <protection locked="0"/>
    </xf>
    <xf numFmtId="0" fontId="4" fillId="0" borderId="0" xfId="0" applyFont="1" applyAlignment="1"/>
    <xf numFmtId="0" fontId="34" fillId="0" borderId="0" xfId="0" applyFont="1">
      <alignment vertical="center"/>
    </xf>
    <xf numFmtId="0" fontId="4" fillId="2" borderId="72" xfId="0" applyFont="1" applyFill="1" applyBorder="1" applyAlignment="1">
      <alignment horizontal="left" vertical="center"/>
    </xf>
    <xf numFmtId="0" fontId="11" fillId="0" borderId="6" xfId="0" applyFont="1" applyBorder="1" applyAlignment="1">
      <alignment vertical="center" wrapText="1"/>
    </xf>
    <xf numFmtId="0" fontId="4" fillId="3" borderId="20" xfId="0" applyFont="1" applyFill="1" applyBorder="1" applyAlignment="1" applyProtection="1">
      <alignment horizontal="right" vertical="center"/>
      <protection locked="0"/>
    </xf>
    <xf numFmtId="0" fontId="4" fillId="3" borderId="22" xfId="0" applyFont="1" applyFill="1" applyBorder="1" applyAlignment="1" applyProtection="1">
      <alignment horizontal="right" vertical="center"/>
      <protection locked="0"/>
    </xf>
    <xf numFmtId="0" fontId="4" fillId="3" borderId="23" xfId="0" applyFont="1" applyFill="1" applyBorder="1" applyAlignment="1" applyProtection="1">
      <alignment horizontal="right" vertical="center"/>
      <protection locked="0"/>
    </xf>
    <xf numFmtId="0" fontId="4" fillId="3" borderId="24" xfId="0" applyFont="1" applyFill="1" applyBorder="1" applyAlignment="1" applyProtection="1">
      <alignment horizontal="right" vertical="center"/>
      <protection locked="0"/>
    </xf>
    <xf numFmtId="0" fontId="4" fillId="3" borderId="25" xfId="0" applyFont="1" applyFill="1" applyBorder="1" applyAlignment="1" applyProtection="1">
      <alignment horizontal="right" vertical="center"/>
      <protection locked="0"/>
    </xf>
    <xf numFmtId="0" fontId="4" fillId="3" borderId="27" xfId="0" applyFont="1" applyFill="1" applyBorder="1" applyAlignment="1" applyProtection="1">
      <alignment horizontal="right" vertical="center"/>
      <protection locked="0"/>
    </xf>
    <xf numFmtId="0" fontId="58" fillId="4" borderId="0" xfId="0" applyFont="1" applyFill="1" applyAlignment="1"/>
    <xf numFmtId="0" fontId="1" fillId="0" borderId="0" xfId="0" applyFont="1">
      <alignment vertical="center"/>
    </xf>
    <xf numFmtId="0" fontId="59" fillId="0" borderId="0" xfId="0" applyFont="1" applyProtection="1">
      <alignment vertical="center"/>
      <protection locked="0"/>
    </xf>
    <xf numFmtId="0" fontId="59" fillId="0" borderId="0" xfId="0" applyFont="1">
      <alignment vertical="center"/>
    </xf>
    <xf numFmtId="0" fontId="1" fillId="0" borderId="5" xfId="0" applyFont="1" applyBorder="1">
      <alignment vertical="center"/>
    </xf>
    <xf numFmtId="0" fontId="22" fillId="0" borderId="4" xfId="0" applyFont="1" applyBorder="1">
      <alignment vertical="center"/>
    </xf>
    <xf numFmtId="0" fontId="7" fillId="7" borderId="2" xfId="0" applyFont="1" applyFill="1" applyBorder="1" applyProtection="1">
      <alignment vertical="center"/>
      <protection locked="0"/>
    </xf>
    <xf numFmtId="0" fontId="7" fillId="7" borderId="2" xfId="0" applyFont="1" applyFill="1" applyBorder="1" applyAlignment="1" applyProtection="1">
      <alignment horizontal="left" vertical="center"/>
      <protection locked="0"/>
    </xf>
    <xf numFmtId="0" fontId="7" fillId="7" borderId="6" xfId="0" applyFont="1" applyFill="1" applyBorder="1" applyProtection="1">
      <alignment vertical="center"/>
      <protection locked="0"/>
    </xf>
    <xf numFmtId="0" fontId="40" fillId="7" borderId="2" xfId="0" applyFont="1" applyFill="1" applyBorder="1" applyAlignment="1" applyProtection="1">
      <alignment horizontal="center" vertical="center"/>
      <protection locked="0"/>
    </xf>
    <xf numFmtId="0" fontId="7" fillId="0" borderId="4" xfId="0" applyFont="1" applyBorder="1" applyAlignment="1" applyProtection="1">
      <alignment horizontal="right" vertical="center"/>
      <protection locked="0"/>
    </xf>
    <xf numFmtId="169" fontId="4" fillId="0" borderId="0" xfId="2" applyNumberFormat="1" applyFont="1" applyAlignment="1" applyProtection="1">
      <alignment vertical="center"/>
      <protection locked="0"/>
    </xf>
    <xf numFmtId="0" fontId="4" fillId="0" borderId="0" xfId="2" applyNumberFormat="1" applyFont="1" applyAlignment="1">
      <alignment vertical="center"/>
    </xf>
    <xf numFmtId="0" fontId="4" fillId="0" borderId="0" xfId="2" applyNumberFormat="1" applyFont="1" applyAlignment="1" applyProtection="1">
      <alignment vertical="center"/>
      <protection locked="0"/>
    </xf>
    <xf numFmtId="167" fontId="4" fillId="3" borderId="5" xfId="0" applyNumberFormat="1" applyFont="1" applyFill="1" applyBorder="1" applyAlignment="1" applyProtection="1">
      <alignment horizontal="right" vertical="center"/>
      <protection locked="0"/>
    </xf>
    <xf numFmtId="0" fontId="1" fillId="2" borderId="51" xfId="0" applyFont="1" applyFill="1" applyBorder="1" applyAlignment="1" applyProtection="1">
      <alignment horizontal="left" vertical="center"/>
      <protection locked="0"/>
    </xf>
    <xf numFmtId="0" fontId="1" fillId="10" borderId="0" xfId="0" applyFont="1" applyFill="1" applyProtection="1">
      <alignment vertical="center"/>
      <protection locked="0"/>
    </xf>
    <xf numFmtId="0" fontId="1" fillId="0" borderId="6" xfId="0" applyFont="1" applyBorder="1" applyAlignment="1" applyProtection="1">
      <alignment horizontal="left" vertical="center"/>
      <protection locked="0"/>
    </xf>
    <xf numFmtId="0" fontId="1" fillId="2" borderId="35" xfId="0" applyFont="1" applyFill="1" applyBorder="1" applyAlignment="1" applyProtection="1">
      <alignment horizontal="center" vertical="center"/>
      <protection locked="0"/>
    </xf>
    <xf numFmtId="0" fontId="4" fillId="0" borderId="49" xfId="0" applyFont="1" applyBorder="1" applyProtection="1">
      <alignment vertical="center"/>
      <protection locked="0"/>
    </xf>
    <xf numFmtId="0" fontId="4" fillId="0" borderId="49" xfId="0" applyFont="1" applyBorder="1" applyAlignment="1" applyProtection="1">
      <alignment horizontal="center" vertical="center"/>
      <protection locked="0"/>
    </xf>
    <xf numFmtId="0" fontId="17" fillId="0" borderId="50" xfId="0" applyFont="1" applyBorder="1" applyProtection="1">
      <alignment vertical="center"/>
      <protection locked="0"/>
    </xf>
    <xf numFmtId="0" fontId="4" fillId="0" borderId="6" xfId="0" applyFont="1" applyBorder="1" applyProtection="1">
      <alignment vertical="center"/>
      <protection locked="0"/>
    </xf>
    <xf numFmtId="0" fontId="4" fillId="0" borderId="50" xfId="0" applyFont="1" applyBorder="1" applyProtection="1">
      <alignment vertical="center"/>
      <protection locked="0"/>
    </xf>
    <xf numFmtId="11" fontId="4" fillId="9" borderId="50" xfId="1" applyNumberFormat="1" applyFont="1" applyFill="1" applyBorder="1" applyAlignment="1" applyProtection="1">
      <alignment horizontal="center" vertical="center"/>
      <protection locked="0"/>
    </xf>
    <xf numFmtId="11" fontId="4" fillId="9" borderId="50" xfId="0" applyNumberFormat="1" applyFont="1" applyFill="1" applyBorder="1" applyAlignment="1" applyProtection="1">
      <alignment horizontal="center" vertical="center"/>
      <protection locked="0"/>
    </xf>
    <xf numFmtId="0" fontId="4" fillId="9" borderId="50" xfId="0" applyFont="1" applyFill="1" applyBorder="1" applyAlignment="1" applyProtection="1">
      <alignment horizontal="center" vertical="center"/>
      <protection locked="0"/>
    </xf>
    <xf numFmtId="0" fontId="4" fillId="0" borderId="37" xfId="0" applyFont="1" applyBorder="1" applyProtection="1">
      <alignment vertical="center"/>
      <protection locked="0"/>
    </xf>
    <xf numFmtId="0" fontId="4" fillId="0" borderId="29" xfId="0" applyFont="1" applyBorder="1" applyProtection="1">
      <alignment vertical="center"/>
      <protection locked="0"/>
    </xf>
    <xf numFmtId="0" fontId="28" fillId="6" borderId="73" xfId="0" applyFont="1" applyFill="1" applyBorder="1">
      <alignment vertical="center"/>
    </xf>
    <xf numFmtId="165" fontId="41" fillId="0" borderId="74" xfId="1" applyNumberFormat="1" applyFont="1" applyBorder="1" applyProtection="1">
      <alignment vertical="center"/>
    </xf>
    <xf numFmtId="0" fontId="41" fillId="0" borderId="74" xfId="0" applyFont="1" applyBorder="1">
      <alignment vertical="center"/>
    </xf>
    <xf numFmtId="0" fontId="44" fillId="0" borderId="74" xfId="0" applyFont="1" applyBorder="1">
      <alignment vertical="center"/>
    </xf>
    <xf numFmtId="0" fontId="4" fillId="0" borderId="75" xfId="0" applyFont="1" applyBorder="1">
      <alignment vertical="center"/>
    </xf>
    <xf numFmtId="165" fontId="41" fillId="0" borderId="75" xfId="1" applyNumberFormat="1" applyFont="1" applyBorder="1" applyProtection="1">
      <alignment vertical="center"/>
    </xf>
    <xf numFmtId="0" fontId="41" fillId="0" borderId="75" xfId="0" applyFont="1" applyBorder="1">
      <alignment vertical="center"/>
    </xf>
    <xf numFmtId="0" fontId="44" fillId="0" borderId="75" xfId="0" applyFont="1" applyBorder="1">
      <alignment vertical="center"/>
    </xf>
    <xf numFmtId="0" fontId="4" fillId="0" borderId="76" xfId="0" applyFont="1" applyBorder="1">
      <alignment vertical="center"/>
    </xf>
    <xf numFmtId="0" fontId="4" fillId="0" borderId="77" xfId="0" applyFont="1" applyBorder="1">
      <alignment vertical="center"/>
    </xf>
    <xf numFmtId="165" fontId="41" fillId="0" borderId="78" xfId="1" applyNumberFormat="1" applyFont="1" applyBorder="1" applyProtection="1">
      <alignment vertical="center"/>
    </xf>
    <xf numFmtId="0" fontId="43" fillId="6" borderId="0" xfId="0" applyFont="1" applyFill="1">
      <alignment vertical="center"/>
    </xf>
    <xf numFmtId="0" fontId="44" fillId="7" borderId="0" xfId="0" applyFont="1" applyFill="1" applyAlignment="1">
      <alignment horizontal="left" wrapText="1"/>
    </xf>
    <xf numFmtId="0" fontId="41" fillId="0" borderId="2" xfId="0" applyFont="1" applyBorder="1" applyAlignment="1" applyProtection="1">
      <alignment horizontal="right" vertical="center" wrapText="1"/>
      <protection locked="0"/>
    </xf>
    <xf numFmtId="0" fontId="41" fillId="0" borderId="5" xfId="0" applyFont="1" applyBorder="1" applyAlignment="1">
      <alignment horizontal="right" vertical="center"/>
    </xf>
    <xf numFmtId="0" fontId="41" fillId="0" borderId="2" xfId="0" applyFont="1" applyBorder="1" applyAlignment="1" applyProtection="1">
      <alignment horizontal="right" vertical="center"/>
      <protection locked="0"/>
    </xf>
    <xf numFmtId="0" fontId="41" fillId="0" borderId="68" xfId="0" applyFont="1" applyBorder="1" applyAlignment="1" applyProtection="1">
      <alignment horizontal="right" vertical="center"/>
      <protection locked="0"/>
    </xf>
    <xf numFmtId="0" fontId="41" fillId="0" borderId="68" xfId="0" applyFont="1" applyBorder="1" applyAlignment="1" applyProtection="1">
      <alignment horizontal="right" vertical="center" wrapText="1"/>
      <protection locked="0"/>
    </xf>
    <xf numFmtId="0" fontId="4" fillId="0" borderId="5" xfId="0" applyFont="1" applyBorder="1" applyAlignment="1">
      <alignment horizontal="right" vertical="center"/>
    </xf>
    <xf numFmtId="0" fontId="4" fillId="0" borderId="2" xfId="0" applyFont="1" applyBorder="1" applyAlignment="1" applyProtection="1">
      <alignment horizontal="right" vertical="center"/>
      <protection locked="0"/>
    </xf>
    <xf numFmtId="0" fontId="4" fillId="0" borderId="3" xfId="0" applyFont="1" applyBorder="1" applyProtection="1">
      <alignment vertical="center"/>
      <protection locked="0"/>
    </xf>
    <xf numFmtId="0" fontId="4" fillId="0" borderId="74" xfId="0" applyFont="1" applyBorder="1" applyAlignment="1" applyProtection="1">
      <alignment horizontal="right" vertical="center"/>
      <protection locked="0"/>
    </xf>
    <xf numFmtId="0" fontId="4" fillId="0" borderId="79" xfId="0" applyFont="1" applyBorder="1" applyProtection="1">
      <alignment vertical="center"/>
      <protection locked="0"/>
    </xf>
    <xf numFmtId="2" fontId="4" fillId="0" borderId="79" xfId="0" applyNumberFormat="1" applyFont="1" applyBorder="1" applyProtection="1">
      <alignment vertical="center"/>
      <protection locked="0"/>
    </xf>
    <xf numFmtId="2" fontId="4" fillId="0" borderId="79" xfId="0" applyNumberFormat="1" applyFont="1" applyBorder="1" applyAlignment="1" applyProtection="1">
      <alignment horizontal="right" vertical="center"/>
      <protection locked="0"/>
    </xf>
    <xf numFmtId="164" fontId="4" fillId="0" borderId="80" xfId="0" applyNumberFormat="1" applyFont="1" applyBorder="1" applyProtection="1">
      <alignment vertical="center"/>
      <protection locked="0"/>
    </xf>
    <xf numFmtId="0" fontId="54" fillId="12" borderId="40" xfId="0" applyFont="1" applyFill="1" applyBorder="1" applyAlignment="1" applyProtection="1">
      <alignment horizontal="center" vertical="center"/>
      <protection locked="0"/>
    </xf>
    <xf numFmtId="0" fontId="4" fillId="0" borderId="82" xfId="0" applyFont="1" applyBorder="1">
      <alignment vertical="center"/>
    </xf>
    <xf numFmtId="0" fontId="4" fillId="3" borderId="82" xfId="0" applyFont="1" applyFill="1" applyBorder="1" applyAlignment="1" applyProtection="1">
      <alignment horizontal="right" vertical="center"/>
      <protection locked="0"/>
    </xf>
    <xf numFmtId="0" fontId="4" fillId="0" borderId="81" xfId="0" applyFont="1" applyBorder="1">
      <alignment vertical="center"/>
    </xf>
    <xf numFmtId="0" fontId="4" fillId="3" borderId="81" xfId="0" applyFont="1" applyFill="1" applyBorder="1" applyAlignment="1" applyProtection="1">
      <alignment horizontal="right" vertical="center"/>
      <protection locked="0"/>
    </xf>
    <xf numFmtId="0" fontId="4" fillId="0" borderId="82" xfId="0" quotePrefix="1" applyFont="1" applyBorder="1">
      <alignment vertical="center"/>
    </xf>
    <xf numFmtId="0" fontId="34" fillId="0" borderId="3" xfId="0" applyFont="1" applyBorder="1">
      <alignment vertical="center"/>
    </xf>
    <xf numFmtId="0" fontId="41" fillId="0" borderId="3" xfId="0" applyFont="1" applyBorder="1">
      <alignment vertical="center"/>
    </xf>
    <xf numFmtId="0" fontId="41" fillId="0" borderId="0" xfId="0" applyFont="1">
      <alignment vertical="center"/>
    </xf>
    <xf numFmtId="0" fontId="4" fillId="0" borderId="0" xfId="0" quotePrefix="1" applyFont="1">
      <alignment vertical="center"/>
    </xf>
    <xf numFmtId="0" fontId="4" fillId="0" borderId="0" xfId="0" quotePrefix="1" applyFont="1" applyProtection="1">
      <alignment vertical="center"/>
      <protection locked="0"/>
    </xf>
    <xf numFmtId="0" fontId="4" fillId="0" borderId="0" xfId="0" quotePrefix="1" applyFont="1" applyAlignment="1"/>
    <xf numFmtId="11" fontId="41" fillId="11" borderId="2" xfId="0" applyNumberFormat="1" applyFont="1" applyFill="1" applyBorder="1" applyProtection="1">
      <alignment vertical="center"/>
      <protection locked="0"/>
    </xf>
    <xf numFmtId="9" fontId="4" fillId="0" borderId="5" xfId="1" applyFont="1" applyBorder="1" applyProtection="1">
      <alignment vertical="center"/>
      <protection locked="0"/>
    </xf>
    <xf numFmtId="9" fontId="4" fillId="0" borderId="2" xfId="1" applyFont="1" applyBorder="1" applyProtection="1">
      <alignment vertical="center"/>
      <protection locked="0"/>
    </xf>
    <xf numFmtId="0" fontId="4" fillId="0" borderId="83" xfId="0" applyFont="1" applyBorder="1">
      <alignment vertical="center"/>
    </xf>
    <xf numFmtId="11" fontId="4" fillId="3" borderId="83" xfId="0" applyNumberFormat="1" applyFont="1" applyFill="1" applyBorder="1" applyAlignment="1" applyProtection="1">
      <alignment horizontal="right" vertical="center"/>
      <protection locked="0"/>
    </xf>
    <xf numFmtId="0" fontId="4" fillId="0" borderId="3" xfId="0" quotePrefix="1" applyFont="1" applyBorder="1">
      <alignment vertical="center"/>
    </xf>
    <xf numFmtId="9" fontId="4" fillId="3" borderId="20" xfId="1" applyFont="1" applyFill="1" applyBorder="1" applyAlignment="1" applyProtection="1">
      <alignment vertical="center" wrapText="1"/>
      <protection locked="0"/>
    </xf>
    <xf numFmtId="9" fontId="4" fillId="3" borderId="21" xfId="1" applyFont="1" applyFill="1" applyBorder="1" applyAlignment="1" applyProtection="1">
      <alignment vertical="center" wrapText="1"/>
      <protection locked="0"/>
    </xf>
    <xf numFmtId="10" fontId="4" fillId="3" borderId="23" xfId="1" applyNumberFormat="1" applyFont="1" applyFill="1" applyBorder="1" applyAlignment="1" applyProtection="1">
      <alignment vertical="center" wrapText="1"/>
      <protection locked="0"/>
    </xf>
    <xf numFmtId="9" fontId="4" fillId="3" borderId="1" xfId="1" applyFont="1" applyFill="1" applyBorder="1" applyAlignment="1" applyProtection="1">
      <alignment vertical="center" wrapText="1"/>
      <protection locked="0"/>
    </xf>
    <xf numFmtId="9" fontId="4" fillId="3" borderId="24" xfId="1" applyFont="1" applyFill="1" applyBorder="1" applyAlignment="1" applyProtection="1">
      <alignment vertical="center" wrapText="1"/>
      <protection locked="0"/>
    </xf>
    <xf numFmtId="0" fontId="4" fillId="0" borderId="2" xfId="0" applyFont="1" applyBorder="1" applyAlignment="1">
      <alignment horizontal="right" vertical="center" wrapText="1"/>
    </xf>
    <xf numFmtId="0" fontId="4" fillId="3" borderId="6" xfId="0" applyFont="1" applyFill="1" applyBorder="1" applyProtection="1">
      <alignment vertical="center"/>
      <protection locked="0"/>
    </xf>
    <xf numFmtId="0" fontId="4" fillId="3" borderId="28" xfId="0" applyFont="1" applyFill="1" applyBorder="1" applyProtection="1">
      <alignment vertical="center"/>
      <protection locked="0"/>
    </xf>
    <xf numFmtId="0" fontId="4" fillId="3" borderId="84" xfId="0" applyFont="1" applyFill="1" applyBorder="1" applyProtection="1">
      <alignment vertical="center"/>
      <protection locked="0"/>
    </xf>
    <xf numFmtId="0" fontId="4" fillId="3" borderId="5" xfId="0" applyFont="1" applyFill="1" applyBorder="1" applyProtection="1">
      <alignment vertical="center"/>
      <protection locked="0"/>
    </xf>
    <xf numFmtId="0" fontId="11" fillId="0" borderId="85" xfId="0" applyFont="1" applyBorder="1" applyAlignment="1">
      <alignment vertical="center" wrapText="1"/>
    </xf>
    <xf numFmtId="0" fontId="11" fillId="0" borderId="86" xfId="0" applyFont="1" applyBorder="1" applyAlignment="1">
      <alignment vertical="center" wrapText="1"/>
    </xf>
    <xf numFmtId="0" fontId="4" fillId="3" borderId="87" xfId="0" applyFont="1" applyFill="1" applyBorder="1" applyProtection="1">
      <alignment vertical="center"/>
      <protection locked="0"/>
    </xf>
    <xf numFmtId="0" fontId="11" fillId="0" borderId="9" xfId="0" applyFont="1" applyBorder="1" applyAlignment="1">
      <alignment vertical="center" wrapText="1"/>
    </xf>
    <xf numFmtId="0" fontId="11" fillId="0" borderId="5" xfId="0" applyFont="1" applyBorder="1" applyAlignment="1">
      <alignment vertical="center" wrapText="1"/>
    </xf>
    <xf numFmtId="0" fontId="4" fillId="3" borderId="86" xfId="0" applyFont="1" applyFill="1" applyBorder="1" applyProtection="1">
      <alignment vertical="center"/>
      <protection locked="0"/>
    </xf>
    <xf numFmtId="0" fontId="4" fillId="3" borderId="88" xfId="0" applyFont="1" applyFill="1" applyBorder="1" applyProtection="1">
      <alignment vertical="center"/>
      <protection locked="0"/>
    </xf>
    <xf numFmtId="0" fontId="4" fillId="0" borderId="89" xfId="0" applyFont="1" applyBorder="1" applyAlignment="1">
      <alignment horizontal="right" vertical="center"/>
    </xf>
    <xf numFmtId="2" fontId="4" fillId="3" borderId="28" xfId="0" applyNumberFormat="1" applyFont="1" applyFill="1" applyBorder="1" applyAlignment="1" applyProtection="1">
      <protection locked="0"/>
    </xf>
    <xf numFmtId="10" fontId="4" fillId="3" borderId="28" xfId="0" applyNumberFormat="1" applyFont="1" applyFill="1" applyBorder="1" applyProtection="1">
      <alignment vertical="center"/>
      <protection locked="0"/>
    </xf>
    <xf numFmtId="9" fontId="4" fillId="3" borderId="28" xfId="0" applyNumberFormat="1" applyFont="1" applyFill="1" applyBorder="1" applyProtection="1">
      <alignment vertical="center"/>
      <protection locked="0"/>
    </xf>
    <xf numFmtId="9" fontId="4" fillId="3" borderId="28" xfId="0" applyNumberFormat="1" applyFont="1" applyFill="1" applyBorder="1" applyAlignment="1" applyProtection="1">
      <alignment horizontal="right" vertical="center"/>
      <protection locked="0"/>
    </xf>
    <xf numFmtId="2" fontId="4" fillId="3" borderId="28" xfId="0" applyNumberFormat="1" applyFont="1" applyFill="1" applyBorder="1" applyProtection="1">
      <alignment vertical="center"/>
      <protection locked="0"/>
    </xf>
    <xf numFmtId="0" fontId="4" fillId="3" borderId="28" xfId="0" applyFont="1" applyFill="1" applyBorder="1" applyAlignment="1" applyProtection="1">
      <alignment horizontal="right" vertical="center"/>
      <protection locked="0"/>
    </xf>
  </cellXfs>
  <cellStyles count="3">
    <cellStyle name="Comma" xfId="2" builtinId="3"/>
    <cellStyle name="Normal" xfId="0" builtinId="0"/>
    <cellStyle name="Percent" xfId="1" builtinId="5"/>
  </cellStyles>
  <dxfs count="0"/>
  <tableStyles count="0" defaultTableStyle="TableStyleMedium2" defaultPivotStyle="PivotStyleLight16"/>
  <colors>
    <mruColors>
      <color rgb="FF0099FF"/>
      <color rgb="FF0066FF"/>
      <color rgb="FF61BBFF"/>
      <color rgb="FFD1EBFF"/>
      <color rgb="FFD9D9D9"/>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193146</xdr:colOff>
      <xdr:row>0</xdr:row>
      <xdr:rowOff>76729</xdr:rowOff>
    </xdr:from>
    <xdr:to>
      <xdr:col>13</xdr:col>
      <xdr:colOff>296752</xdr:colOff>
      <xdr:row>10</xdr:row>
      <xdr:rowOff>220165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6008688" y="76729"/>
          <a:ext cx="5818717" cy="3366172"/>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38100</xdr:colOff>
          <xdr:row>11</xdr:row>
          <xdr:rowOff>0</xdr:rowOff>
        </xdr:from>
        <xdr:to>
          <xdr:col>13</xdr:col>
          <xdr:colOff>409575</xdr:colOff>
          <xdr:row>13</xdr:row>
          <xdr:rowOff>219075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1" i="0" u="none" strike="noStrike" baseline="0">
                  <a:solidFill>
                    <a:srgbClr val="000000"/>
                  </a:solidFill>
                  <a:latin typeface="Arial"/>
                  <a:cs typeface="Arial"/>
                </a:rPr>
                <a:t>Clear all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2676525</xdr:colOff>
          <xdr:row>3</xdr:row>
          <xdr:rowOff>9525</xdr:rowOff>
        </xdr:from>
        <xdr:to>
          <xdr:col>2</xdr:col>
          <xdr:colOff>3590925</xdr:colOff>
          <xdr:row>3</xdr:row>
          <xdr:rowOff>190500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1219200</xdr:colOff>
          <xdr:row>4</xdr:row>
          <xdr:rowOff>95250</xdr:rowOff>
        </xdr:from>
        <xdr:to>
          <xdr:col>9</xdr:col>
          <xdr:colOff>228600</xdr:colOff>
          <xdr:row>5</xdr:row>
          <xdr:rowOff>190500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400-000010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Step1. Technosphere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847725</xdr:colOff>
          <xdr:row>7</xdr:row>
          <xdr:rowOff>76200</xdr:rowOff>
        </xdr:from>
        <xdr:to>
          <xdr:col>12</xdr:col>
          <xdr:colOff>266700</xdr:colOff>
          <xdr:row>8</xdr:row>
          <xdr:rowOff>171450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400-000011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Step2. Environment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390525</xdr:colOff>
          <xdr:row>1</xdr:row>
          <xdr:rowOff>1095375</xdr:rowOff>
        </xdr:from>
        <xdr:to>
          <xdr:col>11</xdr:col>
          <xdr:colOff>371475</xdr:colOff>
          <xdr:row>3</xdr:row>
          <xdr:rowOff>19050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400-000013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Step3. Foodweb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190500</xdr:colOff>
          <xdr:row>0</xdr:row>
          <xdr:rowOff>85725</xdr:rowOff>
        </xdr:from>
        <xdr:to>
          <xdr:col>11</xdr:col>
          <xdr:colOff>171450</xdr:colOff>
          <xdr:row>1</xdr:row>
          <xdr:rowOff>152400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400-000014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Step4. Human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2676525</xdr:colOff>
          <xdr:row>5</xdr:row>
          <xdr:rowOff>9525</xdr:rowOff>
        </xdr:from>
        <xdr:to>
          <xdr:col>2</xdr:col>
          <xdr:colOff>3590925</xdr:colOff>
          <xdr:row>5</xdr:row>
          <xdr:rowOff>200025</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400-000021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1447800</xdr:colOff>
          <xdr:row>3</xdr:row>
          <xdr:rowOff>9525</xdr:rowOff>
        </xdr:from>
        <xdr:to>
          <xdr:col>2</xdr:col>
          <xdr:colOff>2638425</xdr:colOff>
          <xdr:row>3</xdr:row>
          <xdr:rowOff>190500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400-000022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Open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1447800</xdr:colOff>
          <xdr:row>5</xdr:row>
          <xdr:rowOff>9525</xdr:rowOff>
        </xdr:from>
        <xdr:to>
          <xdr:col>2</xdr:col>
          <xdr:colOff>2638425</xdr:colOff>
          <xdr:row>5</xdr:row>
          <xdr:rowOff>200025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400-000023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Open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1447800</xdr:colOff>
          <xdr:row>4</xdr:row>
          <xdr:rowOff>9525</xdr:rowOff>
        </xdr:from>
        <xdr:to>
          <xdr:col>2</xdr:col>
          <xdr:colOff>2638425</xdr:colOff>
          <xdr:row>4</xdr:row>
          <xdr:rowOff>190500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400-000025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Open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2676525</xdr:colOff>
          <xdr:row>4</xdr:row>
          <xdr:rowOff>9525</xdr:rowOff>
        </xdr:from>
        <xdr:to>
          <xdr:col>2</xdr:col>
          <xdr:colOff>3590925</xdr:colOff>
          <xdr:row>4</xdr:row>
          <xdr:rowOff>200025</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400-000027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13</xdr:row>
          <xdr:rowOff>266700</xdr:rowOff>
        </xdr:from>
        <xdr:to>
          <xdr:col>13</xdr:col>
          <xdr:colOff>409575</xdr:colOff>
          <xdr:row>17</xdr:row>
          <xdr:rowOff>28575</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400-000029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1" i="0" u="none" strike="noStrike" baseline="0">
                  <a:solidFill>
                    <a:srgbClr val="000000"/>
                  </a:solidFill>
                  <a:latin typeface="Arial"/>
                  <a:cs typeface="Arial"/>
                </a:rPr>
                <a:t>Batch mode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4</xdr:col>
          <xdr:colOff>0</xdr:colOff>
          <xdr:row>5</xdr:row>
          <xdr:rowOff>28575</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0500-0000014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Perform batch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6</xdr:row>
          <xdr:rowOff>0</xdr:rowOff>
        </xdr:from>
        <xdr:to>
          <xdr:col>2</xdr:col>
          <xdr:colOff>1666875</xdr:colOff>
          <xdr:row>8</xdr:row>
          <xdr:rowOff>0</xdr:rowOff>
        </xdr:to>
        <xdr:sp macro="" textlink="">
          <xdr:nvSpPr>
            <xdr:cNvPr id="81926" name="Button 6" hidden="1">
              <a:extLst>
                <a:ext uri="{63B3BB69-23CF-44E3-9099-C40C66FF867C}">
                  <a14:compatExt spid="_x0000_s81926"/>
                </a:ext>
                <a:ext uri="{FF2B5EF4-FFF2-40B4-BE49-F238E27FC236}">
                  <a16:creationId xmlns:a16="http://schemas.microsoft.com/office/drawing/2014/main" id="{00000000-0008-0000-0500-0000064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Select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9</xdr:row>
          <xdr:rowOff>38100</xdr:rowOff>
        </xdr:from>
        <xdr:to>
          <xdr:col>3</xdr:col>
          <xdr:colOff>866775</xdr:colOff>
          <xdr:row>10</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50" b="0" i="0" u="none" strike="noStrike" baseline="0">
                  <a:solidFill>
                    <a:srgbClr val="000000"/>
                  </a:solidFill>
                  <a:latin typeface="Arial"/>
                  <a:cs typeface="Arial"/>
                </a:rPr>
                <a:t>Generate normally-distributed annual production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5</xdr:row>
          <xdr:rowOff>142875</xdr:rowOff>
        </xdr:from>
        <xdr:to>
          <xdr:col>2</xdr:col>
          <xdr:colOff>952500</xdr:colOff>
          <xdr:row>7</xdr:row>
          <xdr:rowOff>114300</xdr:rowOff>
        </xdr:to>
        <xdr:sp macro="" textlink="">
          <xdr:nvSpPr>
            <xdr:cNvPr id="94211" name="Button 3" hidden="1">
              <a:extLst>
                <a:ext uri="{63B3BB69-23CF-44E3-9099-C40C66FF867C}">
                  <a14:compatExt spid="_x0000_s94211"/>
                </a:ext>
                <a:ext uri="{FF2B5EF4-FFF2-40B4-BE49-F238E27FC236}">
                  <a16:creationId xmlns:a16="http://schemas.microsoft.com/office/drawing/2014/main" id="{00000000-0008-0000-0A00-0000037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50" b="0" i="0" u="none" strike="noStrike" baseline="0">
                  <a:solidFill>
                    <a:srgbClr val="000000"/>
                  </a:solidFill>
                  <a:latin typeface="Arial"/>
                  <a:cs typeface="Arial"/>
                </a:rPr>
                <a:t>Calculate target human dose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Li Li" id="{5E6A315F-0F34-4E8E-B0F7-6B8AE80635C8}" userId="S::lili@unr.edu::05c123ac-78da-4cff-9aba-5623e5adbaa2" providerId="AD"/>
  <person displayName="Zhizhen Zhang" id="{1B100F4D-0954-3B43-A1A7-804C69DC854D}" userId="S::zhizhenzhang@nevada.unr.edu::f64008db-b319-4776-b78d-e5244f54179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5" dT="2023-10-15T18:39:40.38" personId="{1B100F4D-0954-3B43-A1A7-804C69DC854D}" id="{6C0726AD-FBBE-439D-A149-6498D8489E2B}">
    <text>PubChem search</text>
  </threadedComment>
  <threadedComment ref="P5" dT="2023-10-15T18:44:11.51" personId="{1B100F4D-0954-3B43-A1A7-804C69DC854D}" id="{C158A6E7-672B-4AF8-A179-14A2040EFE5D}">
    <text>PubChem search</text>
  </threadedComment>
  <threadedComment ref="S5" dT="2023-10-15T18:47:03.47" personId="{1B100F4D-0954-3B43-A1A7-804C69DC854D}" id="{C1C54EAE-3A79-4BB8-B31A-4F9C65DF2A29}">
    <text>PubChem search</text>
  </threadedComment>
  <threadedComment ref="V5" dT="2023-10-15T18:49:10.40" personId="{1B100F4D-0954-3B43-A1A7-804C69DC854D}" id="{6EB16455-94C3-4457-9C15-BAAC800F952F}">
    <text>PubChem search</text>
  </threadedComment>
  <threadedComment ref="W5" dT="2023-10-15T18:49:51.99" personId="{1B100F4D-0954-3B43-A1A7-804C69DC854D}" id="{13F65EB3-1167-4556-8ACB-0253602E955A}">
    <text>PubChem search</text>
  </threadedComment>
  <threadedComment ref="AF5" dT="2023-10-15T18:51:30.59" personId="{1B100F4D-0954-3B43-A1A7-804C69DC854D}" id="{B93313B7-3BA9-4FD3-83A4-B5EC212A3161}">
    <text>PubChem search</text>
  </threadedComment>
  <threadedComment ref="AI5" dT="2023-10-15T18:53:43.64" personId="{1B100F4D-0954-3B43-A1A7-804C69DC854D}" id="{162484FC-2E3A-4168-AB68-ABDC854B415C}">
    <text>PubChem search</text>
  </threadedComment>
  <threadedComment ref="I6" dT="2023-10-15T18:37:35.26" personId="{1B100F4D-0954-3B43-A1A7-804C69DC854D}" id="{77DDEBC4-A92D-4658-A27D-FD2717963308}">
    <text>Pubchem search</text>
  </threadedComment>
  <threadedComment ref="M6" dT="2023-10-15T18:41:47.11" personId="{1B100F4D-0954-3B43-A1A7-804C69DC854D}" id="{AA6CC6C1-ABA6-4187-8291-7B2971C8B681}">
    <text>caffeine cation pKa 0.7</text>
  </threadedComment>
  <threadedComment ref="T6" dT="2023-10-15T18:47:42.07" personId="{1B100F4D-0954-3B43-A1A7-804C69DC854D}" id="{58056D6B-99D4-4FE0-99E2-C813328CDA89}">
    <text>PubChem search</text>
  </threadedComment>
  <threadedComment ref="AG6" dT="2023-10-15T18:52:24.68" personId="{1B100F4D-0954-3B43-A1A7-804C69DC854D}" id="{03F5CF0F-9EC5-4833-9C41-B38CB3359011}">
    <text>PubChem search</text>
  </threadedComment>
  <threadedComment ref="AJ6" dT="2023-10-15T18:54:46.63" personId="{1B100F4D-0954-3B43-A1A7-804C69DC854D}" id="{1951FF4A-8903-4AF7-9618-71036070032D}">
    <text>PubChem search</text>
  </threadedComment>
  <threadedComment ref="GX10" dT="2025-09-04T23:32:42.56" personId="{5E6A315F-0F34-4E8E-B0F7-6B8AE80635C8}" id="{7134AE5B-F0D8-4DA9-B09A-D9D9D127A4F0}">
    <text>PhysPropNCCT data</text>
  </threadedComment>
  <threadedComment ref="X11" dT="2023-10-15T22:45:38.66" personId="{1B100F4D-0954-3B43-A1A7-804C69DC854D}" id="{904FA46B-F8FC-4AF3-AA5F-19551CD7549C}">
    <text>DOI: 10.1016/j.scitotenv.2021.149343
Table 3</text>
  </threadedComment>
  <threadedComment ref="Y11" dT="2023-10-15T22:40:16.13" personId="{1B100F4D-0954-3B43-A1A7-804C69DC854D}" id="{C495F2A6-211C-4E7D-96D9-5BBF2770B972}">
    <text>DOI: 10.1016/j.scitotenv.2021.149343
Table 3</text>
  </threadedComment>
  <threadedComment ref="Z11" dT="2023-10-15T22:41:42.43" personId="{1B100F4D-0954-3B43-A1A7-804C69DC854D}" id="{9F47D3B1-EF99-41B4-8B46-5C0AE79350A1}">
    <text>DOI: 10.1016/j.scitotenv.2021.149343
Table 3</text>
  </threadedComment>
  <threadedComment ref="AA11" dT="2023-10-15T22:41:47.60" personId="{1B100F4D-0954-3B43-A1A7-804C69DC854D}" id="{39C51BD3-B6D7-44F8-A3B7-B46611B9F501}">
    <text>DOI: 10.1016/j.scitotenv.2021.149343
Table 3</text>
  </threadedComment>
  <threadedComment ref="AB11" dT="2023-10-15T22:41:54.15" personId="{1B100F4D-0954-3B43-A1A7-804C69DC854D}" id="{158F5686-A257-4915-971B-70477728F510}">
    <text>DOI: 10.1016/j.scitotenv.2021.149343
Table 3</text>
  </threadedComment>
  <threadedComment ref="AC11" dT="2023-10-17T18:24:30.19" personId="{1B100F4D-0954-3B43-A1A7-804C69DC854D}" id="{B5802A28-F8F2-49C2-9C97-B6098DDD7AEE}">
    <text>DOI: 10.1016/j.scitotenv.2021.149343
Table 3</text>
  </threadedComment>
  <threadedComment ref="AD11" dT="2023-10-17T18:24:09.74" personId="{1B100F4D-0954-3B43-A1A7-804C69DC854D}" id="{74E5F363-C603-4E07-B7AB-5144504E203C}">
    <text>DOI: 10.1016/j.scitotenv.2021.149343
Table 3</text>
  </threadedComment>
  <threadedComment ref="Y12" dT="2023-11-18T17:07:46.67" personId="{1B100F4D-0954-3B43-A1A7-804C69DC854D}" id="{0A0C1B16-BD8A-49AB-A833-87EAA09C4D3A}">
    <text>DOI: 10.1016/j.chemosphere.2022.134733
Table 2, TB data</text>
  </threadedComment>
  <threadedComment ref="AA12" dT="2023-11-18T17:10:54.70" personId="{1B100F4D-0954-3B43-A1A7-804C69DC854D}" id="{23A92762-C443-4B7A-B38D-35EFA3A6A5F3}">
    <text>DOI: 10.1016/j.chemosphere.2022.134733
Table 2, TB data</text>
  </threadedComment>
  <threadedComment ref="AB12" dT="2023-11-18T17:11:07.93" personId="{1B100F4D-0954-3B43-A1A7-804C69DC854D}" id="{C1702CAA-BC79-46A2-82B0-E673BCEF99FE}">
    <text>DOI: 10.1016/j.chemosphere.2022.134733
Table 2, TB data</text>
  </threadedComment>
  <threadedComment ref="AC12" dT="2023-10-17T18:26:04.42" personId="{1B100F4D-0954-3B43-A1A7-804C69DC854D}" id="{82EBD3B5-9415-4651-8C46-9BD6BD28E94A}">
    <text>DOI: 10.1016/j.chemosphere.2022.134733
Table 2, TB data</text>
  </threadedComment>
  <threadedComment ref="AD12" dT="2023-10-17T18:25:54.82" personId="{1B100F4D-0954-3B43-A1A7-804C69DC854D}" id="{BB6F0537-EC69-4064-B70F-6A216C78712D}">
    <text>DOI: 10.1016/j.chemosphere.2022.134733
Table 2, TB data</text>
  </threadedComment>
  <threadedComment ref="AA13" dT="2023-10-16T17:47:36.94" personId="{1B100F4D-0954-3B43-A1A7-804C69DC854D}" id="{3E14F737-1472-41CC-B323-6897A9477C41}">
    <text>DOI: doi.org/10.1016/j.chemosphere.2014.03.098
Table S2</text>
    <extLst>
      <x:ext xmlns:xltc2="http://schemas.microsoft.com/office/spreadsheetml/2020/threadedcomments2" uri="{F7C98A9C-CBB3-438F-8F68-D28B6AF4A901}">
        <xltc2:checksum>686845384</xltc2:checksum>
        <xltc2:hyperlink startIndex="5" length="41" url="http://doi.org/10.1016/j.chemosphere.2014.03.098"/>
      </x:ext>
    </extLst>
  </threadedComment>
  <threadedComment ref="AB13" dT="2023-10-16T17:47:31.51" personId="{1B100F4D-0954-3B43-A1A7-804C69DC854D}" id="{45B22699-0A7E-4AC5-9C63-BD9D96FB9937}">
    <text>DOI: doi.org/10.1016/j.chemosphere.2014.03.098
Table S2</text>
    <extLst>
      <x:ext xmlns:xltc2="http://schemas.microsoft.com/office/spreadsheetml/2020/threadedcomments2" uri="{F7C98A9C-CBB3-438F-8F68-D28B6AF4A901}">
        <xltc2:checksum>686845384</xltc2:checksum>
        <xltc2:hyperlink startIndex="5" length="41" url="http://doi.org/10.1016/j.chemosphere.2014.03.098"/>
      </x:ext>
    </extLst>
  </threadedComment>
  <threadedComment ref="AC13" dT="2023-10-16T17:43:35.58" personId="{1B100F4D-0954-3B43-A1A7-804C69DC854D}" id="{99A43872-D556-4AEC-802F-8EA6FF19BB48}">
    <text>DOI: doi.org/10.1016/j.chemosphere.2014.03.098
Figure 1 estimate</text>
    <extLst>
      <x:ext xmlns:xltc2="http://schemas.microsoft.com/office/spreadsheetml/2020/threadedcomments2" uri="{F7C98A9C-CBB3-438F-8F68-D28B6AF4A901}">
        <xltc2:checksum>819515423</xltc2:checksum>
        <xltc2:hyperlink startIndex="5" length="41" url="http://doi.org/10.1016/j.chemosphere.2014.03.098"/>
      </x:ext>
    </extLst>
  </threadedComment>
  <threadedComment ref="AD13" dT="2023-10-16T17:43:35.58" personId="{1B100F4D-0954-3B43-A1A7-804C69DC854D}" id="{3B009484-2A00-4828-93A0-E80F207F9185}">
    <text>DOI: doi.org/10.1016/j.chemosphere.2014.03.098
Table S2, n close to 1</text>
    <extLst>
      <x:ext xmlns:xltc2="http://schemas.microsoft.com/office/spreadsheetml/2020/threadedcomments2" uri="{F7C98A9C-CBB3-438F-8F68-D28B6AF4A901}">
        <xltc2:checksum>3554628189</xltc2:checksum>
        <xltc2:hyperlink startIndex="5" length="41" url="http://doi.org/10.1016/j.chemosphere.2014.03.098"/>
      </x:ext>
    </extLst>
  </threadedComment>
  <threadedComment ref="AB15" dT="2023-11-18T18:17:02.38" personId="{1B100F4D-0954-3B43-A1A7-804C69DC854D}" id="{CC3A8982-6697-4970-9C83-AB957831DEE6}">
    <text>DOI: 10.1039/D2EM00047D
Table S2
C6 PFSA</text>
  </threadedComment>
  <threadedComment ref="AC15" dT="2023-11-18T18:17:02.38" personId="{1B100F4D-0954-3B43-A1A7-804C69DC854D}" id="{2A815DA2-4878-4E68-9DAC-6CE504677FB9}">
    <text>DOI: 10.1039/D2EM00047D
Table S2
C8 PFCA</text>
  </threadedComment>
  <threadedComment ref="AD15" dT="2023-11-18T18:17:02.38" personId="{1B100F4D-0954-3B43-A1A7-804C69DC854D}" id="{6909C4D3-EA4A-4939-87DD-E05C90784EE1}">
    <text>DOI: 10.1039/D2EM00047D
Table S2
C8 PFSA</text>
  </threadedComment>
</ThreadedComments>
</file>

<file path=xl/threadedComments/threadedComment2.xml><?xml version="1.0" encoding="utf-8"?>
<ThreadedComments xmlns="http://schemas.microsoft.com/office/spreadsheetml/2018/threadedcomments" xmlns:x="http://schemas.openxmlformats.org/spreadsheetml/2006/main">
  <threadedComment ref="C35" dT="2023-09-08T00:46:50.58" personId="{1B100F4D-0954-3B43-A1A7-804C69DC854D}" id="{A38C1BA3-9BE6-854B-AEDC-6CE9893297D2}">
    <text>Median residence time in Central Europe is 25 years, 25 percentile is 7 years
https://doi.org/10.1007/s00254-004-1013-4</text>
  </threadedComment>
  <threadedComment ref="C39" dT="2023-09-08T00:46:50.58" personId="{1B100F4D-0954-3B43-A1A7-804C69DC854D}" id="{3D47ED2F-8D8A-E345-A7B5-0360095C7C9C}">
    <text>Median residence time in Central Europe is 25 years, 25 percentile is 7 years
https://doi.org/10.1007/s00254-004-1013-4</text>
  </threadedComment>
  <threadedComment ref="D39" dT="2023-09-08T00:45:44.73" personId="{1B100F4D-0954-3B43-A1A7-804C69DC854D}" id="{AE11C359-6993-D443-AAAA-3F94C1F0F67F}">
    <text>USGS report: https://pubs.usgs.gov/wri/wri034058/pdf/wrir034058.pdf
Deep groundwater residence time starting from 180 years</text>
    <extLst>
      <x:ext xmlns:xltc2="http://schemas.microsoft.com/office/spreadsheetml/2020/threadedcomments2" uri="{F7C98A9C-CBB3-438F-8F68-D28B6AF4A901}">
        <xltc2:checksum>698105199</xltc2:checksum>
        <xltc2:hyperlink startIndex="13" length="54" url="https://pubs.usgs.gov/wri/wri034058/pdf/wrir034058.pdf"/>
      </x:ext>
    </extLs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6.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1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1.bin"/><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theme="7" tint="-0.249977111117893"/>
  </sheetPr>
  <dimension ref="A1:GX219"/>
  <sheetViews>
    <sheetView workbookViewId="0">
      <pane xSplit="3" ySplit="3" topLeftCell="FI33" activePane="bottomRight" state="frozen"/>
      <selection pane="topRight" activeCell="D1" sqref="D1"/>
      <selection pane="bottomLeft" activeCell="A4" sqref="A4"/>
      <selection pane="bottomRight" activeCell="FQ46" sqref="FQ46"/>
    </sheetView>
  </sheetViews>
  <sheetFormatPr defaultColWidth="9" defaultRowHeight="16.350000000000001" customHeight="1"/>
  <cols>
    <col min="1" max="1" width="66.86328125" style="77" customWidth="1"/>
    <col min="2" max="3" width="12" style="77" customWidth="1"/>
    <col min="4" max="16384" width="9" style="77"/>
  </cols>
  <sheetData>
    <row r="1" spans="1:206" s="63" customFormat="1" ht="50.1" customHeight="1">
      <c r="A1" s="63" t="s">
        <v>811</v>
      </c>
      <c r="B1" s="415"/>
      <c r="C1" s="345"/>
    </row>
    <row r="2" spans="1:206" s="49" customFormat="1" ht="16.350000000000001" hidden="1" customHeight="1">
      <c r="A2" s="270"/>
      <c r="B2" s="416"/>
      <c r="C2" s="417"/>
    </row>
    <row r="3" spans="1:206" s="158" customFormat="1" ht="17.100000000000001" customHeight="1">
      <c r="A3" s="151" t="s">
        <v>728</v>
      </c>
      <c r="B3" s="151" t="s">
        <v>856</v>
      </c>
      <c r="C3" s="151" t="s">
        <v>205</v>
      </c>
      <c r="D3" s="158" t="s">
        <v>904</v>
      </c>
      <c r="E3" s="158" t="s">
        <v>905</v>
      </c>
      <c r="F3" s="158" t="s">
        <v>906</v>
      </c>
      <c r="G3" s="158" t="s">
        <v>907</v>
      </c>
      <c r="H3" s="158" t="s">
        <v>908</v>
      </c>
      <c r="I3" s="158" t="s">
        <v>909</v>
      </c>
      <c r="J3" s="158" t="s">
        <v>910</v>
      </c>
      <c r="K3" s="158" t="s">
        <v>911</v>
      </c>
      <c r="L3" s="158" t="s">
        <v>912</v>
      </c>
      <c r="M3" s="158" t="s">
        <v>913</v>
      </c>
      <c r="N3" s="158" t="s">
        <v>914</v>
      </c>
      <c r="O3" s="158" t="s">
        <v>915</v>
      </c>
      <c r="P3" s="80" t="s">
        <v>916</v>
      </c>
      <c r="Q3" s="80" t="s">
        <v>917</v>
      </c>
      <c r="R3" s="80" t="s">
        <v>918</v>
      </c>
      <c r="S3" s="80" t="s">
        <v>919</v>
      </c>
      <c r="T3" s="80" t="s">
        <v>920</v>
      </c>
      <c r="U3" s="80" t="s">
        <v>921</v>
      </c>
      <c r="V3" s="80" t="s">
        <v>922</v>
      </c>
      <c r="W3" s="158" t="s">
        <v>923</v>
      </c>
      <c r="X3" s="158" t="s">
        <v>924</v>
      </c>
      <c r="Y3" s="158" t="s">
        <v>925</v>
      </c>
      <c r="Z3" s="158" t="s">
        <v>926</v>
      </c>
      <c r="AA3" s="158" t="s">
        <v>927</v>
      </c>
      <c r="AB3" s="158" t="s">
        <v>928</v>
      </c>
      <c r="AC3" s="158" t="s">
        <v>929</v>
      </c>
      <c r="AD3" s="158" t="s">
        <v>930</v>
      </c>
      <c r="AE3" s="158" t="s">
        <v>931</v>
      </c>
      <c r="AF3" s="158" t="s">
        <v>932</v>
      </c>
      <c r="AG3" s="158" t="s">
        <v>933</v>
      </c>
      <c r="AH3" s="158" t="s">
        <v>934</v>
      </c>
      <c r="AI3" s="158" t="s">
        <v>935</v>
      </c>
      <c r="AJ3" s="158" t="s">
        <v>936</v>
      </c>
      <c r="AK3" s="158" t="s">
        <v>968</v>
      </c>
      <c r="AL3" s="158" t="s">
        <v>969</v>
      </c>
      <c r="AM3" s="158" t="s">
        <v>970</v>
      </c>
      <c r="AN3" s="158" t="s">
        <v>971</v>
      </c>
      <c r="AO3" s="158" t="s">
        <v>972</v>
      </c>
      <c r="AP3" s="158" t="s">
        <v>973</v>
      </c>
      <c r="AQ3" s="158" t="s">
        <v>974</v>
      </c>
      <c r="AR3" s="158" t="s">
        <v>975</v>
      </c>
      <c r="AS3" s="158" t="s">
        <v>976</v>
      </c>
      <c r="AT3" s="158" t="s">
        <v>977</v>
      </c>
      <c r="AU3" s="158" t="s">
        <v>978</v>
      </c>
      <c r="AV3" s="158" t="s">
        <v>979</v>
      </c>
      <c r="AW3" s="158" t="s">
        <v>980</v>
      </c>
      <c r="AX3" s="158" t="s">
        <v>981</v>
      </c>
      <c r="AY3" s="158" t="s">
        <v>982</v>
      </c>
      <c r="AZ3" s="158" t="s">
        <v>983</v>
      </c>
      <c r="BA3" s="158" t="s">
        <v>984</v>
      </c>
      <c r="BB3" s="158" t="s">
        <v>985</v>
      </c>
      <c r="BC3" s="158" t="s">
        <v>986</v>
      </c>
      <c r="BD3" s="158" t="s">
        <v>987</v>
      </c>
      <c r="BE3" s="158" t="s">
        <v>988</v>
      </c>
      <c r="BF3" s="158" t="s">
        <v>989</v>
      </c>
      <c r="BG3" s="158" t="s">
        <v>990</v>
      </c>
      <c r="BH3" s="158" t="s">
        <v>991</v>
      </c>
      <c r="BI3" s="158" t="s">
        <v>992</v>
      </c>
      <c r="BJ3" s="158" t="s">
        <v>993</v>
      </c>
      <c r="BK3" s="158" t="s">
        <v>994</v>
      </c>
      <c r="BL3" s="158" t="s">
        <v>995</v>
      </c>
      <c r="BM3" s="158" t="s">
        <v>996</v>
      </c>
      <c r="BN3" s="158" t="s">
        <v>997</v>
      </c>
      <c r="BO3" s="158" t="s">
        <v>998</v>
      </c>
      <c r="BP3" s="158" t="s">
        <v>999</v>
      </c>
      <c r="BQ3" s="158" t="s">
        <v>1000</v>
      </c>
      <c r="BR3" s="158" t="s">
        <v>1001</v>
      </c>
      <c r="BS3" s="158" t="s">
        <v>1002</v>
      </c>
      <c r="BT3" s="158" t="s">
        <v>1003</v>
      </c>
      <c r="BU3" s="158" t="s">
        <v>1004</v>
      </c>
      <c r="BV3" s="158" t="s">
        <v>1005</v>
      </c>
      <c r="BW3" s="158" t="s">
        <v>1006</v>
      </c>
      <c r="BX3" s="158" t="s">
        <v>1007</v>
      </c>
      <c r="BY3" s="158" t="s">
        <v>1008</v>
      </c>
      <c r="BZ3" s="158" t="s">
        <v>1009</v>
      </c>
      <c r="CA3" s="158" t="s">
        <v>1010</v>
      </c>
      <c r="CB3" s="158" t="s">
        <v>1011</v>
      </c>
      <c r="CC3" s="158" t="s">
        <v>1012</v>
      </c>
      <c r="CD3" s="158" t="s">
        <v>1013</v>
      </c>
      <c r="CE3" s="158" t="s">
        <v>1014</v>
      </c>
      <c r="CF3" s="158" t="s">
        <v>1015</v>
      </c>
      <c r="CG3" s="158" t="s">
        <v>1016</v>
      </c>
      <c r="CH3" s="158" t="s">
        <v>1017</v>
      </c>
      <c r="CI3" s="158" t="s">
        <v>1018</v>
      </c>
      <c r="CJ3" s="158" t="s">
        <v>1019</v>
      </c>
      <c r="CK3" s="158" t="s">
        <v>1020</v>
      </c>
      <c r="CL3" s="158" t="s">
        <v>1021</v>
      </c>
      <c r="CM3" s="158" t="s">
        <v>1022</v>
      </c>
      <c r="CN3" s="158" t="s">
        <v>1023</v>
      </c>
      <c r="CO3" s="158" t="s">
        <v>1024</v>
      </c>
      <c r="CP3" s="158" t="s">
        <v>1025</v>
      </c>
      <c r="CQ3" s="158" t="s">
        <v>1026</v>
      </c>
      <c r="CR3" s="158" t="s">
        <v>1027</v>
      </c>
      <c r="CS3" s="158" t="s">
        <v>1028</v>
      </c>
      <c r="CT3" s="158" t="s">
        <v>1029</v>
      </c>
      <c r="CU3" s="158" t="s">
        <v>1030</v>
      </c>
      <c r="CV3" s="158" t="s">
        <v>1031</v>
      </c>
      <c r="CW3" s="158" t="s">
        <v>1032</v>
      </c>
      <c r="CX3" s="158" t="s">
        <v>1033</v>
      </c>
      <c r="CY3" s="158" t="s">
        <v>1034</v>
      </c>
      <c r="CZ3" s="158" t="s">
        <v>1035</v>
      </c>
      <c r="DA3" s="158" t="s">
        <v>1036</v>
      </c>
      <c r="DB3" s="158" t="s">
        <v>1037</v>
      </c>
      <c r="DC3" s="158" t="s">
        <v>1038</v>
      </c>
      <c r="DD3" s="158" t="s">
        <v>1039</v>
      </c>
      <c r="DE3" s="158" t="s">
        <v>1040</v>
      </c>
      <c r="DF3" s="158" t="s">
        <v>1041</v>
      </c>
      <c r="DG3" s="158" t="s">
        <v>1042</v>
      </c>
      <c r="DH3" s="158" t="s">
        <v>1043</v>
      </c>
      <c r="DI3" s="158" t="s">
        <v>1044</v>
      </c>
      <c r="DJ3" s="158" t="s">
        <v>1045</v>
      </c>
      <c r="DK3" s="158" t="s">
        <v>1046</v>
      </c>
      <c r="DL3" s="158" t="s">
        <v>1047</v>
      </c>
      <c r="DM3" s="158" t="s">
        <v>1048</v>
      </c>
      <c r="DN3" s="158" t="s">
        <v>1049</v>
      </c>
      <c r="DO3" s="158" t="s">
        <v>1050</v>
      </c>
      <c r="DP3" s="158" t="s">
        <v>1051</v>
      </c>
      <c r="DQ3" s="158" t="s">
        <v>1052</v>
      </c>
      <c r="DR3" s="158" t="s">
        <v>1053</v>
      </c>
      <c r="DS3" s="158" t="s">
        <v>1054</v>
      </c>
      <c r="DT3" s="158" t="s">
        <v>1055</v>
      </c>
      <c r="DU3" s="158" t="s">
        <v>1056</v>
      </c>
      <c r="DV3" s="158" t="s">
        <v>1057</v>
      </c>
      <c r="DW3" s="158" t="s">
        <v>1058</v>
      </c>
      <c r="DX3" s="158" t="s">
        <v>1059</v>
      </c>
      <c r="DY3" s="158" t="s">
        <v>1060</v>
      </c>
      <c r="DZ3" s="158" t="s">
        <v>1061</v>
      </c>
      <c r="EA3" s="158" t="s">
        <v>1062</v>
      </c>
      <c r="EB3" s="158" t="s">
        <v>1063</v>
      </c>
      <c r="EC3" s="158" t="s">
        <v>1064</v>
      </c>
      <c r="ED3" s="158" t="s">
        <v>1065</v>
      </c>
      <c r="EE3" s="158" t="s">
        <v>1066</v>
      </c>
      <c r="EF3" s="158" t="s">
        <v>1067</v>
      </c>
      <c r="EG3" s="158" t="s">
        <v>1068</v>
      </c>
      <c r="EH3" s="158" t="s">
        <v>1069</v>
      </c>
      <c r="EI3" s="158" t="s">
        <v>1070</v>
      </c>
      <c r="EJ3" s="158" t="s">
        <v>1071</v>
      </c>
      <c r="EK3" s="158" t="s">
        <v>1072</v>
      </c>
      <c r="EL3" s="158" t="s">
        <v>1073</v>
      </c>
      <c r="EM3" s="158" t="s">
        <v>1074</v>
      </c>
      <c r="EN3" s="158" t="s">
        <v>1075</v>
      </c>
      <c r="EO3" s="158" t="s">
        <v>1076</v>
      </c>
      <c r="EP3" s="158" t="s">
        <v>1077</v>
      </c>
      <c r="EQ3" s="158" t="s">
        <v>1078</v>
      </c>
      <c r="ER3" s="158" t="s">
        <v>1079</v>
      </c>
      <c r="ES3" s="158" t="s">
        <v>1080</v>
      </c>
      <c r="ET3" s="158" t="s">
        <v>1081</v>
      </c>
      <c r="EU3" s="158" t="s">
        <v>1082</v>
      </c>
      <c r="EV3" s="158" t="s">
        <v>1083</v>
      </c>
      <c r="EW3" s="158" t="s">
        <v>1084</v>
      </c>
      <c r="EX3" s="158" t="s">
        <v>1085</v>
      </c>
      <c r="EY3" s="158" t="s">
        <v>1086</v>
      </c>
      <c r="EZ3" s="158" t="s">
        <v>1087</v>
      </c>
      <c r="FA3" s="158" t="s">
        <v>1088</v>
      </c>
      <c r="FB3" s="158" t="s">
        <v>1089</v>
      </c>
      <c r="FC3" s="158" t="s">
        <v>1090</v>
      </c>
      <c r="FD3" s="158" t="s">
        <v>1091</v>
      </c>
      <c r="FE3" s="158" t="s">
        <v>1092</v>
      </c>
      <c r="FF3" s="158" t="s">
        <v>937</v>
      </c>
      <c r="FG3" s="158" t="s">
        <v>938</v>
      </c>
      <c r="FH3" s="158" t="s">
        <v>939</v>
      </c>
      <c r="FI3" s="158" t="s">
        <v>940</v>
      </c>
      <c r="FJ3" s="158" t="s">
        <v>941</v>
      </c>
      <c r="FK3" s="158" t="s">
        <v>942</v>
      </c>
      <c r="FL3" s="158" t="s">
        <v>943</v>
      </c>
      <c r="FM3" s="158" t="s">
        <v>944</v>
      </c>
      <c r="FN3" s="158" t="s">
        <v>945</v>
      </c>
      <c r="FO3" s="158" t="s">
        <v>946</v>
      </c>
      <c r="FP3" s="158" t="s">
        <v>947</v>
      </c>
      <c r="FQ3" s="158" t="s">
        <v>948</v>
      </c>
      <c r="FR3" s="158" t="s">
        <v>1093</v>
      </c>
      <c r="FS3" s="158" t="s">
        <v>1094</v>
      </c>
      <c r="FT3" s="158" t="s">
        <v>1095</v>
      </c>
      <c r="FU3" s="158" t="s">
        <v>1096</v>
      </c>
      <c r="FV3" s="158" t="s">
        <v>1097</v>
      </c>
      <c r="FW3" s="158" t="s">
        <v>1098</v>
      </c>
      <c r="FX3" s="158" t="s">
        <v>1099</v>
      </c>
      <c r="FY3" s="158" t="s">
        <v>1100</v>
      </c>
      <c r="FZ3" s="158" t="s">
        <v>1101</v>
      </c>
      <c r="GA3" s="158" t="s">
        <v>1102</v>
      </c>
      <c r="GB3" s="158" t="s">
        <v>1103</v>
      </c>
      <c r="GC3" s="158" t="s">
        <v>1104</v>
      </c>
      <c r="GD3" s="158" t="s">
        <v>1105</v>
      </c>
      <c r="GE3" s="158" t="s">
        <v>1106</v>
      </c>
      <c r="GF3" s="158" t="s">
        <v>1107</v>
      </c>
      <c r="GG3" s="158" t="s">
        <v>1108</v>
      </c>
      <c r="GH3" s="158" t="s">
        <v>1109</v>
      </c>
      <c r="GI3" s="158" t="s">
        <v>1110</v>
      </c>
      <c r="GJ3" s="158" t="s">
        <v>1111</v>
      </c>
      <c r="GK3" s="158" t="s">
        <v>1112</v>
      </c>
      <c r="GL3" s="158" t="s">
        <v>1113</v>
      </c>
      <c r="GM3" s="158" t="s">
        <v>1114</v>
      </c>
      <c r="GN3" s="158" t="s">
        <v>949</v>
      </c>
      <c r="GO3" s="158" t="s">
        <v>950</v>
      </c>
      <c r="GP3" s="158" t="s">
        <v>951</v>
      </c>
      <c r="GQ3" s="158" t="s">
        <v>952</v>
      </c>
      <c r="GR3" s="158" t="s">
        <v>953</v>
      </c>
      <c r="GS3" s="158" t="s">
        <v>954</v>
      </c>
      <c r="GT3" s="158" t="s">
        <v>955</v>
      </c>
      <c r="GU3" s="158" t="s">
        <v>1115</v>
      </c>
      <c r="GV3" s="158" t="s">
        <v>1116</v>
      </c>
      <c r="GW3" s="158" t="s">
        <v>1117</v>
      </c>
      <c r="GX3" s="158" t="s">
        <v>1118</v>
      </c>
    </row>
    <row r="4" spans="1:206" s="80" customFormat="1" ht="17.100000000000001" customHeight="1">
      <c r="A4" s="77" t="s">
        <v>511</v>
      </c>
      <c r="B4" s="77" t="s">
        <v>3</v>
      </c>
      <c r="C4" s="77" t="s">
        <v>481</v>
      </c>
      <c r="D4" s="80">
        <v>190.03</v>
      </c>
      <c r="E4" s="80">
        <v>162.11000000000001</v>
      </c>
      <c r="F4" s="80">
        <v>231.26</v>
      </c>
      <c r="G4" s="80">
        <v>133.15</v>
      </c>
      <c r="H4" s="80">
        <v>163.15</v>
      </c>
      <c r="I4" s="80">
        <v>215.69</v>
      </c>
      <c r="J4" s="80">
        <v>197.24</v>
      </c>
      <c r="K4" s="80">
        <v>187.63</v>
      </c>
      <c r="L4" s="80">
        <v>119.13</v>
      </c>
      <c r="M4" s="80">
        <v>194.19</v>
      </c>
      <c r="N4" s="80">
        <v>440.46</v>
      </c>
      <c r="O4" s="80">
        <v>236.28</v>
      </c>
      <c r="P4" s="80">
        <v>145.55000000000001</v>
      </c>
      <c r="Q4" s="80">
        <v>159.58000000000001</v>
      </c>
      <c r="R4" s="80">
        <v>233.1</v>
      </c>
      <c r="S4" s="80">
        <v>297.73</v>
      </c>
      <c r="T4" s="80">
        <v>256.10000000000002</v>
      </c>
      <c r="U4" s="80">
        <v>329.41</v>
      </c>
      <c r="V4" s="80">
        <v>263.38</v>
      </c>
      <c r="W4" s="80">
        <v>286.72000000000003</v>
      </c>
      <c r="X4" s="80">
        <v>214.04</v>
      </c>
      <c r="Y4" s="80">
        <v>300.10000000000002</v>
      </c>
      <c r="Z4" s="80">
        <v>364.06</v>
      </c>
      <c r="AA4" s="80">
        <v>314.06</v>
      </c>
      <c r="AB4" s="80">
        <v>400.11</v>
      </c>
      <c r="AC4" s="80">
        <v>414.07</v>
      </c>
      <c r="AD4" s="80">
        <v>500.13</v>
      </c>
      <c r="AE4" s="80">
        <v>397.64</v>
      </c>
      <c r="AF4" s="80">
        <v>253.28</v>
      </c>
      <c r="AG4" s="80">
        <v>341.43</v>
      </c>
      <c r="AH4" s="80">
        <v>211.27</v>
      </c>
      <c r="AI4" s="80">
        <v>263.38</v>
      </c>
      <c r="AJ4" s="80">
        <v>277.41000000000003</v>
      </c>
      <c r="AK4" s="80">
        <v>228.291</v>
      </c>
      <c r="AL4" s="80">
        <v>289.54000000000002</v>
      </c>
      <c r="AM4" s="80">
        <v>215.69</v>
      </c>
      <c r="AN4" s="80">
        <v>317.32</v>
      </c>
      <c r="AO4" s="80">
        <v>201.22499999999999</v>
      </c>
      <c r="AP4" s="80">
        <v>221.256</v>
      </c>
      <c r="AQ4" s="80">
        <v>505.20600000000002</v>
      </c>
      <c r="AR4" s="80">
        <v>304.33999999999997</v>
      </c>
      <c r="AS4" s="80">
        <v>221.03</v>
      </c>
      <c r="AT4" s="80">
        <v>220.97</v>
      </c>
      <c r="AU4" s="80">
        <v>350.57</v>
      </c>
      <c r="AV4" s="80">
        <v>229.25</v>
      </c>
      <c r="AW4" s="80">
        <v>102.16</v>
      </c>
      <c r="AX4" s="80">
        <v>278.32</v>
      </c>
      <c r="AY4" s="80">
        <v>284.77</v>
      </c>
      <c r="AZ4" s="80">
        <v>290.81</v>
      </c>
      <c r="BA4" s="80">
        <v>290.81</v>
      </c>
      <c r="BB4" s="80">
        <v>290.81</v>
      </c>
      <c r="BC4" s="80">
        <v>330.35</v>
      </c>
      <c r="BD4" s="80">
        <v>302.32</v>
      </c>
      <c r="BE4" s="80">
        <v>263.2</v>
      </c>
      <c r="BF4" s="80">
        <v>284.08999999999997</v>
      </c>
      <c r="BG4" s="80">
        <v>291.26</v>
      </c>
      <c r="BH4" s="80">
        <v>295.32</v>
      </c>
      <c r="BI4" s="80">
        <v>266.32</v>
      </c>
      <c r="BJ4" s="80">
        <v>170.21100000000001</v>
      </c>
      <c r="BK4" s="80">
        <v>255.48</v>
      </c>
      <c r="BL4" s="80">
        <v>257.43</v>
      </c>
      <c r="BM4" s="80">
        <v>191.274</v>
      </c>
      <c r="BN4" s="80">
        <v>274.39</v>
      </c>
      <c r="BO4" s="80">
        <v>323.3</v>
      </c>
      <c r="BP4" s="80">
        <v>288.42</v>
      </c>
      <c r="BQ4" s="80">
        <v>391.29</v>
      </c>
      <c r="BR4" s="80">
        <v>283.8</v>
      </c>
      <c r="BS4" s="80">
        <v>183.16</v>
      </c>
      <c r="BT4" s="80">
        <v>269.77</v>
      </c>
      <c r="BU4" s="80">
        <v>237.19200000000001</v>
      </c>
      <c r="BV4" s="80">
        <v>380.55</v>
      </c>
      <c r="BW4" s="80">
        <v>357.77</v>
      </c>
      <c r="BX4" s="80">
        <v>416.3</v>
      </c>
      <c r="BY4" s="80">
        <v>384.46</v>
      </c>
      <c r="BZ4" s="80">
        <v>380.78</v>
      </c>
      <c r="CA4" s="80">
        <v>317.31</v>
      </c>
      <c r="CB4" s="80">
        <v>305.33</v>
      </c>
      <c r="CC4" s="80">
        <v>322.31</v>
      </c>
      <c r="CD4" s="80">
        <v>109.128</v>
      </c>
      <c r="CE4" s="80">
        <v>335.98</v>
      </c>
      <c r="CF4" s="80">
        <v>322.52</v>
      </c>
      <c r="CG4" s="80">
        <v>260.36</v>
      </c>
      <c r="CH4" s="80">
        <v>466.46</v>
      </c>
      <c r="CI4" s="80">
        <v>277.23</v>
      </c>
      <c r="CJ4" s="80">
        <v>365.95</v>
      </c>
      <c r="CK4" s="80">
        <v>410.41</v>
      </c>
      <c r="CL4" s="80">
        <v>321.52999999999997</v>
      </c>
      <c r="CM4" s="80">
        <v>434.29</v>
      </c>
      <c r="CN4" s="80">
        <v>315.14</v>
      </c>
      <c r="CO4" s="80">
        <v>342.13</v>
      </c>
      <c r="CP4" s="80">
        <v>410.53</v>
      </c>
      <c r="CQ4" s="80">
        <v>345.23</v>
      </c>
      <c r="CR4" s="80">
        <v>318.52999999999997</v>
      </c>
      <c r="CS4" s="80">
        <v>246.28</v>
      </c>
      <c r="CT4" s="80">
        <v>314.12</v>
      </c>
      <c r="CU4" s="80">
        <v>416.01</v>
      </c>
      <c r="CV4" s="80">
        <v>291.35000000000002</v>
      </c>
      <c r="CW4" s="80">
        <v>470.48</v>
      </c>
      <c r="CX4" s="80">
        <v>382.48</v>
      </c>
      <c r="CY4" s="80">
        <v>419.38</v>
      </c>
      <c r="CZ4" s="80">
        <v>333.59</v>
      </c>
      <c r="DA4" s="80">
        <v>246.42</v>
      </c>
      <c r="DB4" s="80">
        <v>285.68</v>
      </c>
      <c r="DC4" s="80">
        <v>202.256</v>
      </c>
      <c r="DD4" s="80">
        <v>128.17400000000001</v>
      </c>
      <c r="DE4" s="80">
        <v>123.111</v>
      </c>
      <c r="DF4" s="80">
        <v>166.22300000000001</v>
      </c>
      <c r="DG4" s="80">
        <v>178.23400000000001</v>
      </c>
      <c r="DH4" s="80">
        <v>153.137</v>
      </c>
      <c r="DI4" s="80">
        <v>312.36500000000001</v>
      </c>
      <c r="DJ4" s="80">
        <v>390.56400000000002</v>
      </c>
      <c r="DK4" s="80">
        <v>222.24</v>
      </c>
      <c r="DL4" s="80">
        <v>278.34800000000001</v>
      </c>
      <c r="DM4" s="80">
        <v>390.56400000000002</v>
      </c>
      <c r="DN4" s="80">
        <v>206.32900000000001</v>
      </c>
      <c r="DO4" s="80">
        <v>194.18600000000001</v>
      </c>
      <c r="DP4" s="80">
        <v>278.34800000000001</v>
      </c>
      <c r="DQ4" s="80">
        <v>330.42399999999998</v>
      </c>
      <c r="DR4" s="80">
        <v>194.23</v>
      </c>
      <c r="DS4" s="80">
        <v>362.76</v>
      </c>
      <c r="DT4" s="80">
        <v>180.203</v>
      </c>
      <c r="DU4" s="80">
        <v>166.17599999999999</v>
      </c>
      <c r="DV4" s="80">
        <v>152.149</v>
      </c>
      <c r="DW4" s="80">
        <v>228.24700000000001</v>
      </c>
      <c r="DX4" s="80">
        <v>181.44</v>
      </c>
      <c r="DY4" s="80">
        <v>147</v>
      </c>
      <c r="DZ4" s="80">
        <v>181.44</v>
      </c>
      <c r="EA4" s="80">
        <v>147</v>
      </c>
      <c r="EB4" s="80">
        <v>390.27700969600102</v>
      </c>
      <c r="EC4" s="80">
        <v>278.151809184</v>
      </c>
      <c r="ED4" s="80">
        <v>320.16237386799997</v>
      </c>
      <c r="EE4" s="80">
        <v>322.17802393199997</v>
      </c>
      <c r="EF4" s="80">
        <v>350.17293855200001</v>
      </c>
      <c r="EG4" s="80">
        <v>276.13615912</v>
      </c>
      <c r="EH4" s="80">
        <v>432.32395988800101</v>
      </c>
      <c r="EI4" s="80">
        <v>306.183109312</v>
      </c>
      <c r="EJ4" s="80">
        <v>266.07903816800001</v>
      </c>
      <c r="EK4" s="80">
        <v>268.09468823200001</v>
      </c>
      <c r="EL4" s="80">
        <v>296.08960285199998</v>
      </c>
      <c r="EM4" s="80">
        <v>330.183109312</v>
      </c>
      <c r="EN4" s="80">
        <v>334.17802393199997</v>
      </c>
      <c r="EO4" s="80">
        <v>336.19367399599997</v>
      </c>
      <c r="EP4" s="80">
        <v>364.188588616</v>
      </c>
      <c r="EQ4" s="80">
        <v>278.151809184</v>
      </c>
      <c r="ER4" s="80">
        <v>222.08920892800001</v>
      </c>
      <c r="ES4" s="80">
        <v>266.11542367599998</v>
      </c>
      <c r="ET4" s="80">
        <v>266.11542367599998</v>
      </c>
      <c r="EU4" s="80">
        <v>266.11542367599998</v>
      </c>
      <c r="EV4" s="80">
        <v>242.034586512</v>
      </c>
      <c r="EW4" s="80">
        <v>278.151809184</v>
      </c>
      <c r="EX4" s="80">
        <v>222.08920892800001</v>
      </c>
      <c r="EY4" s="80">
        <v>266.11542367599998</v>
      </c>
      <c r="EZ4" s="80">
        <v>266.11542367599998</v>
      </c>
      <c r="FA4" s="80">
        <v>290.151809184</v>
      </c>
      <c r="FB4" s="80">
        <v>222.08920892800001</v>
      </c>
      <c r="FC4" s="80">
        <v>194.05790880000001</v>
      </c>
      <c r="FD4" s="80">
        <v>208.07355886400001</v>
      </c>
      <c r="FE4" s="80">
        <v>180.04225873600001</v>
      </c>
      <c r="FF4" s="80">
        <v>257.5</v>
      </c>
      <c r="FG4" s="80">
        <v>292</v>
      </c>
      <c r="FH4" s="80">
        <v>326.39999999999998</v>
      </c>
      <c r="FI4" s="80">
        <v>360.9</v>
      </c>
      <c r="FJ4" s="80">
        <v>328</v>
      </c>
      <c r="FK4" s="80">
        <v>406.9</v>
      </c>
      <c r="FL4" s="80">
        <v>485.8</v>
      </c>
      <c r="FM4" s="80">
        <v>564.70000000000005</v>
      </c>
      <c r="FN4" s="80">
        <v>564.70000000000005</v>
      </c>
      <c r="FO4" s="80">
        <v>643.6</v>
      </c>
      <c r="FP4" s="80">
        <v>722.5</v>
      </c>
      <c r="FQ4" s="80">
        <v>959.2</v>
      </c>
      <c r="FR4" s="80">
        <v>283.88</v>
      </c>
      <c r="FS4" s="80">
        <v>311.94</v>
      </c>
      <c r="FT4" s="80">
        <v>339.99</v>
      </c>
      <c r="FU4" s="80">
        <v>368.05</v>
      </c>
      <c r="FV4" s="80">
        <v>396.1</v>
      </c>
      <c r="FW4" s="80">
        <v>424.15</v>
      </c>
      <c r="FX4" s="80">
        <v>368.05</v>
      </c>
      <c r="FY4" s="80">
        <v>396.1</v>
      </c>
      <c r="FZ4" s="80">
        <v>305.98</v>
      </c>
      <c r="GA4" s="80">
        <v>362.08</v>
      </c>
      <c r="GB4" s="80">
        <v>334.03</v>
      </c>
      <c r="GC4" s="80">
        <v>514.79999999999995</v>
      </c>
      <c r="GD4" s="80">
        <v>448.09</v>
      </c>
      <c r="GE4" s="80">
        <v>364.45600000000002</v>
      </c>
      <c r="GF4" s="80">
        <v>156.61000000000001</v>
      </c>
      <c r="GG4" s="80">
        <v>150.17400000000001</v>
      </c>
      <c r="GH4" s="80">
        <v>199.988</v>
      </c>
      <c r="GI4" s="80">
        <v>897.76</v>
      </c>
      <c r="GJ4" s="80">
        <v>150.221</v>
      </c>
      <c r="GK4" s="80">
        <v>170.21100000000001</v>
      </c>
      <c r="GL4" s="80">
        <v>315.58</v>
      </c>
      <c r="GM4" s="80">
        <v>289.54000000000002</v>
      </c>
      <c r="GN4" s="80">
        <v>380.91</v>
      </c>
      <c r="GO4" s="80">
        <v>364.92</v>
      </c>
      <c r="GP4" s="80">
        <v>370.49</v>
      </c>
      <c r="GQ4" s="80">
        <v>373.32</v>
      </c>
      <c r="GR4" s="80">
        <v>287.16000000000003</v>
      </c>
      <c r="GS4" s="80">
        <v>377.01</v>
      </c>
      <c r="GT4" s="80">
        <v>439.51</v>
      </c>
      <c r="GU4" s="80">
        <v>162.11569800000001</v>
      </c>
      <c r="GV4" s="80">
        <v>176.21899999999999</v>
      </c>
      <c r="GW4" s="80">
        <v>192.21799999999999</v>
      </c>
      <c r="GX4" s="80">
        <v>149.23699999999999</v>
      </c>
    </row>
    <row r="5" spans="1:206" s="80" customFormat="1" ht="17.100000000000001" customHeight="1">
      <c r="A5" s="77" t="s">
        <v>466</v>
      </c>
      <c r="B5" s="77" t="s">
        <v>468</v>
      </c>
      <c r="C5" s="418" t="s">
        <v>429</v>
      </c>
      <c r="D5" s="80">
        <v>8.2200000000000006</v>
      </c>
      <c r="E5" s="80">
        <v>8.01</v>
      </c>
      <c r="G5" s="80">
        <v>8.8000000000000007</v>
      </c>
      <c r="H5" s="80">
        <v>8.1199999999999992</v>
      </c>
      <c r="J5" s="80">
        <v>4.82</v>
      </c>
      <c r="K5" s="80">
        <v>6.78</v>
      </c>
      <c r="L5" s="80">
        <v>8.3699999999999992</v>
      </c>
      <c r="O5" s="80">
        <v>5.07</v>
      </c>
      <c r="P5" s="80">
        <v>13.9</v>
      </c>
      <c r="R5" s="80">
        <v>1.48</v>
      </c>
      <c r="S5" s="80">
        <v>7.9</v>
      </c>
      <c r="U5" s="80">
        <v>4.51</v>
      </c>
      <c r="V5" s="80">
        <v>9.4499999999999993</v>
      </c>
      <c r="W5" s="80">
        <v>1.55</v>
      </c>
      <c r="X5" s="80">
        <v>-3</v>
      </c>
      <c r="Y5" s="80">
        <v>-3</v>
      </c>
      <c r="Z5" s="80">
        <v>-3</v>
      </c>
      <c r="AA5" s="80">
        <v>-3</v>
      </c>
      <c r="AB5" s="80">
        <v>-3</v>
      </c>
      <c r="AC5" s="80">
        <v>-3</v>
      </c>
      <c r="AD5" s="80">
        <v>-3</v>
      </c>
      <c r="AF5" s="80">
        <v>1.6</v>
      </c>
      <c r="AH5" s="80">
        <v>8.49</v>
      </c>
      <c r="AI5" s="80">
        <v>9.23</v>
      </c>
      <c r="AK5" s="80">
        <v>10.29</v>
      </c>
      <c r="AL5" s="80">
        <v>7.8</v>
      </c>
      <c r="AM5" s="80" t="s">
        <v>1119</v>
      </c>
      <c r="AN5" s="80" t="s">
        <v>1119</v>
      </c>
      <c r="AO5" s="80">
        <v>12.02</v>
      </c>
      <c r="AP5" s="80">
        <v>12.28</v>
      </c>
      <c r="AQ5" s="80" t="s">
        <v>1119</v>
      </c>
      <c r="AR5" s="80" t="s">
        <v>1119</v>
      </c>
      <c r="AS5" s="80">
        <v>2.98</v>
      </c>
      <c r="AT5" s="80" t="s">
        <v>1119</v>
      </c>
      <c r="AU5" s="80" t="s">
        <v>1119</v>
      </c>
      <c r="AV5" s="80">
        <v>14.4</v>
      </c>
      <c r="AW5" s="80">
        <v>15.01</v>
      </c>
      <c r="AX5" s="80" t="s">
        <v>1119</v>
      </c>
      <c r="AY5" s="80" t="s">
        <v>1119</v>
      </c>
      <c r="AZ5" s="80" t="s">
        <v>1119</v>
      </c>
      <c r="BA5" s="80" t="s">
        <v>1119</v>
      </c>
      <c r="BB5" s="80" t="s">
        <v>1119</v>
      </c>
      <c r="BC5" s="80" t="s">
        <v>1119</v>
      </c>
      <c r="BD5" s="80" t="s">
        <v>1119</v>
      </c>
      <c r="BE5" s="80" t="s">
        <v>1119</v>
      </c>
      <c r="BF5" s="80" t="s">
        <v>1119</v>
      </c>
      <c r="BG5" s="80" t="s">
        <v>1119</v>
      </c>
      <c r="BH5" s="80" t="s">
        <v>1119</v>
      </c>
      <c r="BI5" s="80">
        <v>4.68</v>
      </c>
      <c r="BJ5" s="80">
        <v>10</v>
      </c>
      <c r="BK5" s="80">
        <v>2.88</v>
      </c>
      <c r="BL5" s="80">
        <v>10.3</v>
      </c>
      <c r="BM5" s="80" t="s">
        <v>1119</v>
      </c>
      <c r="BN5" s="80" t="s">
        <v>1119</v>
      </c>
      <c r="BO5" s="80" t="s">
        <v>1119</v>
      </c>
      <c r="BP5" s="80" t="s">
        <v>1119</v>
      </c>
      <c r="BQ5" s="80" t="s">
        <v>1119</v>
      </c>
      <c r="BR5" s="80" t="s">
        <v>1119</v>
      </c>
      <c r="BS5" s="80">
        <v>11</v>
      </c>
      <c r="BT5" s="80" t="s">
        <v>1119</v>
      </c>
      <c r="BU5" s="80" t="s">
        <v>1119</v>
      </c>
      <c r="BV5" s="80" t="s">
        <v>1119</v>
      </c>
      <c r="BW5" s="80">
        <v>4.1900000000000004</v>
      </c>
      <c r="BX5" s="80" t="s">
        <v>1119</v>
      </c>
      <c r="BY5" s="80" t="s">
        <v>1119</v>
      </c>
      <c r="BZ5" s="80" t="s">
        <v>1119</v>
      </c>
      <c r="CA5" s="80" t="s">
        <v>1119</v>
      </c>
      <c r="CB5" s="80" t="s">
        <v>1119</v>
      </c>
      <c r="CC5" s="80" t="s">
        <v>1119</v>
      </c>
      <c r="CD5" s="80">
        <v>10.17</v>
      </c>
      <c r="CE5" s="80" t="s">
        <v>1119</v>
      </c>
      <c r="CF5" s="80" t="s">
        <v>1119</v>
      </c>
      <c r="CG5" s="80" t="s">
        <v>1119</v>
      </c>
      <c r="CH5" s="80" t="s">
        <v>1119</v>
      </c>
      <c r="CI5" s="80" t="s">
        <v>1119</v>
      </c>
      <c r="CJ5" s="80" t="s">
        <v>1119</v>
      </c>
      <c r="CK5" s="80">
        <v>3.97</v>
      </c>
      <c r="CL5" s="80" t="s">
        <v>1119</v>
      </c>
      <c r="CM5" s="80" t="s">
        <v>1119</v>
      </c>
      <c r="CN5" s="80" t="s">
        <v>1119</v>
      </c>
      <c r="CO5" s="80" t="s">
        <v>1119</v>
      </c>
      <c r="CP5" s="80" t="s">
        <v>1119</v>
      </c>
      <c r="CQ5" s="80" t="s">
        <v>1119</v>
      </c>
      <c r="CR5" s="80" t="s">
        <v>1119</v>
      </c>
      <c r="CS5" s="80" t="s">
        <v>1119</v>
      </c>
      <c r="CT5" s="80" t="s">
        <v>1119</v>
      </c>
      <c r="CU5" s="80" t="s">
        <v>1119</v>
      </c>
      <c r="CV5" s="80">
        <v>2.5299999999999998</v>
      </c>
      <c r="CW5" s="80">
        <v>11.87</v>
      </c>
      <c r="CX5" s="80" t="s">
        <v>1119</v>
      </c>
      <c r="CY5" s="80">
        <v>4.2300000000000004</v>
      </c>
      <c r="CZ5" s="80" t="s">
        <v>1119</v>
      </c>
      <c r="DA5" s="80">
        <v>-2.15</v>
      </c>
      <c r="DB5" s="80" t="s">
        <v>1119</v>
      </c>
      <c r="DC5" s="80" t="s">
        <v>1119</v>
      </c>
      <c r="DD5" s="80" t="s">
        <v>1119</v>
      </c>
      <c r="DE5" s="80" t="s">
        <v>1119</v>
      </c>
      <c r="DF5" s="80" t="s">
        <v>1119</v>
      </c>
      <c r="DG5" s="80" t="s">
        <v>1119</v>
      </c>
      <c r="DH5" s="80" t="s">
        <v>1119</v>
      </c>
      <c r="DI5" s="80" t="s">
        <v>1119</v>
      </c>
      <c r="DJ5" s="80" t="s">
        <v>1119</v>
      </c>
      <c r="DK5" s="80" t="s">
        <v>1119</v>
      </c>
      <c r="DL5" s="80" t="s">
        <v>1119</v>
      </c>
      <c r="DM5" s="80" t="s">
        <v>1119</v>
      </c>
      <c r="DN5" s="80">
        <v>10.15</v>
      </c>
      <c r="DO5" s="80" t="s">
        <v>1119</v>
      </c>
      <c r="DP5" s="80" t="s">
        <v>1119</v>
      </c>
      <c r="DQ5" s="80" t="s">
        <v>1119</v>
      </c>
      <c r="DR5" s="80">
        <v>8.2200000000000006</v>
      </c>
      <c r="DS5" s="80" t="s">
        <v>1119</v>
      </c>
      <c r="DT5" s="80">
        <v>8.23</v>
      </c>
      <c r="DU5" s="80">
        <v>8.31</v>
      </c>
      <c r="DV5" s="80">
        <v>8.31</v>
      </c>
      <c r="DW5" s="80">
        <v>7.56</v>
      </c>
      <c r="DX5" s="80" t="s">
        <v>1119</v>
      </c>
      <c r="DY5" s="80" t="s">
        <v>1119</v>
      </c>
      <c r="DZ5" s="80" t="s">
        <v>1119</v>
      </c>
      <c r="EA5" s="80" t="s">
        <v>1119</v>
      </c>
      <c r="EC5" s="80">
        <v>6.04</v>
      </c>
      <c r="EE5" s="80">
        <v>7.35</v>
      </c>
      <c r="EF5" s="80">
        <v>6.71</v>
      </c>
      <c r="EG5" s="80">
        <v>5.84</v>
      </c>
      <c r="EI5" s="80">
        <v>6.04</v>
      </c>
      <c r="EK5" s="80">
        <v>8.33</v>
      </c>
      <c r="EL5" s="80">
        <v>6.18</v>
      </c>
      <c r="EO5" s="80">
        <v>6.99</v>
      </c>
      <c r="EP5" s="80">
        <v>6.35</v>
      </c>
      <c r="ER5" s="80">
        <v>5.59</v>
      </c>
      <c r="ES5" s="80">
        <v>6.79</v>
      </c>
      <c r="ET5" s="80">
        <v>6.79</v>
      </c>
      <c r="EU5" s="80">
        <v>6.79</v>
      </c>
      <c r="EV5" s="80">
        <v>4.91</v>
      </c>
      <c r="EX5" s="80">
        <v>4.66</v>
      </c>
      <c r="EY5" s="80">
        <v>6.6</v>
      </c>
      <c r="EZ5" s="80">
        <v>6.6</v>
      </c>
      <c r="FA5" s="80">
        <v>6.08</v>
      </c>
      <c r="FC5" s="80">
        <v>5.66</v>
      </c>
      <c r="FE5" s="80">
        <v>5.31</v>
      </c>
      <c r="FR5" s="80">
        <v>-8</v>
      </c>
      <c r="FS5" s="80">
        <v>-8</v>
      </c>
      <c r="FT5" s="80">
        <v>-8</v>
      </c>
      <c r="FU5" s="80">
        <v>-8</v>
      </c>
      <c r="FV5" s="80">
        <v>-8</v>
      </c>
      <c r="FW5" s="80">
        <v>-8</v>
      </c>
      <c r="FX5" s="80">
        <v>-8</v>
      </c>
      <c r="FY5" s="80">
        <v>-8</v>
      </c>
      <c r="FZ5" s="80">
        <v>-8</v>
      </c>
      <c r="GA5" s="80">
        <v>-8</v>
      </c>
      <c r="GB5" s="80">
        <v>-8</v>
      </c>
      <c r="GC5" s="80">
        <v>-8</v>
      </c>
      <c r="GD5" s="80">
        <v>-8</v>
      </c>
      <c r="GE5" s="80">
        <v>-8</v>
      </c>
      <c r="GF5" s="80">
        <v>9.6999999999999993</v>
      </c>
      <c r="GG5" s="80">
        <v>14.06</v>
      </c>
      <c r="GH5" s="80">
        <v>12.02</v>
      </c>
      <c r="GI5" s="80">
        <v>11.51</v>
      </c>
      <c r="GJ5" s="80">
        <v>10.62</v>
      </c>
      <c r="GK5" s="80">
        <v>10</v>
      </c>
      <c r="GL5" s="80">
        <v>12.7</v>
      </c>
      <c r="GM5" s="80">
        <v>7.9</v>
      </c>
    </row>
    <row r="6" spans="1:206" s="80" customFormat="1" ht="17.100000000000001" customHeight="1">
      <c r="A6" s="77" t="s">
        <v>467</v>
      </c>
      <c r="B6" s="77" t="s">
        <v>469</v>
      </c>
      <c r="C6" s="418" t="s">
        <v>429</v>
      </c>
      <c r="F6" s="80">
        <v>0.34</v>
      </c>
      <c r="I6" s="80">
        <v>1.6</v>
      </c>
      <c r="J6" s="80">
        <v>6.66</v>
      </c>
      <c r="M6" s="80">
        <v>0.7</v>
      </c>
      <c r="N6" s="80">
        <v>1.71</v>
      </c>
      <c r="Q6" s="80">
        <v>1.69</v>
      </c>
      <c r="T6" s="80">
        <v>5.7</v>
      </c>
      <c r="AE6" s="80">
        <v>2.09</v>
      </c>
      <c r="AG6" s="80">
        <v>9.1199999999999992</v>
      </c>
      <c r="AJ6" s="80">
        <v>9.5</v>
      </c>
      <c r="AK6" s="80" t="s">
        <v>1119</v>
      </c>
      <c r="AL6" s="80" t="s">
        <v>1119</v>
      </c>
      <c r="AM6" s="80">
        <v>2.27</v>
      </c>
      <c r="AN6" s="80">
        <v>-2.6</v>
      </c>
      <c r="AO6" s="80">
        <v>-1.55</v>
      </c>
      <c r="AP6" s="80">
        <v>-1.49</v>
      </c>
      <c r="AQ6" s="80" t="s">
        <v>1119</v>
      </c>
      <c r="AR6" s="80">
        <v>1.79</v>
      </c>
      <c r="AS6" s="80" t="s">
        <v>1119</v>
      </c>
      <c r="AT6" s="80" t="s">
        <v>1119</v>
      </c>
      <c r="AU6" s="80">
        <v>-5.28</v>
      </c>
      <c r="AV6" s="80">
        <v>-0.98</v>
      </c>
      <c r="AW6" s="80">
        <v>2.09</v>
      </c>
      <c r="AX6" s="80" t="s">
        <v>1119</v>
      </c>
      <c r="AY6" s="80" t="s">
        <v>1119</v>
      </c>
      <c r="AZ6" s="80" t="s">
        <v>1119</v>
      </c>
      <c r="BA6" s="80" t="s">
        <v>1119</v>
      </c>
      <c r="BB6" s="80" t="s">
        <v>1119</v>
      </c>
      <c r="BC6" s="80" t="s">
        <v>1119</v>
      </c>
      <c r="BD6" s="80">
        <v>-4.17</v>
      </c>
      <c r="BE6" s="80" t="s">
        <v>1119</v>
      </c>
      <c r="BF6" s="80" t="s">
        <v>1119</v>
      </c>
      <c r="BG6" s="80" t="s">
        <v>1119</v>
      </c>
      <c r="BH6" s="80" t="s">
        <v>1119</v>
      </c>
      <c r="BI6" s="80" t="s">
        <v>1119</v>
      </c>
      <c r="BJ6" s="80" t="s">
        <v>1119</v>
      </c>
      <c r="BK6" s="80" t="s">
        <v>1119</v>
      </c>
      <c r="BL6" s="80" t="s">
        <v>1119</v>
      </c>
      <c r="BM6" s="80">
        <v>-1.37</v>
      </c>
      <c r="BN6" s="80" t="s">
        <v>1119</v>
      </c>
      <c r="BO6" s="80" t="s">
        <v>1119</v>
      </c>
      <c r="BP6" s="80" t="s">
        <v>1119</v>
      </c>
      <c r="BQ6" s="80" t="s">
        <v>1119</v>
      </c>
      <c r="BR6" s="80">
        <v>1.45</v>
      </c>
      <c r="BS6" s="80">
        <v>-1.6</v>
      </c>
      <c r="BT6" s="80">
        <v>1.29</v>
      </c>
      <c r="BU6" s="80">
        <v>-1.27</v>
      </c>
      <c r="BV6" s="80">
        <v>3.15</v>
      </c>
      <c r="BW6" s="80">
        <v>2.56</v>
      </c>
      <c r="BX6" s="80" t="s">
        <v>1119</v>
      </c>
      <c r="BY6" s="80" t="s">
        <v>1119</v>
      </c>
      <c r="BZ6" s="80" t="s">
        <v>1119</v>
      </c>
      <c r="CA6" s="80">
        <v>-2.63</v>
      </c>
      <c r="CB6" s="80">
        <v>3.74</v>
      </c>
      <c r="CC6" s="80" t="s">
        <v>1119</v>
      </c>
      <c r="CD6" s="80">
        <v>5.28</v>
      </c>
      <c r="CE6" s="80" t="s">
        <v>1119</v>
      </c>
      <c r="CF6" s="80">
        <v>-5.59</v>
      </c>
      <c r="CG6" s="80" t="s">
        <v>1119</v>
      </c>
      <c r="CH6" s="80" t="s">
        <v>1119</v>
      </c>
      <c r="CI6" s="80" t="s">
        <v>1119</v>
      </c>
      <c r="CJ6" s="80" t="s">
        <v>1119</v>
      </c>
      <c r="CK6" s="80">
        <v>-1</v>
      </c>
      <c r="CL6" s="80" t="s">
        <v>1119</v>
      </c>
      <c r="CM6" s="80" t="s">
        <v>1119</v>
      </c>
      <c r="CN6" s="80" t="s">
        <v>1119</v>
      </c>
      <c r="CO6" s="80" t="s">
        <v>1119</v>
      </c>
      <c r="CP6" s="80">
        <v>2.0499999999999998</v>
      </c>
      <c r="CQ6" s="80" t="s">
        <v>1119</v>
      </c>
      <c r="CR6" s="80" t="s">
        <v>1119</v>
      </c>
      <c r="CS6" s="80" t="s">
        <v>1119</v>
      </c>
      <c r="CT6" s="80" t="s">
        <v>1119</v>
      </c>
      <c r="CU6" s="80" t="s">
        <v>1119</v>
      </c>
      <c r="CV6" s="80" t="s">
        <v>1119</v>
      </c>
      <c r="CW6" s="80">
        <v>1.26</v>
      </c>
      <c r="CX6" s="80">
        <v>-2.17</v>
      </c>
      <c r="CY6" s="80">
        <v>2.59</v>
      </c>
      <c r="CZ6" s="80" t="s">
        <v>1119</v>
      </c>
      <c r="DA6" s="80">
        <v>12.58</v>
      </c>
      <c r="DB6" s="80">
        <v>1.04</v>
      </c>
      <c r="DC6" s="80" t="s">
        <v>1119</v>
      </c>
      <c r="DD6" s="80" t="s">
        <v>1119</v>
      </c>
      <c r="DE6" s="80" t="s">
        <v>1119</v>
      </c>
      <c r="DF6" s="80" t="s">
        <v>1119</v>
      </c>
      <c r="DG6" s="80" t="s">
        <v>1119</v>
      </c>
      <c r="DH6" s="80" t="s">
        <v>1119</v>
      </c>
      <c r="DI6" s="80" t="s">
        <v>1119</v>
      </c>
      <c r="DJ6" s="80" t="s">
        <v>1119</v>
      </c>
      <c r="DK6" s="80" t="s">
        <v>1119</v>
      </c>
      <c r="DL6" s="80" t="s">
        <v>1119</v>
      </c>
      <c r="DM6" s="80" t="s">
        <v>1119</v>
      </c>
      <c r="DN6" s="80" t="s">
        <v>1119</v>
      </c>
      <c r="DO6" s="80" t="s">
        <v>1119</v>
      </c>
      <c r="DP6" s="80" t="s">
        <v>1119</v>
      </c>
      <c r="DQ6" s="80" t="s">
        <v>1119</v>
      </c>
      <c r="DR6" s="80" t="s">
        <v>1119</v>
      </c>
      <c r="DS6" s="80" t="s">
        <v>1119</v>
      </c>
      <c r="DT6" s="80" t="s">
        <v>1119</v>
      </c>
      <c r="DU6" s="80" t="s">
        <v>1119</v>
      </c>
      <c r="DV6" s="80" t="s">
        <v>1119</v>
      </c>
      <c r="DW6" s="80" t="s">
        <v>1119</v>
      </c>
      <c r="DX6" s="80" t="s">
        <v>1119</v>
      </c>
      <c r="DY6" s="80" t="s">
        <v>1119</v>
      </c>
      <c r="DZ6" s="80" t="s">
        <v>1119</v>
      </c>
      <c r="EA6" s="80" t="s">
        <v>1119</v>
      </c>
      <c r="GU6" s="80">
        <v>8.23</v>
      </c>
      <c r="GV6" s="80">
        <v>3.52</v>
      </c>
      <c r="GW6" s="80">
        <v>3.39</v>
      </c>
      <c r="GX6" s="80">
        <v>10.199999999999999</v>
      </c>
    </row>
    <row r="7" spans="1:206" s="80" customFormat="1" ht="17.100000000000001" customHeight="1">
      <c r="A7" s="77" t="s">
        <v>663</v>
      </c>
      <c r="B7" s="77" t="s">
        <v>697</v>
      </c>
      <c r="C7" s="418"/>
      <c r="D7" s="80" t="s">
        <v>1120</v>
      </c>
      <c r="E7" s="80" t="s">
        <v>1121</v>
      </c>
      <c r="F7" s="80" t="s">
        <v>1120</v>
      </c>
      <c r="G7" s="80" t="s">
        <v>1120</v>
      </c>
      <c r="I7" s="80" t="s">
        <v>1120</v>
      </c>
      <c r="J7" s="80" t="s">
        <v>1120</v>
      </c>
      <c r="K7" s="80" t="s">
        <v>1120</v>
      </c>
      <c r="L7" s="80" t="s">
        <v>1120</v>
      </c>
      <c r="M7" s="80" t="s">
        <v>1120</v>
      </c>
      <c r="P7" s="80" t="s">
        <v>1120</v>
      </c>
      <c r="Q7" s="80" t="s">
        <v>1120</v>
      </c>
      <c r="R7" s="80" t="s">
        <v>1120</v>
      </c>
      <c r="S7" s="80" t="s">
        <v>1120</v>
      </c>
      <c r="T7" s="80" t="s">
        <v>1120</v>
      </c>
      <c r="V7" s="80" t="s">
        <v>1120</v>
      </c>
      <c r="W7" s="80" t="s">
        <v>1120</v>
      </c>
      <c r="X7" s="80" t="s">
        <v>1122</v>
      </c>
      <c r="Z7" s="80" t="s">
        <v>1122</v>
      </c>
      <c r="AA7" s="80" t="s">
        <v>1122</v>
      </c>
      <c r="AC7" s="80" t="s">
        <v>1122</v>
      </c>
      <c r="AF7" s="80" t="s">
        <v>1120</v>
      </c>
      <c r="AG7" s="80" t="s">
        <v>1120</v>
      </c>
      <c r="AH7" s="80" t="s">
        <v>1120</v>
      </c>
      <c r="AI7" s="80" t="s">
        <v>1120</v>
      </c>
      <c r="AJ7" s="80" t="s">
        <v>1120</v>
      </c>
      <c r="FF7" s="80" t="s">
        <v>956</v>
      </c>
      <c r="FG7" s="80" t="s">
        <v>956</v>
      </c>
      <c r="FH7" s="80" t="s">
        <v>956</v>
      </c>
      <c r="FI7" s="80" t="s">
        <v>956</v>
      </c>
      <c r="FJ7" s="80" t="s">
        <v>956</v>
      </c>
      <c r="FK7" s="80" t="s">
        <v>956</v>
      </c>
      <c r="FL7" s="80" t="s">
        <v>956</v>
      </c>
      <c r="FM7" s="80" t="s">
        <v>956</v>
      </c>
      <c r="FN7" s="80" t="s">
        <v>956</v>
      </c>
      <c r="FO7" s="80" t="s">
        <v>956</v>
      </c>
      <c r="FP7" s="80" t="s">
        <v>956</v>
      </c>
      <c r="FQ7" s="80" t="s">
        <v>956</v>
      </c>
      <c r="GN7" s="80" t="s">
        <v>956</v>
      </c>
      <c r="GO7" s="80" t="s">
        <v>956</v>
      </c>
      <c r="GP7" s="80" t="s">
        <v>956</v>
      </c>
      <c r="GQ7" s="80" t="s">
        <v>956</v>
      </c>
      <c r="GR7" s="80" t="s">
        <v>956</v>
      </c>
      <c r="GS7" s="80" t="s">
        <v>956</v>
      </c>
      <c r="GT7" s="80" t="s">
        <v>956</v>
      </c>
      <c r="GU7" s="80" t="s">
        <v>1123</v>
      </c>
    </row>
    <row r="8" spans="1:206" s="82" customFormat="1" ht="17.100000000000001" customHeight="1">
      <c r="A8" s="340" t="s">
        <v>680</v>
      </c>
      <c r="B8" s="340" t="s">
        <v>486</v>
      </c>
      <c r="C8" s="418" t="s">
        <v>429</v>
      </c>
      <c r="V8" s="80"/>
      <c r="FF8" s="82">
        <v>6.4565422903465524E-3</v>
      </c>
      <c r="FG8" s="82">
        <v>4.8977881936844566E-3</v>
      </c>
      <c r="FH8" s="82">
        <v>2.1379620895022318E-3</v>
      </c>
      <c r="FI8" s="82">
        <v>2.6915348039269148E-3</v>
      </c>
      <c r="FJ8" s="82">
        <v>5.1286138399136471E-3</v>
      </c>
      <c r="FK8" s="82">
        <v>1.9952623149688781E-3</v>
      </c>
      <c r="FL8" s="82">
        <v>7.5857757502918277E-4</v>
      </c>
      <c r="FM8" s="82">
        <v>4.2657951880159235E-4</v>
      </c>
      <c r="FN8" s="82">
        <v>1.6595869074375585E-4</v>
      </c>
      <c r="FO8" s="82">
        <v>2.0892961308540387E-4</v>
      </c>
      <c r="FP8" s="82">
        <v>5.2480746024977172E-5</v>
      </c>
      <c r="FQ8" s="82">
        <v>1.5488166189124811E-5</v>
      </c>
      <c r="FR8" s="82">
        <v>3.1622776601683783E-4</v>
      </c>
      <c r="FS8" s="82">
        <v>2.6302679918953804E-5</v>
      </c>
      <c r="FT8" s="82">
        <v>2.0892961308540373E-11</v>
      </c>
      <c r="FU8" s="82">
        <v>2.089296130854039E-7</v>
      </c>
      <c r="FV8" s="82">
        <v>7.4131024130091451E-9</v>
      </c>
      <c r="FW8" s="82">
        <v>1.1220184543019621E-7</v>
      </c>
      <c r="FX8" s="82">
        <v>4.1686938347033504E-5</v>
      </c>
      <c r="FY8" s="82">
        <v>5.2480746024977172E-5</v>
      </c>
      <c r="FZ8" s="82">
        <v>1.0232929922807527E-6</v>
      </c>
      <c r="GA8" s="82">
        <v>2.2908676527677705E-6</v>
      </c>
      <c r="GB8" s="82">
        <v>1.0964781961431849E-3</v>
      </c>
      <c r="GC8" s="82">
        <v>6.1659500186148184E-5</v>
      </c>
      <c r="GD8" s="82">
        <v>2.6302679918953771E-14</v>
      </c>
      <c r="GE8" s="82">
        <v>1.4125375446227547E-8</v>
      </c>
      <c r="GF8" s="82">
        <v>2.1877616239495513E-4</v>
      </c>
      <c r="GG8" s="82">
        <v>6.6069344800759602E-9</v>
      </c>
      <c r="GH8" s="82">
        <v>4.5708818961487362E-10</v>
      </c>
      <c r="GI8" s="82">
        <v>2.1877616239495468E-9</v>
      </c>
      <c r="GJ8" s="82">
        <v>1.7782794100389215E-5</v>
      </c>
      <c r="GK8" s="82">
        <v>5.0118723362727238E-5</v>
      </c>
      <c r="GL8" s="82">
        <v>2.454708915685024E-7</v>
      </c>
      <c r="GM8" s="82">
        <v>1.2882495516931333E-6</v>
      </c>
      <c r="GR8" s="82">
        <v>6.9906575667645098E-7</v>
      </c>
    </row>
    <row r="9" spans="1:206" s="82" customFormat="1" ht="17.100000000000001" customHeight="1">
      <c r="A9" s="340" t="s">
        <v>681</v>
      </c>
      <c r="B9" s="340" t="s">
        <v>487</v>
      </c>
      <c r="C9" s="418" t="s">
        <v>429</v>
      </c>
      <c r="D9" s="82">
        <v>273000000</v>
      </c>
      <c r="E9" s="82">
        <v>564005.5</v>
      </c>
      <c r="F9" s="82">
        <v>5000000000</v>
      </c>
      <c r="G9" s="82">
        <v>18929392</v>
      </c>
      <c r="H9" s="82">
        <v>3045825</v>
      </c>
      <c r="I9" s="82">
        <v>468000000</v>
      </c>
      <c r="J9" s="82">
        <v>19400000000</v>
      </c>
      <c r="K9" s="82">
        <v>220000000</v>
      </c>
      <c r="L9" s="82">
        <v>4997890</v>
      </c>
      <c r="M9" s="82">
        <v>705000000</v>
      </c>
      <c r="N9" s="82">
        <v>1.33E+18</v>
      </c>
      <c r="O9" s="82">
        <v>160000000000</v>
      </c>
      <c r="P9" s="82">
        <v>26781198</v>
      </c>
      <c r="Q9" s="82">
        <v>10887462</v>
      </c>
      <c r="R9" s="82">
        <v>14200000000</v>
      </c>
      <c r="S9" s="82">
        <v>92200000000</v>
      </c>
      <c r="T9" s="82">
        <v>116000000000</v>
      </c>
      <c r="U9" s="82">
        <v>10800000000000</v>
      </c>
      <c r="V9" s="80">
        <v>3000000000000</v>
      </c>
      <c r="W9" s="82">
        <v>92800000000</v>
      </c>
      <c r="X9" s="82">
        <v>6439.518</v>
      </c>
      <c r="Y9" s="82">
        <v>41390.910000000003</v>
      </c>
      <c r="Z9" s="82">
        <v>18796.919999999998</v>
      </c>
      <c r="AA9" s="82">
        <v>12333.23</v>
      </c>
      <c r="AB9" s="82">
        <v>102847.8</v>
      </c>
      <c r="AC9" s="82">
        <v>19555.55</v>
      </c>
      <c r="AD9" s="82">
        <v>218887</v>
      </c>
      <c r="AE9" s="82">
        <v>421000000000000</v>
      </c>
      <c r="AF9" s="82">
        <v>76700000000</v>
      </c>
      <c r="AG9" s="82">
        <v>95900000000000</v>
      </c>
      <c r="AH9" s="82">
        <v>35400000000</v>
      </c>
      <c r="AI9" s="82">
        <v>111000000000</v>
      </c>
      <c r="AJ9" s="82">
        <v>405000000000</v>
      </c>
      <c r="AK9" s="82">
        <v>304305638846.91376</v>
      </c>
      <c r="AL9" s="82">
        <v>84521397010.10527</v>
      </c>
      <c r="AM9" s="82">
        <v>448277216.57576174</v>
      </c>
      <c r="AN9" s="82">
        <v>10526726351.363583</v>
      </c>
      <c r="AO9" s="82">
        <v>1413340052.8489552</v>
      </c>
      <c r="AP9" s="82">
        <v>692468464.32263947</v>
      </c>
      <c r="AQ9" s="82">
        <v>1122586977740.6328</v>
      </c>
      <c r="AR9" s="82">
        <v>2081565110.5578852</v>
      </c>
      <c r="AS9" s="82">
        <v>911548960.18862033</v>
      </c>
      <c r="AT9" s="82">
        <v>717607.00036748545</v>
      </c>
      <c r="AU9" s="82">
        <v>4623029520.6990175</v>
      </c>
      <c r="AV9" s="82">
        <v>1785158025.3502996</v>
      </c>
      <c r="AW9" s="82">
        <v>541289.99521196587</v>
      </c>
      <c r="AX9" s="82">
        <v>886318878.84659493</v>
      </c>
      <c r="AY9" s="82">
        <v>13185953.097017447</v>
      </c>
      <c r="AZ9" s="82">
        <v>555361871.93664718</v>
      </c>
      <c r="BA9" s="82">
        <v>52196221.307682216</v>
      </c>
      <c r="BB9" s="82">
        <v>40369186.703605197</v>
      </c>
      <c r="BC9" s="82">
        <v>3966340550.0508919</v>
      </c>
      <c r="BD9" s="82">
        <v>2437286969.7543917</v>
      </c>
      <c r="BE9" s="82">
        <v>249574379.48315781</v>
      </c>
      <c r="BF9" s="82">
        <v>1928249970.2468164</v>
      </c>
      <c r="BG9" s="82">
        <v>1369535623.5040512</v>
      </c>
      <c r="BH9" s="82">
        <v>48905007.892811872</v>
      </c>
      <c r="BI9" s="82">
        <v>3456023338.9972835</v>
      </c>
      <c r="BJ9" s="82">
        <v>172578490.76221758</v>
      </c>
      <c r="BK9" s="82">
        <v>2562221473.8251295</v>
      </c>
      <c r="BL9" s="82">
        <v>970845227.40701461</v>
      </c>
      <c r="BM9" s="82">
        <v>34776563.689123124</v>
      </c>
      <c r="BN9" s="82">
        <v>463582108.73937231</v>
      </c>
      <c r="BO9" s="82">
        <v>24710412767.41782</v>
      </c>
      <c r="BP9" s="82">
        <v>348489742.87519586</v>
      </c>
      <c r="BQ9" s="82">
        <v>321420323109.32135</v>
      </c>
      <c r="BR9" s="82">
        <v>1468238698.6402736</v>
      </c>
      <c r="BS9" s="82">
        <v>418202540.42445803</v>
      </c>
      <c r="BT9" s="82">
        <v>1356760943.7849767</v>
      </c>
      <c r="BU9" s="82">
        <v>143465232.55977237</v>
      </c>
      <c r="BV9" s="82">
        <v>82321511017.131943</v>
      </c>
      <c r="BW9" s="82">
        <v>16153377157779.645</v>
      </c>
      <c r="BX9" s="82">
        <v>2437848240434.9727</v>
      </c>
      <c r="BY9" s="82">
        <v>56330032265.933258</v>
      </c>
      <c r="BZ9" s="82">
        <v>2582002.548956132</v>
      </c>
      <c r="CA9" s="82">
        <v>50347742226.187645</v>
      </c>
      <c r="CB9" s="82">
        <v>5830959164.8875637</v>
      </c>
      <c r="CC9" s="82">
        <v>880548604.89005995</v>
      </c>
      <c r="CD9" s="82">
        <v>91656513.528148115</v>
      </c>
      <c r="CE9" s="82">
        <v>211496572.36071581</v>
      </c>
      <c r="CF9" s="82">
        <v>761944490.93030095</v>
      </c>
      <c r="CG9" s="82">
        <v>96679263.506382301</v>
      </c>
      <c r="CH9" s="82">
        <v>21583406983425.891</v>
      </c>
      <c r="CI9" s="82">
        <v>327929132.38976365</v>
      </c>
      <c r="CJ9" s="82">
        <v>12020060862.035666</v>
      </c>
      <c r="CK9" s="82">
        <v>669776645475531.5</v>
      </c>
      <c r="CL9" s="82">
        <v>484689189.49976927</v>
      </c>
      <c r="CM9" s="82">
        <v>2591711564908.9941</v>
      </c>
      <c r="CN9" s="82">
        <v>121965406.24125277</v>
      </c>
      <c r="CO9" s="82">
        <v>19166670051.513294</v>
      </c>
      <c r="CP9" s="82">
        <v>456134932438.26941</v>
      </c>
      <c r="CQ9" s="82">
        <v>3649107576.6321716</v>
      </c>
      <c r="CR9" s="82">
        <v>3188403912.1405935</v>
      </c>
      <c r="CS9" s="82">
        <v>2189592684.1004891</v>
      </c>
      <c r="CT9" s="82">
        <v>8376771454.9817152</v>
      </c>
      <c r="CU9" s="82">
        <v>960210977464.91296</v>
      </c>
      <c r="CV9" s="82">
        <v>2421698094211.3857</v>
      </c>
      <c r="CW9" s="82">
        <v>39152244729472.813</v>
      </c>
      <c r="CX9" s="82">
        <v>723880148255.44763</v>
      </c>
      <c r="CY9" s="82">
        <v>715226065417.05969</v>
      </c>
      <c r="CZ9" s="82">
        <v>1561420942.405694</v>
      </c>
      <c r="DA9" s="82">
        <v>40943.66042714403</v>
      </c>
      <c r="DB9" s="82">
        <v>165860638.65895763</v>
      </c>
      <c r="DC9" s="82">
        <v>442650754.14328349</v>
      </c>
      <c r="DD9" s="82">
        <v>156156.91064108891</v>
      </c>
      <c r="DE9" s="82">
        <v>25231.515306388956</v>
      </c>
      <c r="DF9" s="82">
        <v>5801779.3570143618</v>
      </c>
      <c r="DG9" s="82">
        <v>32438533.224863674</v>
      </c>
      <c r="DH9" s="82">
        <v>372148.83746925963</v>
      </c>
      <c r="DI9" s="82">
        <v>9954818204.7275448</v>
      </c>
      <c r="DJ9" s="82">
        <v>179139586711.73334</v>
      </c>
      <c r="DK9" s="82">
        <v>25122672.995093066</v>
      </c>
      <c r="DL9" s="82">
        <v>116941310.56071521</v>
      </c>
      <c r="DM9" s="82">
        <v>2809010310801.8013</v>
      </c>
      <c r="DN9" s="82">
        <v>743167427.64089751</v>
      </c>
      <c r="DO9" s="82">
        <v>8988585.7293046806</v>
      </c>
      <c r="DP9" s="82">
        <v>374961490.32559794</v>
      </c>
      <c r="DQ9" s="82">
        <v>254902053005.91727</v>
      </c>
      <c r="DR9" s="82">
        <v>3004738396.1258726</v>
      </c>
      <c r="DS9" s="82">
        <v>201867621814.99139</v>
      </c>
      <c r="DT9" s="82">
        <v>1280059036.9969239</v>
      </c>
      <c r="DU9" s="82">
        <v>398538241.31612211</v>
      </c>
      <c r="DV9" s="82">
        <v>223314368.14378551</v>
      </c>
      <c r="DW9" s="82">
        <v>19634356250.169289</v>
      </c>
      <c r="DX9" s="82">
        <v>133780.65973568894</v>
      </c>
      <c r="DY9" s="82">
        <v>26526.502967480039</v>
      </c>
      <c r="DZ9" s="82">
        <v>134412.60559659876</v>
      </c>
      <c r="EA9" s="82">
        <v>23129.700007379866</v>
      </c>
      <c r="EB9" s="82">
        <v>179139586711.73334</v>
      </c>
      <c r="EC9" s="82">
        <v>155238700995.80884</v>
      </c>
      <c r="ED9" s="82">
        <v>31939883912.380913</v>
      </c>
      <c r="EE9" s="82">
        <v>2027682719521.2915</v>
      </c>
      <c r="EF9" s="82">
        <v>12725260062941.691</v>
      </c>
      <c r="EG9" s="82">
        <v>243220400907.3829</v>
      </c>
      <c r="EH9" s="82">
        <v>11117317272815.918</v>
      </c>
      <c r="EI9" s="82">
        <v>1020939483707.6818</v>
      </c>
      <c r="EJ9" s="82">
        <v>1879316816.8032675</v>
      </c>
      <c r="EK9" s="82">
        <v>99311604842.093674</v>
      </c>
      <c r="EL9" s="82">
        <v>1924568322950.7363</v>
      </c>
      <c r="EM9" s="82">
        <v>368128973642.53027</v>
      </c>
      <c r="EN9" s="82">
        <v>67039896222.001556</v>
      </c>
      <c r="EO9" s="82">
        <v>2486947782600.9751</v>
      </c>
      <c r="EP9" s="82">
        <v>21379620895022.332</v>
      </c>
      <c r="EQ9" s="82">
        <v>116941310.56071521</v>
      </c>
      <c r="ER9" s="82">
        <v>5520774392.8075771</v>
      </c>
      <c r="ES9" s="82">
        <v>58613816451.403008</v>
      </c>
      <c r="ET9" s="82">
        <v>58613816451.403008</v>
      </c>
      <c r="EU9" s="82">
        <v>58613816451.403008</v>
      </c>
      <c r="EV9" s="82">
        <v>8452788451.6029205</v>
      </c>
      <c r="EW9" s="82">
        <v>498119258.95556086</v>
      </c>
      <c r="EX9" s="82">
        <v>5395106225.1512804</v>
      </c>
      <c r="EY9" s="82">
        <v>43785804468.905144</v>
      </c>
      <c r="EZ9" s="82">
        <v>43785804468.905144</v>
      </c>
      <c r="FA9" s="82">
        <v>773867604464.90381</v>
      </c>
      <c r="FB9" s="82">
        <v>25122672.995093066</v>
      </c>
      <c r="FC9" s="82">
        <v>955725851.28387988</v>
      </c>
      <c r="FD9" s="82">
        <v>8988585.7293046806</v>
      </c>
      <c r="FE9" s="82">
        <v>109732009.73097798</v>
      </c>
      <c r="FF9" s="82">
        <v>70794578.438413769</v>
      </c>
      <c r="FG9" s="82">
        <v>165958690.74375659</v>
      </c>
      <c r="FH9" s="82">
        <v>2290867652.7677717</v>
      </c>
      <c r="FI9" s="82">
        <v>2754228703.3381724</v>
      </c>
      <c r="FJ9" s="82">
        <v>123026877.08123825</v>
      </c>
      <c r="FK9" s="82">
        <v>1445439770.7459295</v>
      </c>
      <c r="FL9" s="82">
        <v>25118864315.095894</v>
      </c>
      <c r="FM9" s="82">
        <v>199526231496.8891</v>
      </c>
      <c r="FN9" s="82">
        <v>199526231496.8891</v>
      </c>
      <c r="FO9" s="82">
        <v>1258925411794.1692</v>
      </c>
      <c r="FP9" s="82">
        <v>3981071705534.9741</v>
      </c>
      <c r="FQ9" s="82">
        <v>6.3095734448019512E+16</v>
      </c>
      <c r="GN9" s="82">
        <f>10^8.84</f>
        <v>691830970.91893709</v>
      </c>
      <c r="GO9" s="82">
        <f>10^8.26</f>
        <v>181970085.86099887</v>
      </c>
      <c r="GP9" s="82">
        <f>10^9.958</f>
        <v>9078205301.7818832</v>
      </c>
      <c r="GQ9" s="82">
        <f>10^7.76</f>
        <v>57543993.73371572</v>
      </c>
      <c r="GS9" s="82">
        <v>200000000000</v>
      </c>
      <c r="GT9" s="82">
        <v>1580000000000</v>
      </c>
      <c r="GU9" s="82">
        <v>6870000</v>
      </c>
      <c r="GV9" s="82">
        <v>145000000</v>
      </c>
      <c r="GW9" s="82">
        <v>4570000000</v>
      </c>
      <c r="GX9" s="82">
        <f>10^6.51</f>
        <v>3235936.5692962883</v>
      </c>
    </row>
    <row r="10" spans="1:206" s="82" customFormat="1" ht="17.100000000000001" customHeight="1">
      <c r="A10" s="340" t="s">
        <v>682</v>
      </c>
      <c r="B10" s="340" t="s">
        <v>488</v>
      </c>
      <c r="C10" s="418" t="s">
        <v>429</v>
      </c>
      <c r="D10" s="82">
        <v>5.8884369999999997</v>
      </c>
      <c r="E10" s="82">
        <v>660.6934</v>
      </c>
      <c r="F10" s="82">
        <v>1.9037649999999999</v>
      </c>
      <c r="G10" s="82">
        <v>26.667149999999999</v>
      </c>
      <c r="H10" s="82">
        <v>3.2569999999999999E-3</v>
      </c>
      <c r="I10" s="82">
        <v>407.38029999999998</v>
      </c>
      <c r="J10" s="82">
        <v>72.157250000000005</v>
      </c>
      <c r="K10" s="82">
        <v>32.359369999999998</v>
      </c>
      <c r="L10" s="82">
        <v>27.542290000000001</v>
      </c>
      <c r="M10" s="82">
        <v>0.85113799999999995</v>
      </c>
      <c r="N10" s="82">
        <v>16744.16</v>
      </c>
      <c r="O10" s="82">
        <v>281.8383</v>
      </c>
      <c r="P10" s="82">
        <v>0.86896700000000004</v>
      </c>
      <c r="Q10" s="82">
        <v>0.58463699999999996</v>
      </c>
      <c r="R10" s="82">
        <v>478.63010000000003</v>
      </c>
      <c r="S10" s="82">
        <v>0.85113799999999995</v>
      </c>
      <c r="T10" s="82">
        <v>371.53519999999997</v>
      </c>
      <c r="U10" s="82">
        <v>20.180099999999999</v>
      </c>
      <c r="V10" s="80">
        <v>232.26480000000001</v>
      </c>
      <c r="W10" s="82">
        <v>173.7801</v>
      </c>
      <c r="X10" s="82">
        <v>26.91535</v>
      </c>
      <c r="Y10" s="82">
        <v>1.819701</v>
      </c>
      <c r="Z10" s="82">
        <v>113.50109999999999</v>
      </c>
      <c r="AA10" s="82">
        <v>707.94579999999996</v>
      </c>
      <c r="AB10" s="82">
        <v>18.984100000000002</v>
      </c>
      <c r="AC10" s="82">
        <v>1270.5740000000001</v>
      </c>
      <c r="AD10" s="82">
        <v>8.3176E-2</v>
      </c>
      <c r="AE10" s="82">
        <v>8.9695999999999998E-2</v>
      </c>
      <c r="AF10" s="82">
        <v>7.7624709999999997</v>
      </c>
      <c r="AG10" s="82">
        <v>3.7153520000000002</v>
      </c>
      <c r="AH10" s="82">
        <v>3388.442</v>
      </c>
      <c r="AI10" s="82">
        <v>601.41369999999995</v>
      </c>
      <c r="AJ10" s="82">
        <v>837.46500000000003</v>
      </c>
      <c r="AK10" s="82">
        <v>2089.2961308540398</v>
      </c>
      <c r="AL10" s="82">
        <v>57543.993733715732</v>
      </c>
      <c r="AM10" s="82">
        <v>407.38027780411272</v>
      </c>
      <c r="AN10" s="82">
        <v>562.34132519034927</v>
      </c>
      <c r="AO10" s="82">
        <v>229.08676527677744</v>
      </c>
      <c r="AP10" s="82">
        <v>208.92961308540396</v>
      </c>
      <c r="AQ10" s="82">
        <v>1584893.1924611153</v>
      </c>
      <c r="AR10" s="82">
        <v>6456.5422903465615</v>
      </c>
      <c r="AS10" s="82">
        <v>645.65422903465594</v>
      </c>
      <c r="AT10" s="82">
        <v>26.915348039269158</v>
      </c>
      <c r="AU10" s="82">
        <v>91201.083935591028</v>
      </c>
      <c r="AV10" s="82">
        <v>6.0255958607435796</v>
      </c>
      <c r="AW10" s="82">
        <v>0.21877616239495523</v>
      </c>
      <c r="AX10" s="82">
        <v>12302.687708123816</v>
      </c>
      <c r="AY10" s="82">
        <v>404229.2731303008</v>
      </c>
      <c r="AZ10" s="82">
        <v>8201.8128705530471</v>
      </c>
      <c r="BA10" s="82">
        <v>5725.1298853180933</v>
      </c>
      <c r="BB10" s="82">
        <v>13803.842646028841</v>
      </c>
      <c r="BC10" s="82">
        <v>229.08676527677744</v>
      </c>
      <c r="BD10" s="82">
        <v>158.48931924611153</v>
      </c>
      <c r="BE10" s="82">
        <v>724.43596007499025</v>
      </c>
      <c r="BF10" s="82">
        <v>43651.583224016598</v>
      </c>
      <c r="BG10" s="82">
        <v>6760.8297539198229</v>
      </c>
      <c r="BH10" s="82">
        <v>43651.583224016598</v>
      </c>
      <c r="BI10" s="82">
        <v>131825.67385564081</v>
      </c>
      <c r="BJ10" s="82">
        <v>1230.2687708123824</v>
      </c>
      <c r="BK10" s="82">
        <v>2041.7379446695318</v>
      </c>
      <c r="BL10" s="82">
        <v>3.2359365692962836</v>
      </c>
      <c r="BM10" s="82">
        <v>151.3561248436209</v>
      </c>
      <c r="BN10" s="82">
        <v>10471.285480509003</v>
      </c>
      <c r="BO10" s="82">
        <v>60255.95860743591</v>
      </c>
      <c r="BP10" s="82">
        <v>30199.517204020212</v>
      </c>
      <c r="BQ10" s="82">
        <v>3162277.6601683851</v>
      </c>
      <c r="BR10" s="82">
        <v>1348.9628825916541</v>
      </c>
      <c r="BS10" s="82">
        <v>0.14125375446227542</v>
      </c>
      <c r="BT10" s="82">
        <v>1071.5193052376069</v>
      </c>
      <c r="BU10" s="82">
        <v>1</v>
      </c>
      <c r="BV10" s="82">
        <v>1537165.6346057029</v>
      </c>
      <c r="BW10" s="82">
        <v>100</v>
      </c>
      <c r="BX10" s="82">
        <v>3981071.705534976</v>
      </c>
      <c r="BY10" s="82">
        <v>117489.75549395311</v>
      </c>
      <c r="BZ10" s="82">
        <v>23.988329190194907</v>
      </c>
      <c r="CA10" s="82">
        <v>602.55958607435775</v>
      </c>
      <c r="CB10" s="82">
        <v>15848.931924611146</v>
      </c>
      <c r="CC10" s="82">
        <v>9772.3722095581161</v>
      </c>
      <c r="CD10" s="82">
        <v>1.0964781961431851</v>
      </c>
      <c r="CE10" s="82">
        <v>38904.514499428085</v>
      </c>
      <c r="CF10" s="82">
        <v>20417.379446695286</v>
      </c>
      <c r="CG10" s="82">
        <v>3630.7805477010188</v>
      </c>
      <c r="CH10" s="82">
        <v>912010.83935591124</v>
      </c>
      <c r="CI10" s="82">
        <v>1995.2623149688804</v>
      </c>
      <c r="CJ10" s="82">
        <v>3388.4415613920255</v>
      </c>
      <c r="CK10" s="82">
        <v>1.0232929922807541</v>
      </c>
      <c r="CL10" s="82">
        <v>75857.757502918481</v>
      </c>
      <c r="CM10" s="82">
        <v>891250.93813374708</v>
      </c>
      <c r="CN10" s="82">
        <v>138038.42646028858</v>
      </c>
      <c r="CO10" s="82">
        <v>30199.517204020212</v>
      </c>
      <c r="CP10" s="82">
        <v>19952.623149688792</v>
      </c>
      <c r="CQ10" s="82">
        <v>467735.14128719864</v>
      </c>
      <c r="CR10" s="82">
        <v>93325.430079699145</v>
      </c>
      <c r="CS10" s="82">
        <v>0.18197008586099833</v>
      </c>
      <c r="CT10" s="82">
        <v>30483.394977512398</v>
      </c>
      <c r="CU10" s="82">
        <v>205466.01599445925</v>
      </c>
      <c r="CV10" s="82">
        <v>22192.045457899538</v>
      </c>
      <c r="CW10" s="82">
        <v>0.7721203520117772</v>
      </c>
      <c r="CX10" s="82">
        <v>50118.723362727294</v>
      </c>
      <c r="CY10" s="82">
        <v>455.7905675404412</v>
      </c>
      <c r="CZ10" s="82">
        <v>169824.36524617471</v>
      </c>
      <c r="DA10" s="82">
        <v>4.0667424275499968</v>
      </c>
      <c r="DB10" s="82">
        <v>265.07493688131933</v>
      </c>
      <c r="DC10" s="82">
        <v>168849.58594867529</v>
      </c>
      <c r="DD10" s="82">
        <v>2834.6536334896696</v>
      </c>
      <c r="DE10" s="82">
        <v>70.794578438413865</v>
      </c>
      <c r="DF10" s="82">
        <v>17782.794100389234</v>
      </c>
      <c r="DG10" s="82">
        <v>43651.583224016678</v>
      </c>
      <c r="DH10" s="82">
        <v>107.15193052376065</v>
      </c>
      <c r="DI10" s="82">
        <v>53703.179637025423</v>
      </c>
      <c r="DJ10" s="82">
        <v>26960323.893792555</v>
      </c>
      <c r="DK10" s="82">
        <v>312.60163967798559</v>
      </c>
      <c r="DL10" s="82">
        <v>13909.919122838093</v>
      </c>
      <c r="DM10" s="82">
        <v>125892541.17941682</v>
      </c>
      <c r="DN10" s="82">
        <v>242375.47135126565</v>
      </c>
      <c r="DO10" s="82">
        <v>39.874902390944541</v>
      </c>
      <c r="DP10" s="82">
        <v>12882.49551693136</v>
      </c>
      <c r="DQ10" s="82">
        <v>808519.81260593724</v>
      </c>
      <c r="DR10" s="82">
        <v>3715.352290971724</v>
      </c>
      <c r="DS10" s="82">
        <v>13489.628825916556</v>
      </c>
      <c r="DT10" s="82">
        <v>1096.4781961431863</v>
      </c>
      <c r="DU10" s="82">
        <v>295.12092266663893</v>
      </c>
      <c r="DV10" s="82">
        <v>91.201083935590972</v>
      </c>
      <c r="DW10" s="82">
        <v>6165.9500186148289</v>
      </c>
      <c r="DX10" s="82">
        <v>10471.285480509003</v>
      </c>
      <c r="DY10" s="82">
        <v>3388.4415613920255</v>
      </c>
      <c r="DZ10" s="82">
        <v>15488.166189124853</v>
      </c>
      <c r="EA10" s="82">
        <v>2754.228703338169</v>
      </c>
      <c r="EB10" s="82">
        <v>26960323.893792555</v>
      </c>
      <c r="EC10" s="82">
        <v>45708.818961487581</v>
      </c>
      <c r="ED10" s="82">
        <v>8066.1569217661436</v>
      </c>
      <c r="EE10" s="82">
        <v>10715.193052376071</v>
      </c>
      <c r="EF10" s="82">
        <v>34940.839343940708</v>
      </c>
      <c r="EG10" s="82">
        <v>25507.427837113588</v>
      </c>
      <c r="EH10" s="82">
        <v>3186642421.7867322</v>
      </c>
      <c r="EI10" s="82">
        <v>457088.18961487547</v>
      </c>
      <c r="EJ10" s="82">
        <v>3.5754716045062143</v>
      </c>
      <c r="EK10" s="82">
        <v>3.3368242522829421</v>
      </c>
      <c r="EL10" s="82">
        <v>13.910198687980534</v>
      </c>
      <c r="EM10" s="82">
        <v>812830.51616410096</v>
      </c>
      <c r="EN10" s="82">
        <v>26101.572156825408</v>
      </c>
      <c r="EO10" s="82">
        <v>38904.514499428085</v>
      </c>
      <c r="EP10" s="82">
        <v>116591.44011798326</v>
      </c>
      <c r="EQ10" s="82">
        <v>13909.919122838093</v>
      </c>
      <c r="ER10" s="82">
        <v>457.08818961487481</v>
      </c>
      <c r="ES10" s="82">
        <v>146.77992676220697</v>
      </c>
      <c r="ET10" s="82">
        <v>146.77992676220697</v>
      </c>
      <c r="EU10" s="82">
        <v>146.77992676220697</v>
      </c>
      <c r="EV10" s="82">
        <v>156.07499630921129</v>
      </c>
      <c r="EW10" s="82">
        <v>12882.49551693136</v>
      </c>
      <c r="EX10" s="82">
        <v>457.08818961487481</v>
      </c>
      <c r="EY10" s="82">
        <v>145.65766155244597</v>
      </c>
      <c r="EZ10" s="82">
        <v>145.65766155244597</v>
      </c>
      <c r="FA10" s="82">
        <v>52480.746024977314</v>
      </c>
      <c r="FB10" s="82">
        <v>312.60163967798559</v>
      </c>
      <c r="FC10" s="82">
        <v>63.581875354722314</v>
      </c>
      <c r="FD10" s="82">
        <v>39.874902390944541</v>
      </c>
      <c r="FE10" s="82">
        <v>19.349362753909514</v>
      </c>
      <c r="FF10" s="82">
        <v>457088.18961487466</v>
      </c>
      <c r="FG10" s="82">
        <v>812830.51616410096</v>
      </c>
      <c r="FH10" s="82">
        <v>4897788.1936844587</v>
      </c>
      <c r="FI10" s="82">
        <v>7413102.4130091891</v>
      </c>
      <c r="FJ10" s="82">
        <v>275422.87033381703</v>
      </c>
      <c r="FK10" s="82">
        <v>831763.77110267128</v>
      </c>
      <c r="FL10" s="82">
        <v>3388441.5613920307</v>
      </c>
      <c r="FM10" s="82">
        <v>10000000</v>
      </c>
      <c r="FN10" s="82">
        <v>4786300.9232263844</v>
      </c>
      <c r="FO10" s="82">
        <v>22908676.527677748</v>
      </c>
      <c r="FP10" s="82">
        <v>18197008.586099867</v>
      </c>
      <c r="FQ10" s="82">
        <v>9332543007.9699497</v>
      </c>
      <c r="FR10" s="82">
        <v>3.1915378551007616</v>
      </c>
      <c r="FS10" s="82">
        <v>63.386971125692703</v>
      </c>
      <c r="FT10" s="82">
        <v>416.86938347033572</v>
      </c>
      <c r="FU10" s="82">
        <v>1380.3842646028863</v>
      </c>
      <c r="FV10" s="82">
        <v>1047.1285480509</v>
      </c>
      <c r="FW10" s="82">
        <v>2290.8676527677749</v>
      </c>
      <c r="FX10" s="82">
        <v>1076.4652136298357</v>
      </c>
      <c r="FY10" s="82">
        <v>5011.8723362727324</v>
      </c>
      <c r="FZ10" s="82">
        <v>225.42392121524315</v>
      </c>
      <c r="GA10" s="82">
        <v>338.84415613920248</v>
      </c>
      <c r="GB10" s="82">
        <v>603.94862937638027</v>
      </c>
      <c r="GC10" s="82">
        <v>1047.1285480509</v>
      </c>
      <c r="GD10" s="82">
        <v>10.471285480509</v>
      </c>
      <c r="GE10" s="82">
        <v>457.0881896148756</v>
      </c>
      <c r="GF10" s="82">
        <v>1862.0871366628687</v>
      </c>
      <c r="GG10" s="82">
        <v>1.7782794100389226E-2</v>
      </c>
      <c r="GH10" s="82">
        <v>2.9512092266663856</v>
      </c>
      <c r="GI10" s="82">
        <v>1.3803842646028837E-2</v>
      </c>
      <c r="GJ10" s="82">
        <v>1995.2623149688804</v>
      </c>
      <c r="GK10" s="82">
        <v>1318.2567385564089</v>
      </c>
      <c r="GL10" s="82">
        <v>4265.7951880159299</v>
      </c>
      <c r="GM10" s="82">
        <v>63095.734448019342</v>
      </c>
      <c r="GN10" s="82">
        <f>10^5.48</f>
        <v>301995.17204020242</v>
      </c>
      <c r="GO10" s="82">
        <f>10^6.24</f>
        <v>1737800.8287493798</v>
      </c>
      <c r="GP10" s="82">
        <f>10^5.517</f>
        <v>328851.63087598368</v>
      </c>
      <c r="GQ10" s="82">
        <f>10^5.94</f>
        <v>870963.58995608229</v>
      </c>
      <c r="GR10" s="82">
        <v>7943.2823472428199</v>
      </c>
      <c r="GS10" s="82">
        <v>6030000</v>
      </c>
      <c r="GT10" s="82">
        <v>18600000</v>
      </c>
      <c r="GU10" s="82">
        <v>11.9</v>
      </c>
      <c r="GV10" s="82">
        <v>0.98499999999999999</v>
      </c>
      <c r="GW10" s="82">
        <v>5.1700000000000003E-2</v>
      </c>
      <c r="GX10" s="82">
        <f>10^2.07</f>
        <v>117.48975549395293</v>
      </c>
    </row>
    <row r="11" spans="1:206" s="80" customFormat="1" ht="17.100000000000001" customHeight="1">
      <c r="A11" s="77" t="s">
        <v>683</v>
      </c>
      <c r="B11" s="77" t="s">
        <v>543</v>
      </c>
      <c r="C11" s="418" t="s">
        <v>545</v>
      </c>
      <c r="X11" s="80">
        <f>2.9</f>
        <v>2.9</v>
      </c>
      <c r="Y11" s="80">
        <f>11</f>
        <v>11</v>
      </c>
      <c r="Z11" s="80">
        <v>50</v>
      </c>
      <c r="AA11" s="80">
        <f>15</f>
        <v>15</v>
      </c>
      <c r="AB11" s="80">
        <f>50</f>
        <v>50</v>
      </c>
      <c r="AC11" s="80">
        <v>107</v>
      </c>
      <c r="AD11" s="80">
        <f>609</f>
        <v>609</v>
      </c>
    </row>
    <row r="12" spans="1:206" s="80" customFormat="1" ht="17.100000000000001" customHeight="1">
      <c r="A12" s="77" t="s">
        <v>684</v>
      </c>
      <c r="B12" s="77" t="s">
        <v>544</v>
      </c>
      <c r="C12" s="418" t="s">
        <v>546</v>
      </c>
      <c r="Y12" s="80">
        <v>19</v>
      </c>
      <c r="AA12" s="80">
        <v>25</v>
      </c>
      <c r="AB12" s="80">
        <v>115</v>
      </c>
      <c r="AC12" s="80">
        <v>450</v>
      </c>
      <c r="AD12" s="80">
        <v>2900</v>
      </c>
    </row>
    <row r="13" spans="1:206" s="80" customFormat="1" ht="17.100000000000001" customHeight="1">
      <c r="A13" s="77" t="s">
        <v>685</v>
      </c>
      <c r="B13" s="77" t="s">
        <v>489</v>
      </c>
      <c r="C13" s="418" t="s">
        <v>547</v>
      </c>
      <c r="AA13" s="80">
        <f>10^0.94</f>
        <v>8.709635899560805</v>
      </c>
      <c r="AB13" s="80">
        <f>10^2.17</f>
        <v>147.91083881682084</v>
      </c>
      <c r="AC13" s="80">
        <f>10^0.25</f>
        <v>1.778279410038923</v>
      </c>
      <c r="AD13" s="80">
        <f>10^1.3</f>
        <v>19.952623149688804</v>
      </c>
    </row>
    <row r="14" spans="1:206" s="80" customFormat="1" ht="17.100000000000001" customHeight="1">
      <c r="A14" s="77" t="s">
        <v>686</v>
      </c>
      <c r="B14" s="77" t="s">
        <v>490</v>
      </c>
      <c r="C14" s="418" t="s">
        <v>525</v>
      </c>
    </row>
    <row r="15" spans="1:206" s="80" customFormat="1" ht="17.100000000000001" customHeight="1">
      <c r="A15" s="77" t="s">
        <v>817</v>
      </c>
      <c r="B15" s="77" t="s">
        <v>491</v>
      </c>
      <c r="C15" s="418" t="s">
        <v>522</v>
      </c>
      <c r="AB15" s="80">
        <f>10^2.1</f>
        <v>125.89254117941677</v>
      </c>
      <c r="AC15" s="80">
        <f>10^2.2</f>
        <v>158.48931924611153</v>
      </c>
      <c r="AD15" s="80">
        <f>10^3.33</f>
        <v>2137.9620895022344</v>
      </c>
    </row>
    <row r="16" spans="1:206" s="80" customFormat="1" ht="17.100000000000001" customHeight="1">
      <c r="A16" s="77" t="s">
        <v>687</v>
      </c>
      <c r="B16" s="77" t="s">
        <v>492</v>
      </c>
      <c r="C16" s="418" t="s">
        <v>523</v>
      </c>
      <c r="AB16" s="80">
        <f>10^3.82</f>
        <v>6606.9344800759654</v>
      </c>
      <c r="AC16" s="80">
        <f>10^3.51</f>
        <v>3235.9365692962833</v>
      </c>
      <c r="AD16" s="80">
        <f>10^4.88</f>
        <v>75857.757502918481</v>
      </c>
    </row>
    <row r="17" spans="1:206" s="80" customFormat="1" ht="17.100000000000001" customHeight="1">
      <c r="A17" s="77" t="s">
        <v>688</v>
      </c>
      <c r="B17" s="77" t="s">
        <v>493</v>
      </c>
      <c r="C17" s="418" t="s">
        <v>524</v>
      </c>
      <c r="AB17" s="80">
        <f>10^4.94</f>
        <v>87096.358995608287</v>
      </c>
      <c r="AC17" s="80">
        <f>10^4.33</f>
        <v>21379.620895022348</v>
      </c>
      <c r="AD17" s="80">
        <f>10^4.94</f>
        <v>87096.358995608287</v>
      </c>
    </row>
    <row r="18" spans="1:206" s="80" customFormat="1" ht="17.100000000000001" customHeight="1">
      <c r="A18" s="77" t="s">
        <v>677</v>
      </c>
      <c r="B18" s="77" t="s">
        <v>689</v>
      </c>
      <c r="C18" s="418" t="s">
        <v>429</v>
      </c>
    </row>
    <row r="19" spans="1:206" s="80" customFormat="1" ht="17.100000000000001" customHeight="1">
      <c r="A19" s="77" t="s">
        <v>678</v>
      </c>
      <c r="B19" s="77" t="s">
        <v>690</v>
      </c>
      <c r="C19" s="418" t="s">
        <v>429</v>
      </c>
    </row>
    <row r="20" spans="1:206" s="80" customFormat="1" ht="17.100000000000001" customHeight="1">
      <c r="A20" s="77" t="s">
        <v>679</v>
      </c>
      <c r="B20" s="77" t="s">
        <v>691</v>
      </c>
      <c r="C20" s="418" t="s">
        <v>429</v>
      </c>
    </row>
    <row r="21" spans="1:206" s="80" customFormat="1" ht="17.100000000000001" customHeight="1">
      <c r="A21" s="77" t="s">
        <v>664</v>
      </c>
      <c r="B21" s="77" t="s">
        <v>692</v>
      </c>
      <c r="C21" s="418" t="s">
        <v>545</v>
      </c>
      <c r="X21" s="80">
        <f>2.9</f>
        <v>2.9</v>
      </c>
      <c r="Y21" s="80">
        <f>11</f>
        <v>11</v>
      </c>
      <c r="Z21" s="80">
        <v>50</v>
      </c>
      <c r="AA21" s="80">
        <f>15</f>
        <v>15</v>
      </c>
      <c r="AB21" s="80">
        <f>50</f>
        <v>50</v>
      </c>
      <c r="AC21" s="80">
        <v>107</v>
      </c>
      <c r="AD21" s="80">
        <f>609</f>
        <v>609</v>
      </c>
    </row>
    <row r="22" spans="1:206" s="82" customFormat="1" ht="17.100000000000001" customHeight="1">
      <c r="A22" s="77" t="s">
        <v>665</v>
      </c>
      <c r="B22" s="77" t="s">
        <v>693</v>
      </c>
      <c r="C22" s="418" t="s">
        <v>546</v>
      </c>
      <c r="Y22" s="82">
        <v>19</v>
      </c>
      <c r="AA22" s="82">
        <v>25</v>
      </c>
      <c r="AB22" s="82">
        <v>115</v>
      </c>
      <c r="AC22" s="82">
        <v>450</v>
      </c>
      <c r="AD22" s="82">
        <v>2900</v>
      </c>
    </row>
    <row r="23" spans="1:206" s="82" customFormat="1" ht="17.100000000000001" customHeight="1">
      <c r="A23" s="77" t="s">
        <v>666</v>
      </c>
      <c r="B23" s="77" t="s">
        <v>694</v>
      </c>
      <c r="C23" s="418" t="s">
        <v>547</v>
      </c>
      <c r="AA23" s="82">
        <f>10^0.94</f>
        <v>8.709635899560805</v>
      </c>
      <c r="AB23" s="82">
        <f>10^2.17</f>
        <v>147.91083881682084</v>
      </c>
      <c r="AC23" s="82">
        <f>10^0.25</f>
        <v>1.778279410038923</v>
      </c>
      <c r="AD23" s="82">
        <f>10^1.3</f>
        <v>19.952623149688804</v>
      </c>
    </row>
    <row r="24" spans="1:206" s="82" customFormat="1" ht="17.100000000000001" customHeight="1">
      <c r="A24" s="77" t="s">
        <v>550</v>
      </c>
      <c r="B24" s="77" t="s">
        <v>549</v>
      </c>
      <c r="C24" s="418" t="s">
        <v>548</v>
      </c>
    </row>
    <row r="25" spans="1:206" s="82" customFormat="1" ht="17.100000000000001" customHeight="1">
      <c r="A25" s="77" t="s">
        <v>667</v>
      </c>
      <c r="B25" s="77" t="s">
        <v>675</v>
      </c>
      <c r="C25" s="418" t="s">
        <v>525</v>
      </c>
    </row>
    <row r="26" spans="1:206" s="82" customFormat="1" ht="17.100000000000001" customHeight="1">
      <c r="A26" s="77" t="s">
        <v>818</v>
      </c>
      <c r="B26" s="77" t="s">
        <v>676</v>
      </c>
      <c r="C26" s="418" t="s">
        <v>522</v>
      </c>
    </row>
    <row r="27" spans="1:206" s="82" customFormat="1" ht="17.100000000000001" customHeight="1">
      <c r="A27" s="77" t="s">
        <v>668</v>
      </c>
      <c r="B27" s="77" t="s">
        <v>695</v>
      </c>
      <c r="C27" s="418" t="s">
        <v>523</v>
      </c>
    </row>
    <row r="28" spans="1:206" s="82" customFormat="1" ht="17.100000000000001" customHeight="1">
      <c r="A28" s="77" t="s">
        <v>669</v>
      </c>
      <c r="B28" s="77" t="s">
        <v>696</v>
      </c>
      <c r="C28" s="418" t="s">
        <v>524</v>
      </c>
    </row>
    <row r="29" spans="1:206" s="80" customFormat="1" ht="17.100000000000001" customHeight="1">
      <c r="A29" s="77" t="s">
        <v>512</v>
      </c>
      <c r="B29" s="77" t="s">
        <v>494</v>
      </c>
      <c r="C29" s="77" t="s">
        <v>482</v>
      </c>
      <c r="FF29" s="80">
        <v>52200</v>
      </c>
      <c r="FG29" s="80">
        <v>54100</v>
      </c>
      <c r="FH29" s="80">
        <v>60500</v>
      </c>
      <c r="FI29" s="80">
        <v>68200</v>
      </c>
      <c r="FJ29" s="80">
        <f>FJ30-FJ31</f>
        <v>49000</v>
      </c>
      <c r="FK29" s="80">
        <f>FK30-FK31</f>
        <v>57000</v>
      </c>
      <c r="FL29" s="80">
        <v>77000</v>
      </c>
      <c r="FM29" s="80">
        <f>FM30-FM31</f>
        <v>79000</v>
      </c>
      <c r="FN29" s="80">
        <f>FN30-FN31</f>
        <v>62000</v>
      </c>
      <c r="FO29" s="80">
        <v>77000</v>
      </c>
      <c r="FP29" s="80">
        <f>FP30-FP31</f>
        <v>70000</v>
      </c>
      <c r="FQ29" s="80">
        <f>FQ30-FQ31</f>
        <v>65000</v>
      </c>
    </row>
    <row r="30" spans="1:206" s="80" customFormat="1" ht="17.100000000000001" customHeight="1">
      <c r="A30" s="77" t="s">
        <v>513</v>
      </c>
      <c r="B30" s="77" t="s">
        <v>495</v>
      </c>
      <c r="C30" s="77" t="s">
        <v>482</v>
      </c>
      <c r="FF30" s="80">
        <v>-26300</v>
      </c>
      <c r="FG30" s="80">
        <v>-27300</v>
      </c>
      <c r="FH30" s="80">
        <v>-28500</v>
      </c>
      <c r="FI30" s="80">
        <v>-26600</v>
      </c>
      <c r="FJ30" s="80">
        <v>-21000</v>
      </c>
      <c r="FK30" s="80">
        <v>-16000</v>
      </c>
      <c r="FL30" s="80">
        <v>-20000</v>
      </c>
      <c r="FM30" s="80">
        <v>-12000</v>
      </c>
      <c r="FN30" s="80">
        <v>-43000</v>
      </c>
      <c r="FO30" s="80">
        <v>-21000</v>
      </c>
      <c r="FP30" s="80">
        <v>-20000</v>
      </c>
      <c r="FQ30" s="80">
        <v>-80000</v>
      </c>
    </row>
    <row r="31" spans="1:206" s="80" customFormat="1" ht="17.100000000000001" customHeight="1">
      <c r="A31" s="77" t="s">
        <v>514</v>
      </c>
      <c r="B31" s="77" t="s">
        <v>496</v>
      </c>
      <c r="C31" s="77" t="s">
        <v>482</v>
      </c>
      <c r="FF31" s="80">
        <v>-78500</v>
      </c>
      <c r="FG31" s="80">
        <v>-81400</v>
      </c>
      <c r="FH31" s="80">
        <v>-89000</v>
      </c>
      <c r="FI31" s="80">
        <v>-94800</v>
      </c>
      <c r="FJ31" s="80">
        <v>-70000</v>
      </c>
      <c r="FK31" s="80">
        <v>-73000</v>
      </c>
      <c r="FL31" s="80">
        <v>-97000</v>
      </c>
      <c r="FM31" s="80">
        <v>-91000</v>
      </c>
      <c r="FN31" s="80">
        <v>-105000</v>
      </c>
      <c r="FO31" s="80">
        <v>-98000</v>
      </c>
      <c r="FP31" s="80">
        <v>-90000</v>
      </c>
      <c r="FQ31" s="80">
        <v>-145000</v>
      </c>
    </row>
    <row r="32" spans="1:206" s="80" customFormat="1" ht="17.100000000000001" customHeight="1">
      <c r="A32" s="77" t="s">
        <v>431</v>
      </c>
      <c r="B32" s="77" t="s">
        <v>510</v>
      </c>
      <c r="C32" s="418" t="s">
        <v>429</v>
      </c>
      <c r="D32" s="80">
        <v>0.25873885861475099</v>
      </c>
      <c r="E32" s="80">
        <v>0.20511869325160501</v>
      </c>
      <c r="F32" s="80">
        <v>0.35545005150029801</v>
      </c>
      <c r="G32" s="80">
        <v>0.31624134071055598</v>
      </c>
      <c r="H32" s="80">
        <v>0.86479894805250201</v>
      </c>
      <c r="I32" s="80">
        <v>0.118617337916569</v>
      </c>
      <c r="J32" s="80">
        <v>0.13532557260690201</v>
      </c>
      <c r="K32" s="80">
        <v>0.26507973525405198</v>
      </c>
      <c r="L32" s="80">
        <v>0.34003920778247698</v>
      </c>
      <c r="M32" s="80">
        <v>0.64823160491790399</v>
      </c>
      <c r="N32" s="80">
        <v>5.0041999930315103E-3</v>
      </c>
      <c r="O32" s="80">
        <v>0.38155564487147398</v>
      </c>
      <c r="P32" s="80">
        <v>0.87688018579719595</v>
      </c>
      <c r="Q32" s="80">
        <v>0.89499072969238702</v>
      </c>
      <c r="R32" s="80">
        <v>0.16891806204513499</v>
      </c>
      <c r="S32" s="80">
        <v>0.35340920047551599</v>
      </c>
      <c r="T32" s="80">
        <v>0.449593635015336</v>
      </c>
      <c r="U32" s="80">
        <v>0.39915477772642599</v>
      </c>
      <c r="V32" s="80">
        <v>0.69971963781065105</v>
      </c>
      <c r="W32" s="80">
        <v>4.2194044458590103E-2</v>
      </c>
      <c r="X32" s="80">
        <v>7.2317729797114594E-2</v>
      </c>
      <c r="Y32" s="80">
        <v>1.93175418087621E-2</v>
      </c>
      <c r="Z32" s="80">
        <v>1.65118202005755E-3</v>
      </c>
      <c r="AA32" s="80">
        <v>1.6745174304319901E-2</v>
      </c>
      <c r="AB32" s="80">
        <v>1.34406855595348E-3</v>
      </c>
      <c r="AC32" s="80">
        <v>3.8070523339786499E-3</v>
      </c>
      <c r="AD32" s="80">
        <v>3.0637007975392E-3</v>
      </c>
      <c r="AE32" s="80">
        <v>0.72088819567916496</v>
      </c>
      <c r="AF32" s="80">
        <v>0.26831388641351001</v>
      </c>
      <c r="AG32" s="80">
        <v>0.87477190344151401</v>
      </c>
      <c r="AH32" s="80">
        <v>0.29713364344194898</v>
      </c>
      <c r="AI32" s="80">
        <v>0.83571075306290299</v>
      </c>
      <c r="AJ32" s="80">
        <v>0.72981896524252299</v>
      </c>
      <c r="AK32" s="80">
        <v>0.08</v>
      </c>
      <c r="AL32" s="80">
        <v>0</v>
      </c>
      <c r="AM32" s="80">
        <v>0.12</v>
      </c>
      <c r="AN32" s="80">
        <v>0.21</v>
      </c>
      <c r="AO32" s="80">
        <v>0.28000000000000003</v>
      </c>
      <c r="AP32" s="80">
        <v>0.42</v>
      </c>
      <c r="AQ32" s="80">
        <v>0.01</v>
      </c>
      <c r="AR32" s="80">
        <v>0.02</v>
      </c>
      <c r="AS32" s="80">
        <v>0.04</v>
      </c>
      <c r="AT32" s="80">
        <v>0.73</v>
      </c>
      <c r="AU32" s="80">
        <v>0.01</v>
      </c>
      <c r="AV32" s="80">
        <v>0.96</v>
      </c>
      <c r="AW32" s="80">
        <v>0.9</v>
      </c>
      <c r="AX32" s="80">
        <v>0</v>
      </c>
      <c r="AY32" s="80">
        <v>0.01</v>
      </c>
      <c r="AZ32" s="80">
        <v>0.03</v>
      </c>
      <c r="BA32" s="80">
        <v>0.03</v>
      </c>
      <c r="BB32" s="80">
        <v>0.03</v>
      </c>
      <c r="BC32" s="80">
        <v>7.0000000000000007E-2</v>
      </c>
      <c r="BD32" s="80">
        <v>0.27</v>
      </c>
      <c r="BE32" s="80">
        <v>0.02</v>
      </c>
      <c r="BF32" s="80">
        <v>0.01</v>
      </c>
      <c r="BG32" s="80">
        <v>0</v>
      </c>
      <c r="BH32" s="80">
        <v>0</v>
      </c>
      <c r="BI32" s="80">
        <v>0.03</v>
      </c>
      <c r="BJ32" s="80">
        <v>0.04</v>
      </c>
      <c r="BK32" s="80">
        <v>0.01</v>
      </c>
      <c r="BL32" s="80">
        <v>0.7</v>
      </c>
      <c r="BM32" s="80">
        <v>0.36</v>
      </c>
      <c r="BN32" s="80">
        <v>0</v>
      </c>
      <c r="BO32" s="80">
        <v>0.01</v>
      </c>
      <c r="BP32" s="80">
        <v>0.03</v>
      </c>
      <c r="BQ32" s="80">
        <v>0</v>
      </c>
      <c r="BR32" s="80">
        <v>0.18</v>
      </c>
      <c r="BS32" s="80">
        <v>0.87</v>
      </c>
      <c r="BT32" s="80">
        <v>0.16</v>
      </c>
      <c r="BU32" s="80">
        <v>0.84</v>
      </c>
      <c r="BV32" s="80">
        <v>0</v>
      </c>
      <c r="BW32" s="80">
        <v>0.03</v>
      </c>
      <c r="BX32" s="80">
        <v>0</v>
      </c>
      <c r="BY32" s="80">
        <v>0</v>
      </c>
      <c r="BZ32" s="80">
        <v>0.14000000000000001</v>
      </c>
      <c r="CA32" s="80">
        <v>0.05</v>
      </c>
      <c r="CB32" s="80">
        <v>0.01</v>
      </c>
      <c r="CC32" s="80">
        <v>0.02</v>
      </c>
      <c r="CD32" s="80">
        <v>0.56000000000000005</v>
      </c>
      <c r="CE32" s="80">
        <v>0</v>
      </c>
      <c r="CF32" s="80">
        <v>0</v>
      </c>
      <c r="CG32" s="80">
        <v>0.01</v>
      </c>
      <c r="CH32" s="80">
        <v>0</v>
      </c>
      <c r="CI32" s="80">
        <v>0</v>
      </c>
      <c r="CJ32" s="80">
        <v>0.01</v>
      </c>
      <c r="CK32" s="80">
        <v>0.04</v>
      </c>
      <c r="CL32" s="80">
        <v>0.01</v>
      </c>
      <c r="CM32" s="80">
        <v>0.01</v>
      </c>
      <c r="CN32" s="80">
        <v>0.02</v>
      </c>
      <c r="CO32" s="80">
        <v>0.01</v>
      </c>
      <c r="CP32" s="80">
        <v>0.11</v>
      </c>
      <c r="CQ32" s="80">
        <v>0</v>
      </c>
      <c r="CR32" s="80">
        <v>0</v>
      </c>
      <c r="CS32" s="80">
        <v>0.78</v>
      </c>
      <c r="CT32" s="80">
        <v>0.03</v>
      </c>
      <c r="CU32" s="80">
        <v>0.02</v>
      </c>
      <c r="CV32" s="80">
        <v>0.01</v>
      </c>
      <c r="CW32" s="80">
        <v>0.04</v>
      </c>
      <c r="CX32" s="80">
        <v>0.11</v>
      </c>
      <c r="CY32" s="80">
        <v>0</v>
      </c>
      <c r="CZ32" s="80">
        <v>0</v>
      </c>
      <c r="DA32" s="80">
        <v>0.33</v>
      </c>
      <c r="DB32" s="80">
        <v>0.08</v>
      </c>
      <c r="DC32" s="80">
        <v>0.02</v>
      </c>
      <c r="DD32" s="80">
        <v>0.02</v>
      </c>
      <c r="DE32" s="80">
        <v>0.38</v>
      </c>
      <c r="DF32" s="80">
        <v>0.02</v>
      </c>
      <c r="DG32" s="80">
        <v>0.01</v>
      </c>
      <c r="DH32" s="80">
        <v>0.2</v>
      </c>
      <c r="DI32" s="80">
        <v>7.0000000000000007E-2</v>
      </c>
      <c r="DJ32" s="80">
        <v>7.0000000000000007E-2</v>
      </c>
      <c r="DK32" s="80">
        <v>0.19</v>
      </c>
      <c r="DL32" s="80">
        <v>0.03</v>
      </c>
      <c r="DM32" s="80">
        <v>0.02</v>
      </c>
      <c r="DN32" s="80">
        <v>0.02</v>
      </c>
      <c r="DO32" s="80">
        <v>0.66</v>
      </c>
      <c r="DP32" s="80">
        <v>0.06</v>
      </c>
      <c r="DQ32" s="80">
        <v>0.04</v>
      </c>
      <c r="DR32" s="80">
        <v>0.04</v>
      </c>
      <c r="DS32" s="80">
        <v>0</v>
      </c>
      <c r="DT32" s="80">
        <v>0.08</v>
      </c>
      <c r="DU32" s="80">
        <v>0.11</v>
      </c>
      <c r="DV32" s="80">
        <v>7.0000000000000007E-2</v>
      </c>
      <c r="DW32" s="80">
        <v>0.01</v>
      </c>
      <c r="DX32" s="80">
        <v>0.02</v>
      </c>
      <c r="DY32" s="80">
        <v>0.1</v>
      </c>
      <c r="DZ32" s="80">
        <v>0.04</v>
      </c>
      <c r="EA32" s="80">
        <v>0.02</v>
      </c>
      <c r="EB32" s="80">
        <v>7.0000000000000007E-2</v>
      </c>
      <c r="EC32" s="80">
        <v>0.06</v>
      </c>
      <c r="ED32" s="80">
        <v>0.04</v>
      </c>
      <c r="EE32" s="80">
        <v>0.06</v>
      </c>
      <c r="EF32" s="80">
        <v>0.04</v>
      </c>
      <c r="EG32" s="80">
        <v>0.04</v>
      </c>
      <c r="EH32" s="80">
        <v>0.11</v>
      </c>
      <c r="EI32" s="80">
        <v>0.04</v>
      </c>
      <c r="EJ32" s="80">
        <v>0.35</v>
      </c>
      <c r="EK32" s="80">
        <v>0.46</v>
      </c>
      <c r="EL32" s="80">
        <v>0.28999999999999998</v>
      </c>
      <c r="EM32" s="80">
        <v>0.04</v>
      </c>
      <c r="EN32" s="80">
        <v>0.04</v>
      </c>
      <c r="EO32" s="80">
        <v>0.04</v>
      </c>
      <c r="EP32" s="80">
        <v>0.04</v>
      </c>
      <c r="EQ32" s="80">
        <v>0.03</v>
      </c>
      <c r="ER32" s="80">
        <v>0.21</v>
      </c>
      <c r="ES32" s="80">
        <v>0.32</v>
      </c>
      <c r="ET32" s="80">
        <v>0.32</v>
      </c>
      <c r="EU32" s="80">
        <v>0.32</v>
      </c>
      <c r="EV32" s="80">
        <v>0.22</v>
      </c>
      <c r="EW32" s="80">
        <v>0.06</v>
      </c>
      <c r="EX32" s="80">
        <v>0.22</v>
      </c>
      <c r="EY32" s="80">
        <v>0.32</v>
      </c>
      <c r="EZ32" s="80">
        <v>0.32</v>
      </c>
      <c r="FA32" s="80">
        <v>0.06</v>
      </c>
      <c r="FB32" s="80">
        <v>0.19</v>
      </c>
      <c r="FC32" s="80">
        <v>0.39</v>
      </c>
      <c r="FD32" s="80">
        <v>0.36</v>
      </c>
      <c r="FE32" s="80">
        <v>0.37</v>
      </c>
      <c r="GX32" s="80">
        <v>1</v>
      </c>
    </row>
    <row r="33" spans="1:206" s="82" customFormat="1" ht="17.100000000000001" customHeight="1">
      <c r="A33" s="77" t="s">
        <v>515</v>
      </c>
      <c r="B33" s="77" t="s">
        <v>497</v>
      </c>
      <c r="C33" s="77" t="s">
        <v>483</v>
      </c>
      <c r="D33" s="82">
        <v>4.6202499999999998E-12</v>
      </c>
      <c r="E33" s="82">
        <v>1.9837700000000001E-12</v>
      </c>
      <c r="F33" s="82">
        <v>3.16534E-11</v>
      </c>
      <c r="G33" s="82">
        <v>2.06252E-12</v>
      </c>
      <c r="H33" s="82">
        <v>2.9123900000000001E-11</v>
      </c>
      <c r="I33" s="82">
        <v>2.1303899999999999E-11</v>
      </c>
      <c r="J33" s="82">
        <v>2.5752899999999999E-11</v>
      </c>
      <c r="K33" s="82">
        <v>2.0821700000000001E-11</v>
      </c>
      <c r="L33" s="82">
        <v>4.7863000000000003E-12</v>
      </c>
      <c r="M33" s="82">
        <v>1.40964E-11</v>
      </c>
      <c r="N33" s="82">
        <v>2.9725099999999999E-11</v>
      </c>
      <c r="O33" s="82">
        <v>3.4959299999999998E-11</v>
      </c>
      <c r="P33" s="82">
        <v>1.1512300000000001E-11</v>
      </c>
      <c r="Q33" s="82">
        <v>1.9883299999999999E-11</v>
      </c>
      <c r="R33" s="82">
        <v>1.1435300000000001E-11</v>
      </c>
      <c r="S33" s="82">
        <v>1.9156300000000001E-11</v>
      </c>
      <c r="T33" s="82">
        <v>5.16687E-11</v>
      </c>
      <c r="U33" s="82">
        <v>3.8984399999999998E-11</v>
      </c>
      <c r="V33" s="82">
        <v>4.8482799999999998E-11</v>
      </c>
      <c r="W33" s="82">
        <v>1.57092E-11</v>
      </c>
      <c r="X33" s="82">
        <v>6.4268999999999996E-13</v>
      </c>
      <c r="Y33" s="82">
        <v>2.1877599999999999E-15</v>
      </c>
      <c r="Z33" s="82">
        <v>6.5766000000000005E-13</v>
      </c>
      <c r="AA33" s="82">
        <v>6.5766000000000005E-13</v>
      </c>
      <c r="AB33" s="82">
        <v>2.1379600000000001E-15</v>
      </c>
      <c r="AC33" s="82">
        <v>6.5766000000000005E-13</v>
      </c>
      <c r="AD33" s="82">
        <v>1.6713399999999999E-14</v>
      </c>
      <c r="AE33" s="82">
        <v>3.0006099999999999E-11</v>
      </c>
      <c r="AF33" s="82">
        <v>5.7631899999999997E-11</v>
      </c>
      <c r="AG33" s="82">
        <v>4.00501E-11</v>
      </c>
      <c r="AH33" s="82">
        <v>6.9778500000000004E-11</v>
      </c>
      <c r="AI33" s="82">
        <v>4.9445500000000001E-11</v>
      </c>
      <c r="AJ33" s="82">
        <v>4.6107500000000001E-11</v>
      </c>
      <c r="AK33" s="82">
        <v>3.6363399579082259E-11</v>
      </c>
      <c r="AL33" s="82">
        <v>1.6767013602934781E-11</v>
      </c>
      <c r="AM33" s="82">
        <v>2.1263851468278273E-11</v>
      </c>
      <c r="AN33" s="82">
        <v>5.0671515466255791E-11</v>
      </c>
      <c r="AO33" s="82">
        <v>1.7847599372604711E-11</v>
      </c>
      <c r="AP33" s="82">
        <v>1.9521665059210499E-11</v>
      </c>
      <c r="AQ33" s="82">
        <v>2.8325957406043666E-11</v>
      </c>
      <c r="AR33" s="82">
        <v>2.0000000000000001E-10</v>
      </c>
      <c r="AS33" s="82">
        <v>7.5087302112873922E-12</v>
      </c>
      <c r="AT33" s="82">
        <v>3.5000000000000002E-11</v>
      </c>
      <c r="AU33" s="82">
        <v>7.5999999999999996E-11</v>
      </c>
      <c r="AV33" s="82">
        <v>3.3634018904897466E-11</v>
      </c>
      <c r="AW33" s="82">
        <v>4.4783315556465899E-11</v>
      </c>
      <c r="AX33" s="82">
        <v>3.4749375430157019E-11</v>
      </c>
      <c r="AY33" s="82">
        <v>2.6999999999999999E-14</v>
      </c>
      <c r="AZ33" s="82">
        <v>1.9E-13</v>
      </c>
      <c r="BA33" s="82">
        <v>1.9E-13</v>
      </c>
      <c r="BB33" s="82">
        <v>1.9E-13</v>
      </c>
      <c r="BC33" s="82">
        <v>2.4472232290414376E-11</v>
      </c>
      <c r="BD33" s="82">
        <v>5.0322108071005929E-11</v>
      </c>
      <c r="BE33" s="82">
        <v>2.720002317870336E-11</v>
      </c>
      <c r="BF33" s="82">
        <v>1.6921415198794692E-12</v>
      </c>
      <c r="BG33" s="82">
        <v>3.8272148735732099E-11</v>
      </c>
      <c r="BH33" s="82">
        <v>5.1954637425354053E-14</v>
      </c>
      <c r="BI33" s="82">
        <v>3.3198517043687357E-13</v>
      </c>
      <c r="BJ33" s="82">
        <v>4.797542045718828E-11</v>
      </c>
      <c r="BK33" s="82">
        <v>7.1600449957594549E-12</v>
      </c>
      <c r="BL33" s="82">
        <v>1.099493596934516E-11</v>
      </c>
      <c r="BM33" s="82">
        <v>2.070548314205684E-11</v>
      </c>
      <c r="BN33" s="82">
        <v>7.7450774334476474E-11</v>
      </c>
      <c r="BO33" s="82">
        <v>3.4192879300813498E-11</v>
      </c>
      <c r="BP33" s="82">
        <v>7.6891100257116887E-11</v>
      </c>
      <c r="BQ33" s="82">
        <v>2.7592303748364327E-11</v>
      </c>
      <c r="BR33" s="82">
        <v>3.3173946919276883E-11</v>
      </c>
      <c r="BS33" s="82">
        <v>1.1211150841907354E-11</v>
      </c>
      <c r="BT33" s="82">
        <v>2.6154181573928099E-11</v>
      </c>
      <c r="BU33" s="82">
        <v>3.8239087759516442E-11</v>
      </c>
      <c r="BV33" s="82">
        <v>3.040084902472298E-11</v>
      </c>
      <c r="BW33" s="82">
        <v>5.908968707312639E-12</v>
      </c>
      <c r="BX33" s="82">
        <v>2.7046587525453188E-11</v>
      </c>
      <c r="BY33" s="82">
        <v>1.0352040027845719E-10</v>
      </c>
      <c r="BZ33" s="82">
        <v>1.4285956203908787E-11</v>
      </c>
      <c r="CA33" s="82">
        <v>4.0057666445326039E-11</v>
      </c>
      <c r="CB33" s="82">
        <v>5.2681256163212358E-11</v>
      </c>
      <c r="CC33" s="82">
        <v>7.6314192511399873E-11</v>
      </c>
      <c r="CD33" s="82">
        <v>7.7648206626173924E-11</v>
      </c>
      <c r="CE33" s="82">
        <v>5.8304193624412645E-11</v>
      </c>
      <c r="CF33" s="82">
        <v>4.1000000000000001E-11</v>
      </c>
      <c r="CG33" s="82">
        <v>1.0405383693128284E-10</v>
      </c>
      <c r="CH33" s="82">
        <v>5.6312926045837819E-11</v>
      </c>
      <c r="CI33" s="82">
        <v>3.0976064869185693E-11</v>
      </c>
      <c r="CJ33" s="82">
        <v>2.0811333281171583E-11</v>
      </c>
      <c r="CK33" s="82">
        <v>5.3205146310483909E-11</v>
      </c>
      <c r="CL33" s="82">
        <v>2.399815080048044E-11</v>
      </c>
      <c r="CM33" s="82">
        <v>2.0595449887365898E-11</v>
      </c>
      <c r="CN33" s="82">
        <v>3.9424784115705695E-11</v>
      </c>
      <c r="CO33" s="82">
        <v>3.7974770824851598E-12</v>
      </c>
      <c r="CP33" s="82">
        <v>3.7547740978599497E-11</v>
      </c>
      <c r="CQ33" s="82">
        <v>4.0417172451719084E-11</v>
      </c>
      <c r="CR33" s="82">
        <v>1.2187653527238129E-12</v>
      </c>
      <c r="CS33" s="82">
        <v>5.7642386968332601E-11</v>
      </c>
      <c r="CT33" s="82">
        <v>7.5430391241196678E-12</v>
      </c>
      <c r="CU33" s="82">
        <v>1.8384999749415281E-11</v>
      </c>
      <c r="CV33" s="82">
        <v>6.4900114419174943E-11</v>
      </c>
      <c r="CW33" s="82">
        <v>5.8528412319829763E-11</v>
      </c>
      <c r="CX33" s="82">
        <v>2.5760501825507978E-11</v>
      </c>
      <c r="CY33" s="82">
        <v>6.9589820629169607E-12</v>
      </c>
      <c r="CZ33" s="82">
        <v>3.531799039464165E-11</v>
      </c>
      <c r="DA33" s="82">
        <v>8.4875081365922711E-11</v>
      </c>
      <c r="DB33" s="82">
        <v>3.2136085689952965E-11</v>
      </c>
      <c r="DC33" s="82">
        <v>5.0000000000000002E-11</v>
      </c>
      <c r="DD33" s="82">
        <v>2.3000000000000001E-11</v>
      </c>
      <c r="DE33" s="82">
        <v>1.4000000000000001E-13</v>
      </c>
      <c r="DF33" s="82">
        <v>1.3E-11</v>
      </c>
      <c r="DG33" s="82">
        <v>2.7099999999999999E-11</v>
      </c>
      <c r="DH33" s="82">
        <v>2.46E-12</v>
      </c>
      <c r="DI33" s="82">
        <v>1.2415694081604943E-11</v>
      </c>
      <c r="DJ33" s="82">
        <v>2.1103958825774845E-11</v>
      </c>
      <c r="DK33" s="82">
        <v>5.581605978246762E-12</v>
      </c>
      <c r="DL33" s="82">
        <v>1.1570083033409917E-11</v>
      </c>
      <c r="DM33" s="82">
        <v>1.8886771307690469E-11</v>
      </c>
      <c r="DN33" s="82">
        <v>2.657486681629844E-11</v>
      </c>
      <c r="DO33" s="82">
        <v>1.8530814775664887E-12</v>
      </c>
      <c r="DP33" s="82">
        <v>1.1558172402244223E-11</v>
      </c>
      <c r="DQ33" s="82">
        <v>1.841054009308255E-11</v>
      </c>
      <c r="DR33" s="82">
        <v>1.6498566782845109E-11</v>
      </c>
      <c r="DS33" s="82">
        <v>5.2552738333297157E-11</v>
      </c>
      <c r="DT33" s="82">
        <v>1.6159229278155566E-11</v>
      </c>
      <c r="DU33" s="82">
        <v>1.1523332870484996E-11</v>
      </c>
      <c r="DV33" s="82">
        <v>1.114193185897311E-11</v>
      </c>
      <c r="DW33" s="82">
        <v>5.6611147464788245E-11</v>
      </c>
      <c r="DX33" s="82">
        <v>5.4999999999999998E-13</v>
      </c>
      <c r="DY33" s="82">
        <v>7.1999999999999996E-13</v>
      </c>
      <c r="DZ33" s="82">
        <v>5.9950366335828169E-13</v>
      </c>
      <c r="EA33" s="82">
        <v>3.2E-13</v>
      </c>
      <c r="FF33" s="82">
        <v>1.1E-12</v>
      </c>
      <c r="FG33" s="82">
        <v>9.5500000000000007E-13</v>
      </c>
      <c r="FH33" s="82">
        <v>5.8900000000000001E-13</v>
      </c>
      <c r="FI33" s="82">
        <v>3.6300000000000002E-13</v>
      </c>
      <c r="FJ33" s="82">
        <v>2.1366E-12</v>
      </c>
      <c r="FK33" s="82">
        <v>1.4129999999999999E-12</v>
      </c>
      <c r="FL33" s="82">
        <v>9.9999999999999998E-13</v>
      </c>
      <c r="FM33" s="82">
        <v>5.4999999999999998E-13</v>
      </c>
      <c r="FN33" s="82">
        <v>1.0033E-12</v>
      </c>
      <c r="FO33" s="82">
        <v>5.5020000000000002E-13</v>
      </c>
      <c r="FP33" s="82">
        <v>1.6630000000000001E-13</v>
      </c>
      <c r="FQ33" s="82">
        <v>3.4E-14</v>
      </c>
      <c r="FR33" s="82">
        <v>2.5003120000000002E-11</v>
      </c>
      <c r="FS33" s="82">
        <v>2.6321170000000003E-11</v>
      </c>
      <c r="FT33" s="82">
        <v>3.0409219999999997E-11</v>
      </c>
      <c r="FU33" s="82">
        <v>3.5837265E-11</v>
      </c>
      <c r="FV33" s="82">
        <v>3.7374814999999997E-11</v>
      </c>
      <c r="FW33" s="82">
        <v>3.8888864999999998E-11</v>
      </c>
      <c r="FX33" s="82">
        <v>3.5598740000000001E-11</v>
      </c>
      <c r="FY33" s="82">
        <v>3.7125182911060865E-11</v>
      </c>
      <c r="FZ33" s="82">
        <v>2.3590670000000002E-11</v>
      </c>
      <c r="GA33" s="82">
        <v>2.6042265E-11</v>
      </c>
      <c r="GB33" s="82">
        <v>2.4986214999999998E-11</v>
      </c>
      <c r="GC33" s="82">
        <v>3.5839400000000005E-11</v>
      </c>
      <c r="GD33" s="82">
        <v>6.2116534999999998E-11</v>
      </c>
      <c r="GE33" s="82">
        <v>2.034208E-11</v>
      </c>
      <c r="GF33" s="82">
        <v>7.1114115000000004E-11</v>
      </c>
      <c r="GG33" s="82">
        <v>3.2605375000000003E-11</v>
      </c>
      <c r="GH33" s="82">
        <v>2.0676600000000001E-12</v>
      </c>
      <c r="GI33" s="82">
        <v>1.6706501E-10</v>
      </c>
      <c r="GJ33" s="82">
        <v>9.3974475000000004E-11</v>
      </c>
      <c r="GK33" s="82">
        <v>5.5768140000000004E-11</v>
      </c>
      <c r="GL33" s="82">
        <v>1.655821E-11</v>
      </c>
      <c r="GM33" s="82">
        <v>1.6757365E-11</v>
      </c>
      <c r="GN33" s="82">
        <v>7.0183699999999995E-13</v>
      </c>
      <c r="GO33" s="82">
        <v>8.0327699999999999E-11</v>
      </c>
      <c r="GP33" s="82">
        <v>5.8624099999999999E-12</v>
      </c>
      <c r="GQ33" s="82">
        <v>5.9432E-11</v>
      </c>
      <c r="GR33" s="82">
        <v>1.18E-12</v>
      </c>
      <c r="GS33" s="82">
        <v>3.9899999999999998E-12</v>
      </c>
      <c r="GT33" s="82">
        <v>4.4999999999999998E-12</v>
      </c>
      <c r="GX33" s="82">
        <v>9.2617599999999997E-11</v>
      </c>
    </row>
    <row r="34" spans="1:206" s="80" customFormat="1" ht="17.100000000000001" customHeight="1">
      <c r="A34" s="77" t="s">
        <v>516</v>
      </c>
      <c r="B34" s="77" t="s">
        <v>498</v>
      </c>
      <c r="C34" s="77" t="s">
        <v>484</v>
      </c>
      <c r="D34" s="80">
        <v>3.3949603013728362E-4</v>
      </c>
      <c r="E34" s="80">
        <v>3.8867975709544602E-4</v>
      </c>
      <c r="F34" s="80">
        <v>9.1800233982657629E-4</v>
      </c>
      <c r="G34" s="80">
        <v>7.938619746944162E-4</v>
      </c>
      <c r="H34" s="82">
        <v>7.5160014535797278E-4</v>
      </c>
      <c r="I34" s="82">
        <v>1.3543846677852627E-4</v>
      </c>
      <c r="J34" s="82">
        <v>3.0199657015335472E-4</v>
      </c>
      <c r="K34" s="82">
        <v>1.4461931323979965E-4</v>
      </c>
      <c r="L34" s="82">
        <v>3.5133840019917613E-4</v>
      </c>
      <c r="M34" s="82">
        <v>1.440143474508006E-2</v>
      </c>
      <c r="N34" s="82">
        <v>4.6529044458014021E-4</v>
      </c>
      <c r="O34" s="82">
        <v>4.9270919421414978E-4</v>
      </c>
      <c r="P34" s="82">
        <v>7.0830162839592486E-4</v>
      </c>
      <c r="Q34" s="82">
        <v>6.9142323668346475E-4</v>
      </c>
      <c r="R34" s="82">
        <v>1.24591956530756E-5</v>
      </c>
      <c r="S34" s="82">
        <v>1.3248008783748081E-4</v>
      </c>
      <c r="T34" s="82">
        <v>5.7606007433559875E-5</v>
      </c>
      <c r="U34" s="82">
        <v>4.9149833615732262E-4</v>
      </c>
      <c r="V34" s="82">
        <v>8.8857180278052077E-4</v>
      </c>
      <c r="W34" s="80">
        <v>6.5591474713037369E-4</v>
      </c>
      <c r="X34" s="80">
        <v>1.8638349121878889E-7</v>
      </c>
      <c r="Y34" s="80">
        <v>1.8638349121878889E-7</v>
      </c>
      <c r="Z34" s="80">
        <v>1.8638349121878889E-7</v>
      </c>
      <c r="AA34" s="80">
        <v>1.8638349121878889E-7</v>
      </c>
      <c r="AB34" s="80">
        <v>1.8638349121878889E-7</v>
      </c>
      <c r="AC34" s="80">
        <v>1.8638349121878889E-7</v>
      </c>
      <c r="AD34" s="80">
        <v>1.8638349121878889E-7</v>
      </c>
      <c r="AE34" s="80">
        <v>3.2221078990764973E-4</v>
      </c>
      <c r="AF34" s="80">
        <v>2.5206899772014466E-4</v>
      </c>
      <c r="AG34" s="80">
        <v>2.9274332095609057E-4</v>
      </c>
      <c r="AH34" s="80">
        <v>3.9330438513843777E-4</v>
      </c>
      <c r="AI34" s="80">
        <v>1.0042172451080759E-3</v>
      </c>
      <c r="AJ34" s="80">
        <v>1.1210886048475467E-3</v>
      </c>
      <c r="AK34" s="80">
        <v>8.9602776929702092E-4</v>
      </c>
      <c r="AL34" s="80">
        <v>2.8004041935869052E-4</v>
      </c>
      <c r="AM34" s="80">
        <v>3.0084513045136515E-4</v>
      </c>
      <c r="AN34" s="80">
        <v>1.3203542549494243E-3</v>
      </c>
      <c r="AO34" s="80">
        <v>2.0629380373807897E-3</v>
      </c>
      <c r="AP34" s="80">
        <v>7.2202831308327631E-4</v>
      </c>
      <c r="AQ34" s="80">
        <v>4.9607086308898173E-4</v>
      </c>
      <c r="AR34" s="80">
        <v>1.2151691050967619E-3</v>
      </c>
      <c r="AS34" s="80">
        <v>1.2995027992043714E-3</v>
      </c>
      <c r="AT34" s="80">
        <v>1.1896418107060704E-3</v>
      </c>
      <c r="AU34" s="80">
        <v>2.3113287389939704E-4</v>
      </c>
      <c r="AV34" s="80">
        <v>2.8777825135628226E-3</v>
      </c>
      <c r="AW34" s="80">
        <v>2.4095071497992342E-3</v>
      </c>
      <c r="AX34" s="80">
        <v>1.5212259292310042E-3</v>
      </c>
      <c r="AY34" s="80">
        <v>2.3197696805888395E-5</v>
      </c>
      <c r="AZ34" s="80">
        <v>1.5778754509177597E-4</v>
      </c>
      <c r="BA34" s="80">
        <v>1.5778754509177597E-4</v>
      </c>
      <c r="BB34" s="80">
        <v>1.5778754509177597E-4</v>
      </c>
      <c r="BC34" s="80">
        <v>4.9804830835331864E-3</v>
      </c>
      <c r="BD34" s="80">
        <v>1.4744658533720918E-3</v>
      </c>
      <c r="BE34" s="80">
        <v>8.7800597087508286E-4</v>
      </c>
      <c r="BF34" s="80">
        <v>1.9622878704109813E-4</v>
      </c>
      <c r="BG34" s="80">
        <v>8.1452228200900342E-4</v>
      </c>
      <c r="BH34" s="80">
        <v>3.9183747512338494E-5</v>
      </c>
      <c r="BI34" s="80">
        <v>1.97815976187199E-4</v>
      </c>
      <c r="BJ34" s="80">
        <v>1.6812922819593431E-3</v>
      </c>
      <c r="BK34" s="80">
        <v>1.1552453009332421E-3</v>
      </c>
      <c r="BL34" s="80">
        <v>3.6434911530870456E-4</v>
      </c>
      <c r="BM34" s="80">
        <v>1.6910121161200341E-3</v>
      </c>
      <c r="BN34" s="80">
        <v>1.8716341869163848E-3</v>
      </c>
      <c r="BO34" s="80">
        <v>3.8826117930416487E-4</v>
      </c>
      <c r="BP34" s="80">
        <v>1.0669135218692482E-3</v>
      </c>
      <c r="BQ34" s="80">
        <v>4.7621269563248553E-4</v>
      </c>
      <c r="BR34" s="80">
        <v>6.0102525216564843E-4</v>
      </c>
      <c r="BS34" s="80">
        <v>1.827480364450503E-3</v>
      </c>
      <c r="BT34" s="80">
        <v>6.7690577507943835E-4</v>
      </c>
      <c r="BU34" s="80">
        <v>2.9217191651258923E-3</v>
      </c>
      <c r="BV34" s="80">
        <v>1.2830873383578305E-3</v>
      </c>
      <c r="BW34" s="80">
        <v>4.294889249408572E-4</v>
      </c>
      <c r="BX34" s="80">
        <v>4.2032015861795781E-4</v>
      </c>
      <c r="BY34" s="80">
        <v>2.2265103552841239E-3</v>
      </c>
      <c r="BZ34" s="80">
        <v>3.3484222516563675E-4</v>
      </c>
      <c r="CA34" s="80">
        <v>1.3203542549494243E-3</v>
      </c>
      <c r="CB34" s="80">
        <v>7.0676733504611408E-4</v>
      </c>
      <c r="CC34" s="80">
        <v>2.887468262092708E-3</v>
      </c>
      <c r="CD34" s="80">
        <v>1.217476870640888E-3</v>
      </c>
      <c r="CE34" s="80">
        <v>2.4433150456496108E-4</v>
      </c>
      <c r="CF34" s="80">
        <v>2.4914731963949501E-4</v>
      </c>
      <c r="CG34" s="80">
        <v>1.9430477316778282E-3</v>
      </c>
      <c r="CH34" s="80">
        <v>1.3336771773331975E-3</v>
      </c>
      <c r="CI34" s="80">
        <v>7.7948582035143002E-4</v>
      </c>
      <c r="CJ34" s="80">
        <v>2.062016895038661E-4</v>
      </c>
      <c r="CK34" s="80">
        <v>7.8172809270178817E-4</v>
      </c>
      <c r="CL34" s="80">
        <v>3.2950459048393339E-4</v>
      </c>
      <c r="CM34" s="80">
        <v>1.7436686903014604E-4</v>
      </c>
      <c r="CN34" s="80">
        <v>5.6060693942362229E-4</v>
      </c>
      <c r="CO34" s="80">
        <v>3.0269288962868671E-4</v>
      </c>
      <c r="CP34" s="80">
        <v>7.2377398560394377E-4</v>
      </c>
      <c r="CQ34" s="80">
        <v>5.013329152205486E-4</v>
      </c>
      <c r="CR34" s="80">
        <v>1.0700349654726119E-4</v>
      </c>
      <c r="CS34" s="80">
        <v>2.0179270839715282E-3</v>
      </c>
      <c r="CT34" s="80">
        <v>2.2111704372512075E-4</v>
      </c>
      <c r="CU34" s="80">
        <v>1.3431189275704529E-4</v>
      </c>
      <c r="CV34" s="80">
        <v>9.5397220078054267E-4</v>
      </c>
      <c r="CW34" s="80">
        <v>5.5147295555864806E-4</v>
      </c>
      <c r="CX34" s="80">
        <v>7.1606297633117807E-4</v>
      </c>
      <c r="CY34" s="80">
        <v>2.3322049851589072E-4</v>
      </c>
      <c r="CZ34" s="80">
        <v>1.7360259765408605E-4</v>
      </c>
      <c r="DA34" s="80">
        <v>1.0655356124553131E-3</v>
      </c>
      <c r="DB34" s="80">
        <v>9.6510089713904273E-4</v>
      </c>
      <c r="DC34" s="80">
        <v>2.1825111411009286E-4</v>
      </c>
      <c r="DD34" s="80">
        <v>7.2202831308327631E-4</v>
      </c>
      <c r="DE34" s="80">
        <v>9.118553894966907E-4</v>
      </c>
      <c r="DF34" s="80">
        <v>1.2118216838852762E-3</v>
      </c>
      <c r="DG34" s="80">
        <v>7.9017306087998901E-4</v>
      </c>
      <c r="DH34" s="80">
        <v>9.1582441945670752E-4</v>
      </c>
      <c r="DI34" s="80">
        <v>7.2202831308327631E-3</v>
      </c>
      <c r="DJ34" s="80">
        <v>6.0218539654694394E-3</v>
      </c>
      <c r="DK34" s="80">
        <v>2.6255575021210051E-3</v>
      </c>
      <c r="DL34" s="80">
        <v>9.568651101413455E-3</v>
      </c>
      <c r="DM34" s="80">
        <v>7.086906766492625E-3</v>
      </c>
      <c r="DN34" s="80">
        <v>5.6032238030533999E-4</v>
      </c>
      <c r="DO34" s="80">
        <v>9.6270441744436847E-3</v>
      </c>
      <c r="DP34" s="80">
        <v>3.0378754856874657E-3</v>
      </c>
      <c r="DQ34" s="80">
        <v>2.5895197001991163E-3</v>
      </c>
      <c r="DR34" s="80">
        <v>4.7963124764393459E-3</v>
      </c>
      <c r="DS34" s="80">
        <v>1.7154555500407322E-3</v>
      </c>
      <c r="DT34" s="80">
        <v>3.0436237850815684E-3</v>
      </c>
      <c r="DU34" s="80">
        <v>3.1599955376388445E-3</v>
      </c>
      <c r="DV34" s="80">
        <v>3.2810924638792282E-3</v>
      </c>
      <c r="DW34" s="80">
        <v>1.7096520026477621E-3</v>
      </c>
      <c r="DX34" s="80">
        <v>4.7346118890706648E-4</v>
      </c>
      <c r="DY34" s="80">
        <v>5.5946312820102299E-4</v>
      </c>
      <c r="DZ34" s="80">
        <v>3.0504943105722914E-4</v>
      </c>
      <c r="EA34" s="80">
        <v>5.5946312820102299E-4</v>
      </c>
      <c r="FF34" s="80">
        <v>1.2602676010180824E-4</v>
      </c>
      <c r="FG34" s="80">
        <v>6.9314718055994527E-5</v>
      </c>
      <c r="FH34" s="80">
        <v>2.2359586469675653E-5</v>
      </c>
      <c r="FI34" s="80">
        <v>1.2602676010180823E-5</v>
      </c>
      <c r="FJ34" s="80">
        <v>3.8508176697774738E-4</v>
      </c>
      <c r="FK34" s="80">
        <v>2.7725887222397811E-4</v>
      </c>
      <c r="FL34" s="80">
        <v>1.5068416968694464E-4</v>
      </c>
      <c r="FM34" s="80">
        <v>8.1546727124699449E-5</v>
      </c>
      <c r="FN34" s="80">
        <v>8.1546727124699449E-5</v>
      </c>
      <c r="FO34" s="80">
        <v>4.4149501946493329E-5</v>
      </c>
      <c r="FP34" s="80">
        <v>3.3007008598092633E-5</v>
      </c>
      <c r="FQ34" s="80">
        <v>1.8240715277893296E-5</v>
      </c>
      <c r="GN34" s="80">
        <f>LN(2)/(333.114*24)</f>
        <v>8.6700446463766327E-5</v>
      </c>
      <c r="GO34" s="80">
        <f>LN(2)/(328.804*24)</f>
        <v>8.7836925716630742E-5</v>
      </c>
      <c r="GP34" s="80">
        <f>LN(2)/82</f>
        <v>8.4530143970725034E-3</v>
      </c>
      <c r="GQ34" s="80">
        <f>LN(2)/(146.66*24)</f>
        <v>1.9692576383015855E-4</v>
      </c>
      <c r="GR34" s="80">
        <f>LN(2)/2880</f>
        <v>2.4067610436109211E-4</v>
      </c>
      <c r="GS34" s="80">
        <v>6.349827597654318E-5</v>
      </c>
      <c r="GT34" s="80">
        <v>6.349827597654318E-5</v>
      </c>
    </row>
    <row r="35" spans="1:206" s="80" customFormat="1" ht="17.100000000000001" customHeight="1">
      <c r="A35" s="77" t="s">
        <v>517</v>
      </c>
      <c r="B35" s="77" t="s">
        <v>499</v>
      </c>
      <c r="C35" s="77" t="s">
        <v>484</v>
      </c>
    </row>
    <row r="36" spans="1:206" s="82" customFormat="1" ht="17.100000000000001" customHeight="1">
      <c r="A36" s="340" t="s">
        <v>814</v>
      </c>
      <c r="B36" s="340" t="s">
        <v>501</v>
      </c>
      <c r="C36" s="77" t="s">
        <v>484</v>
      </c>
      <c r="AK36" s="82">
        <v>1.54806345473245E-2</v>
      </c>
      <c r="AL36" s="82">
        <v>1.3536576023516595E-2</v>
      </c>
      <c r="AM36" s="82">
        <v>0.32343629862890455</v>
      </c>
      <c r="AN36" s="82">
        <v>7.7217145094912093E-2</v>
      </c>
      <c r="AO36" s="82">
        <v>0.4363035617332221</v>
      </c>
      <c r="AP36" s="82">
        <v>0.21455178095016378</v>
      </c>
      <c r="AQ36" s="82">
        <v>8.9081753738518375E-3</v>
      </c>
      <c r="AR36" s="82">
        <v>2.4819255982955025E-2</v>
      </c>
      <c r="AS36" s="82">
        <v>9.5097284125572293E-2</v>
      </c>
      <c r="AT36" s="82">
        <v>7.5413038630397014E-2</v>
      </c>
      <c r="AU36" s="82">
        <v>4.8729141297559272E-3</v>
      </c>
      <c r="AV36" s="82">
        <v>0.29497741019071594</v>
      </c>
      <c r="AW36" s="82">
        <v>0.47416464217483256</v>
      </c>
      <c r="AX36" s="82">
        <v>6.603721635940997E-2</v>
      </c>
      <c r="AY36" s="82">
        <v>1.0593804602684491E-4</v>
      </c>
      <c r="AZ36" s="82">
        <v>1.0466193465711053E-3</v>
      </c>
      <c r="BA36" s="82">
        <v>7.30783542510021E-4</v>
      </c>
      <c r="BB36" s="82">
        <v>9.9450474290930396E-4</v>
      </c>
      <c r="BC36" s="82">
        <v>1.4783891219602205E-2</v>
      </c>
      <c r="BD36" s="82">
        <v>0.40718217544057511</v>
      </c>
      <c r="BE36" s="82">
        <v>8.1243524998362605E-3</v>
      </c>
      <c r="BF36" s="82">
        <v>4.3378819996798147E-3</v>
      </c>
      <c r="BG36" s="82">
        <v>7.4094975425989515E-2</v>
      </c>
      <c r="BH36" s="82">
        <v>4.2392473595264601E-2</v>
      </c>
      <c r="BI36" s="82">
        <v>4.6215617307403464E-2</v>
      </c>
      <c r="BJ36" s="82">
        <v>9.5528683197195152E-2</v>
      </c>
      <c r="BK36" s="82">
        <v>6.6415546986303794E-2</v>
      </c>
      <c r="BL36" s="82">
        <v>0.21364398271245547</v>
      </c>
      <c r="BM36" s="82">
        <v>0.11264354010389621</v>
      </c>
      <c r="BN36" s="82">
        <v>2.6813910678050126E-2</v>
      </c>
      <c r="BO36" s="82">
        <v>2.7847663234919953E-2</v>
      </c>
      <c r="BP36" s="82">
        <v>1.7041428598967848E-2</v>
      </c>
      <c r="BQ36" s="82">
        <v>7.7030918811808189E-3</v>
      </c>
      <c r="BR36" s="82">
        <v>9.7547084472146314E-2</v>
      </c>
      <c r="BS36" s="82">
        <v>0.71531131965777273</v>
      </c>
      <c r="BT36" s="82">
        <v>0.14560736736455226</v>
      </c>
      <c r="BU36" s="82">
        <v>0.28532811749253995</v>
      </c>
      <c r="BV36" s="82">
        <v>3.4381688670944557E-2</v>
      </c>
      <c r="BW36" s="82">
        <v>0.26383396594972824</v>
      </c>
      <c r="BX36" s="82">
        <v>7.3973286638704429E-3</v>
      </c>
      <c r="BY36" s="82">
        <v>1.5306077986542165E-2</v>
      </c>
      <c r="BZ36" s="82">
        <v>4.2040247956186251E-2</v>
      </c>
      <c r="CA36" s="82">
        <v>0.17150586318883931</v>
      </c>
      <c r="CB36" s="82">
        <v>3.1467811950334983E-2</v>
      </c>
      <c r="CC36" s="82">
        <v>2.6692086687004887E-2</v>
      </c>
      <c r="CD36" s="82">
        <v>0.61187857399265266</v>
      </c>
      <c r="CE36" s="82">
        <v>1.0424496486593098E-2</v>
      </c>
      <c r="CF36" s="82">
        <v>5.4557630272489424E-3</v>
      </c>
      <c r="CG36" s="82">
        <v>3.3590499134408279E-2</v>
      </c>
      <c r="CH36" s="82">
        <v>1.3122158608292651E-2</v>
      </c>
      <c r="CI36" s="82">
        <v>2.6696569504626802E-2</v>
      </c>
      <c r="CJ36" s="82">
        <v>2.8957666670090389E-2</v>
      </c>
      <c r="CK36" s="82">
        <v>0.42950753537041664</v>
      </c>
      <c r="CL36" s="82">
        <v>3.234362986289045E-3</v>
      </c>
      <c r="CM36" s="82">
        <v>9.1969033874328022E-3</v>
      </c>
      <c r="CN36" s="82">
        <v>4.8138426614547326E-3</v>
      </c>
      <c r="CO36" s="82">
        <v>9.2044272397278654E-3</v>
      </c>
      <c r="CP36" s="82">
        <v>4.0101476072847343E-2</v>
      </c>
      <c r="CQ36" s="82">
        <v>3.4042678521035144E-3</v>
      </c>
      <c r="CR36" s="82">
        <v>5.1261198789177044E-3</v>
      </c>
      <c r="CS36" s="82">
        <v>0.13733216697958903</v>
      </c>
      <c r="CT36" s="82">
        <v>6.0573226162574916E-3</v>
      </c>
      <c r="CU36" s="82">
        <v>4.5135650276091855E-3</v>
      </c>
      <c r="CV36" s="82">
        <v>9.4781174811369717E-2</v>
      </c>
      <c r="CW36" s="82">
        <v>0.40110464272188034</v>
      </c>
      <c r="CX36" s="82">
        <v>7.2723960101714683E-2</v>
      </c>
      <c r="CY36" s="82">
        <v>0.17642160092926129</v>
      </c>
      <c r="CZ36" s="82">
        <v>2.2270931936549249E-3</v>
      </c>
      <c r="DA36" s="82">
        <v>4.3128072733741252E-2</v>
      </c>
      <c r="DB36" s="82">
        <v>1.3860814722024146E-2</v>
      </c>
      <c r="DC36" s="82">
        <v>1.1214728350861083E-2</v>
      </c>
      <c r="DD36" s="82">
        <v>0.2481925598295503</v>
      </c>
      <c r="DE36" s="82">
        <v>5.7516011031098126E-3</v>
      </c>
      <c r="DF36" s="82">
        <v>5.8182015050044543E-3</v>
      </c>
      <c r="DG36" s="82">
        <v>0.25988951481135297</v>
      </c>
      <c r="DH36" s="82">
        <v>0.30887926724081904</v>
      </c>
      <c r="DI36" s="82">
        <v>1.0466193465711053E-2</v>
      </c>
      <c r="DJ36" s="82">
        <v>2.5447802236226214E-2</v>
      </c>
      <c r="DK36" s="82">
        <v>7.3246817255891772E-2</v>
      </c>
      <c r="DL36" s="82">
        <v>0.18159145359528908</v>
      </c>
      <c r="DM36" s="82">
        <v>3.1607398962834439E-2</v>
      </c>
      <c r="DN36" s="82">
        <v>4.9316856046101733E-2</v>
      </c>
      <c r="DO36" s="82">
        <v>0.12102471035971225</v>
      </c>
      <c r="DP36" s="82">
        <v>6.3368150539410389E-2</v>
      </c>
      <c r="DQ36" s="82">
        <v>8.7260211923420108E-2</v>
      </c>
      <c r="DR36" s="82">
        <v>0.19673347692517007</v>
      </c>
      <c r="DS36" s="82">
        <v>5.5338159905923286E-2</v>
      </c>
      <c r="DT36" s="82">
        <v>0.56357379976903754</v>
      </c>
      <c r="DU36" s="82">
        <v>0.50882281040618416</v>
      </c>
      <c r="DV36" s="82">
        <v>0.32869447004751051</v>
      </c>
      <c r="DW36" s="82">
        <v>1.8188159678563963E-3</v>
      </c>
      <c r="DX36" s="82">
        <v>4.7292117324595109E-2</v>
      </c>
      <c r="DY36" s="82">
        <v>1.8784029357846487E-3</v>
      </c>
      <c r="DZ36" s="82">
        <v>2.316267738867422E-3</v>
      </c>
      <c r="EA36" s="82">
        <v>1.4547886651513893E-2</v>
      </c>
      <c r="FF36" s="82">
        <f>LN(2)/(76*24)</f>
        <v>3.8001490162277701E-4</v>
      </c>
      <c r="FG36" s="82">
        <f>10^AVERAGE(-3.29,-2.15)/24</f>
        <v>7.9394196581801976E-5</v>
      </c>
      <c r="FH36" s="82">
        <f>10^AVERAGE(-3.14,-2.02,-2.01,-1.93,-2.33)/24</f>
        <v>2.1566951331273646E-4</v>
      </c>
      <c r="FI36" s="82">
        <f>10^AVERAGE(-3.06,-2.06,-3.55)/24</f>
        <v>5.3677064653880544E-5</v>
      </c>
      <c r="FJ36" s="82">
        <f>LN(2)/367.3</f>
        <v>1.88714179297562E-3</v>
      </c>
      <c r="FK36" s="82">
        <f>LN(2)/(10^1.25301658683859*24)</f>
        <v>1.6128635698112398E-3</v>
      </c>
      <c r="FL36" s="82">
        <f>LN(2)/(10^1.59692102394187*24)</f>
        <v>7.3062275727036187E-4</v>
      </c>
      <c r="FM36" s="82">
        <f>LN(2)/(10^1.95198659117461*24)</f>
        <v>3.225727139622471E-4</v>
      </c>
      <c r="FN36" s="82">
        <f>LN(2)/(10^1.95198659117461*24)</f>
        <v>3.225727139622471E-4</v>
      </c>
      <c r="FO36" s="82">
        <f>LN(2)/(10^2.01099664913369*24)</f>
        <v>2.8159022200247399E-4</v>
      </c>
      <c r="FP36" s="82">
        <f>LN(2)/(10^1.65095659551063*24)</f>
        <v>6.4514542792449257E-4</v>
      </c>
      <c r="FQ36" s="82">
        <f>LN(2)/(10^1.16192102394187*24)</f>
        <v>1.9892675369315048E-3</v>
      </c>
      <c r="GN36" s="82">
        <f>LN(2)/(24*10^1.7208)</f>
        <v>5.4930584384808617E-4</v>
      </c>
      <c r="GO36" s="82">
        <f>LN(2)/(24*10^1.3658)</f>
        <v>1.2439823523981714E-3</v>
      </c>
      <c r="GP36" s="82">
        <f>LN(2)/(24*10^1.9858)</f>
        <v>2.984105817612037E-4</v>
      </c>
      <c r="GQ36" s="82">
        <f>LN(2)/(24*10^1.4458)</f>
        <v>1.0346994526158747E-3</v>
      </c>
      <c r="GR36" s="82">
        <f>LN(2)/56</f>
        <v>1.2377628224284737E-2</v>
      </c>
      <c r="GS36" s="82">
        <v>1.3740107054134938E-3</v>
      </c>
      <c r="GT36" s="82">
        <v>1.304067677766031E-4</v>
      </c>
      <c r="GX36" s="82">
        <f>LN(2)/9.76</f>
        <v>7.1019178336059974E-2</v>
      </c>
    </row>
    <row r="37" spans="1:206" s="82" customFormat="1" ht="17.100000000000001" customHeight="1">
      <c r="A37" s="340" t="s">
        <v>816</v>
      </c>
      <c r="B37" s="340" t="s">
        <v>500</v>
      </c>
      <c r="C37" s="77" t="s">
        <v>484</v>
      </c>
    </row>
    <row r="38" spans="1:206" s="82" customFormat="1" ht="17.100000000000001" customHeight="1">
      <c r="A38" s="340" t="s">
        <v>815</v>
      </c>
      <c r="B38" s="340" t="s">
        <v>502</v>
      </c>
      <c r="C38" s="77" t="s">
        <v>484</v>
      </c>
    </row>
    <row r="39" spans="1:206" s="82" customFormat="1" ht="17.100000000000001" customHeight="1">
      <c r="A39" s="340" t="s">
        <v>819</v>
      </c>
      <c r="B39" s="340" t="s">
        <v>503</v>
      </c>
      <c r="C39" s="77" t="s">
        <v>484</v>
      </c>
      <c r="GS39" s="82">
        <v>9.8598460961585383E-5</v>
      </c>
      <c r="GT39" s="82">
        <v>2.8761293799167853E-5</v>
      </c>
      <c r="GX39" s="82">
        <f>LN(2)/6.34/3</f>
        <v>3.6443069430070731E-2</v>
      </c>
    </row>
    <row r="40" spans="1:206" s="82" customFormat="1" ht="17.100000000000001" customHeight="1">
      <c r="A40" s="340" t="s">
        <v>813</v>
      </c>
      <c r="B40" s="340" t="s">
        <v>504</v>
      </c>
      <c r="C40" s="77" t="s">
        <v>484</v>
      </c>
      <c r="AK40" s="82">
        <v>0.34825267502535107</v>
      </c>
      <c r="AL40" s="82">
        <v>1.2160883354841025E-2</v>
      </c>
      <c r="AM40" s="82">
        <v>2.1975332809310875E-2</v>
      </c>
      <c r="AN40" s="82">
        <v>2.2817363495223956E-2</v>
      </c>
      <c r="AO40" s="82">
        <v>0.20193776076871311</v>
      </c>
      <c r="AP40" s="82">
        <v>0.29297603196084648</v>
      </c>
      <c r="AQ40" s="82">
        <v>7.0076598873172642E-3</v>
      </c>
      <c r="AR40" s="82">
        <v>3.210947766285125E-2</v>
      </c>
      <c r="AS40" s="82">
        <v>0.1459586650889233</v>
      </c>
      <c r="AT40" s="82">
        <v>1.0587855021354089E-2</v>
      </c>
      <c r="AU40" s="82">
        <v>4.9422066499805245E-3</v>
      </c>
      <c r="AV40" s="82">
        <v>0.16616154552650095</v>
      </c>
      <c r="AW40" s="82">
        <v>7.6848026282849105E-2</v>
      </c>
      <c r="AX40" s="82">
        <v>3.4254021502596037E-2</v>
      </c>
      <c r="AY40" s="82">
        <v>2.8142139693640389E-5</v>
      </c>
      <c r="AZ40" s="82">
        <v>3.4977228024590573E-4</v>
      </c>
      <c r="BA40" s="82">
        <v>3.4977228024590573E-4</v>
      </c>
      <c r="BB40" s="82">
        <v>3.4977228024590573E-4</v>
      </c>
      <c r="BC40" s="82">
        <v>4.1737480091330548E-2</v>
      </c>
      <c r="BD40" s="82">
        <v>4.6203932193356119E-2</v>
      </c>
      <c r="BE40" s="82">
        <v>6.2954874328422367E-2</v>
      </c>
      <c r="BF40" s="82">
        <v>1.4148055540769283E-2</v>
      </c>
      <c r="BG40" s="82">
        <v>4.3547338193924659E-2</v>
      </c>
      <c r="BH40" s="82">
        <v>3.7339186139097574E-3</v>
      </c>
      <c r="BI40" s="82">
        <v>2.2046794856461386E-2</v>
      </c>
      <c r="BJ40" s="82">
        <v>0.20327524605401448</v>
      </c>
      <c r="BK40" s="82">
        <v>8.1214844964789413E-3</v>
      </c>
      <c r="BL40" s="82">
        <v>2.0564231824418563E-2</v>
      </c>
      <c r="BM40" s="82">
        <v>0.33301301633496044</v>
      </c>
      <c r="BN40" s="82">
        <v>3.3601874618117838E-2</v>
      </c>
      <c r="BO40" s="82">
        <v>3.4154680106639253E-2</v>
      </c>
      <c r="BP40" s="82">
        <v>4.3123179543425143E-2</v>
      </c>
      <c r="BQ40" s="82">
        <v>3.09404642267709E-3</v>
      </c>
      <c r="BR40" s="82">
        <v>5.3625444854755441E-2</v>
      </c>
      <c r="BS40" s="82">
        <v>0.21637332222027922</v>
      </c>
      <c r="BT40" s="82">
        <v>4.711387768625698E-2</v>
      </c>
      <c r="BU40" s="82">
        <v>0.13879527406400879</v>
      </c>
      <c r="BV40" s="82">
        <v>0.13773563435223679</v>
      </c>
      <c r="BW40" s="82">
        <v>2.3342102201680547E-2</v>
      </c>
      <c r="BX40" s="82">
        <v>4.5389303297050853E-3</v>
      </c>
      <c r="BY40" s="82">
        <v>1.4336120631425125E-2</v>
      </c>
      <c r="BZ40" s="82">
        <v>4.5842100172935512E-3</v>
      </c>
      <c r="CA40" s="82">
        <v>7.7704647820072692E-2</v>
      </c>
      <c r="CB40" s="82">
        <v>3.1985117619865604E-2</v>
      </c>
      <c r="CC40" s="82">
        <v>3.898724892355495E-2</v>
      </c>
      <c r="CD40" s="82">
        <v>0.2142680548177707</v>
      </c>
      <c r="CE40" s="82">
        <v>1.2201041459878245E-3</v>
      </c>
      <c r="CF40" s="82">
        <v>4.705784183805177E-3</v>
      </c>
      <c r="CG40" s="82">
        <v>3.6304931222178378E-2</v>
      </c>
      <c r="CH40" s="82">
        <v>1.6647549058035942E-2</v>
      </c>
      <c r="CI40" s="82">
        <v>9.0080895513247855E-2</v>
      </c>
      <c r="CJ40" s="82">
        <v>1.2122210746589963E-3</v>
      </c>
      <c r="CK40" s="82">
        <v>0.15001308532062174</v>
      </c>
      <c r="CL40" s="82">
        <v>1.5820849653732949E-3</v>
      </c>
      <c r="CM40" s="82">
        <v>9.7716681019474227E-2</v>
      </c>
      <c r="CN40" s="82">
        <v>3.1034376499119949E-2</v>
      </c>
      <c r="CO40" s="82">
        <v>3.3297998349579111E-2</v>
      </c>
      <c r="CP40" s="82">
        <v>0.27571146890610393</v>
      </c>
      <c r="CQ40" s="82">
        <v>2.1386218315025653E-2</v>
      </c>
      <c r="CR40" s="82">
        <v>7.0842065816793625E-4</v>
      </c>
      <c r="CS40" s="82">
        <v>6.7906488778502097E-2</v>
      </c>
      <c r="CT40" s="82">
        <v>3.5365168448987905E-2</v>
      </c>
      <c r="CU40" s="82">
        <v>2.2971341961933889E-2</v>
      </c>
      <c r="CV40" s="82">
        <v>0.13319169253068266</v>
      </c>
      <c r="CW40" s="82">
        <v>4.8910567885625589E-2</v>
      </c>
      <c r="CX40" s="82">
        <v>0.30259812533017288</v>
      </c>
      <c r="CY40" s="82">
        <v>2.4032359943875637E-2</v>
      </c>
      <c r="CZ40" s="82">
        <v>1.66750573748683E-3</v>
      </c>
      <c r="DA40" s="82">
        <v>2.9014117617857122E-2</v>
      </c>
      <c r="DB40" s="82">
        <v>4.0336233422815955E-2</v>
      </c>
      <c r="DC40" s="82">
        <v>0.12833038876134423</v>
      </c>
      <c r="DD40" s="82">
        <v>0.15214934352005596</v>
      </c>
      <c r="DE40" s="82">
        <v>4.104083156699647E-2</v>
      </c>
      <c r="DF40" s="82">
        <v>6.4269527417926284E-2</v>
      </c>
      <c r="DG40" s="82">
        <v>0.13734425731429906</v>
      </c>
      <c r="DH40" s="82">
        <v>0.15328276979922004</v>
      </c>
      <c r="DI40" s="82">
        <v>2.7448845261183683</v>
      </c>
      <c r="DJ40" s="82">
        <v>0.93188100857181111</v>
      </c>
      <c r="DK40" s="82">
        <v>0.32764907952654188</v>
      </c>
      <c r="DL40" s="82">
        <v>0.35436568351331527</v>
      </c>
      <c r="DM40" s="82">
        <v>0.19078437521506242</v>
      </c>
      <c r="DN40" s="82">
        <v>0.22485254184964981</v>
      </c>
      <c r="DO40" s="82">
        <v>0.4232487536343062</v>
      </c>
      <c r="DP40" s="82">
        <v>0.42866365371878007</v>
      </c>
      <c r="DQ40" s="82">
        <v>0.48053180642022364</v>
      </c>
      <c r="DR40" s="82">
        <v>8.7080539933997406E-2</v>
      </c>
      <c r="DS40" s="82">
        <v>5.6593152198880316E-2</v>
      </c>
      <c r="DT40" s="82">
        <v>0.28727198104954127</v>
      </c>
      <c r="DU40" s="82">
        <v>0.30668787492287197</v>
      </c>
      <c r="DV40" s="82">
        <v>0.30213719301313441</v>
      </c>
      <c r="DW40" s="82">
        <v>8.4221503591105126E-2</v>
      </c>
      <c r="DX40" s="82">
        <v>3.2490387807199476E-2</v>
      </c>
      <c r="DY40" s="82">
        <v>1.8192006829365399E-2</v>
      </c>
      <c r="DZ40" s="82">
        <v>1.0509168391394999E-2</v>
      </c>
      <c r="EA40" s="82">
        <v>2.6652136373088116E-2</v>
      </c>
      <c r="EB40" s="82">
        <v>0.19692452917614794</v>
      </c>
      <c r="EC40" s="82">
        <v>0.30200795718596535</v>
      </c>
      <c r="ED40" s="82">
        <v>0.26734263247218076</v>
      </c>
      <c r="EE40" s="82">
        <v>0.34968830300239034</v>
      </c>
      <c r="EF40" s="82">
        <v>0.40197690093518507</v>
      </c>
      <c r="EG40" s="82">
        <v>0.15926106694597728</v>
      </c>
      <c r="EH40" s="82">
        <v>0.21950007226281276</v>
      </c>
      <c r="EI40" s="82">
        <v>0.34126504019242693</v>
      </c>
      <c r="EJ40" s="82">
        <v>0.32453232909225688</v>
      </c>
      <c r="EK40" s="82">
        <v>0.43511668159698386</v>
      </c>
      <c r="EL40" s="82">
        <v>0.45941438428712061</v>
      </c>
      <c r="EM40" s="82">
        <v>0.15152374064775406</v>
      </c>
      <c r="EN40" s="82">
        <v>0.17934754305691927</v>
      </c>
      <c r="EO40" s="82">
        <v>0.36256463409649514</v>
      </c>
      <c r="EP40" s="82">
        <v>0.41921381726509227</v>
      </c>
      <c r="EQ40" s="82">
        <v>0.24495674171551693</v>
      </c>
      <c r="ER40" s="82">
        <v>0.33185472501341673</v>
      </c>
      <c r="ES40" s="82">
        <v>0.40500893910100544</v>
      </c>
      <c r="ET40" s="82">
        <v>0.40500893910100544</v>
      </c>
      <c r="EU40" s="82">
        <v>0.40500893910100544</v>
      </c>
      <c r="EV40" s="82">
        <v>0.16725047503059068</v>
      </c>
      <c r="EW40" s="82">
        <v>0.14616489316462047</v>
      </c>
      <c r="EX40" s="82">
        <v>0.23459996907131359</v>
      </c>
      <c r="EY40" s="82">
        <v>0.29776706344108222</v>
      </c>
      <c r="EZ40" s="82">
        <v>0.29776706344108222</v>
      </c>
      <c r="FA40" s="82">
        <v>0.25063681220807077</v>
      </c>
      <c r="FB40" s="82">
        <v>0.29816372640548883</v>
      </c>
      <c r="FC40" s="82">
        <v>0.42727095122433384</v>
      </c>
      <c r="FD40" s="82">
        <v>0.29165642635263522</v>
      </c>
      <c r="FE40" s="82">
        <v>0.49050902474401653</v>
      </c>
      <c r="FF40" s="82">
        <f>GEOMEAN(LN(2)/(5.5*365*24),LN(2)/10^3.72)</f>
        <v>4.359052134295914E-5</v>
      </c>
      <c r="FG40" s="82">
        <f>LN(2)/(2.6*365*24)</f>
        <v>3.0433227105722921E-5</v>
      </c>
      <c r="FH40" s="82">
        <f>LN(2)/(9.3*365*24)</f>
        <v>8.5082140295569446E-6</v>
      </c>
      <c r="FI40" s="82">
        <f>GEOMEAN(LN(2)/(14.4*365*24),LN(2)/(10^5.14042011912))</f>
        <v>5.2502756139469277E-6</v>
      </c>
      <c r="FJ40" s="82">
        <f>LN(2)/458.76</f>
        <v>1.5109145970876826E-3</v>
      </c>
      <c r="FK40" s="82">
        <f>LN(2)/10^4.19</f>
        <v>4.4753340847197549E-5</v>
      </c>
      <c r="FL40" s="82">
        <f>LN(2)/10^4.19</f>
        <v>4.4753340847197549E-5</v>
      </c>
      <c r="FM40" s="82">
        <f>LN(2)/4336.3</f>
        <v>1.5984760753636631E-4</v>
      </c>
      <c r="FN40" s="82">
        <f>LN(2)/10^4.15</f>
        <v>4.9071062443516353E-5</v>
      </c>
      <c r="FO40" s="82">
        <f>LN(2)/10^4.72</f>
        <v>1.3207647243239525E-5</v>
      </c>
      <c r="FP40" s="82">
        <f>LN(2)/81622</f>
        <v>8.4921611888944812E-6</v>
      </c>
      <c r="FQ40" s="82">
        <f>LN(2)/10^2.46</f>
        <v>2.4033967028740757E-3</v>
      </c>
      <c r="FR40" s="82">
        <v>6.2148000000000002E-2</v>
      </c>
      <c r="FS40" s="82">
        <v>6.8276773999999998E-2</v>
      </c>
      <c r="FT40" s="82">
        <v>7.3409751999999995E-2</v>
      </c>
      <c r="FU40" s="82">
        <v>7.7738000000000002E-2</v>
      </c>
      <c r="FV40" s="82">
        <v>8.1414E-2</v>
      </c>
      <c r="FW40" s="82">
        <v>8.4554000000000004E-2</v>
      </c>
      <c r="FX40" s="82">
        <v>5.9395000000000003E-2</v>
      </c>
      <c r="FY40" s="82">
        <v>6.3270999999999994E-2</v>
      </c>
      <c r="FZ40" s="82">
        <v>4.1672000000000001E-2</v>
      </c>
      <c r="GA40" s="82">
        <v>4.7726999999999999E-2</v>
      </c>
      <c r="GB40" s="82">
        <v>4.4847999999999999E-2</v>
      </c>
      <c r="GC40" s="82">
        <v>7.7738000000000002E-2</v>
      </c>
      <c r="GD40" s="82">
        <v>6.2571000000000002E-2</v>
      </c>
      <c r="GE40" s="82">
        <v>4.1818000000000001E-2</v>
      </c>
      <c r="GF40" s="82">
        <v>0.12661700000000001</v>
      </c>
      <c r="GG40" s="82">
        <v>0.44770100000000002</v>
      </c>
      <c r="GH40" s="82">
        <v>0.43524499999999999</v>
      </c>
      <c r="GI40" s="82">
        <v>1.5225000000000001E-2</v>
      </c>
      <c r="GJ40" s="82">
        <v>7.9283000000000006E-2</v>
      </c>
      <c r="GK40" s="82">
        <v>0.129465</v>
      </c>
      <c r="GL40" s="82">
        <v>4.2030000000000001E-3</v>
      </c>
      <c r="GM40" s="82">
        <v>4.9940000000000002E-3</v>
      </c>
      <c r="GN40" s="82">
        <f>LN(2)/3006.43</f>
        <v>2.305549041753659E-4</v>
      </c>
      <c r="GO40" s="82">
        <f>LN(2)/3006.43</f>
        <v>2.305549041753659E-4</v>
      </c>
      <c r="GP40" s="82">
        <f>LN(2)/2610.01</f>
        <v>2.6557261487884922E-4</v>
      </c>
      <c r="GQ40" s="82">
        <f>LN(2)/10293.23</f>
        <v>6.7340104181092358E-5</v>
      </c>
      <c r="GR40" s="82">
        <f>LN(2)/80</f>
        <v>8.6643397569993157E-3</v>
      </c>
      <c r="GS40" s="82">
        <v>9.8598460961585383E-5</v>
      </c>
      <c r="GT40" s="82">
        <v>2.8761293799167853E-5</v>
      </c>
      <c r="GU40" s="82">
        <v>0.153</v>
      </c>
      <c r="GV40" s="82">
        <v>0.23200000000000001</v>
      </c>
      <c r="GW40" s="82">
        <v>0.39400000000000002</v>
      </c>
      <c r="GX40" s="82">
        <f>LN(2)/6.34/3</f>
        <v>3.6443069430070731E-2</v>
      </c>
    </row>
    <row r="41" spans="1:206" s="80" customFormat="1" ht="17.100000000000001" customHeight="1">
      <c r="A41" s="77" t="s">
        <v>518</v>
      </c>
      <c r="B41" s="77" t="s">
        <v>505</v>
      </c>
      <c r="C41" s="77" t="s">
        <v>482</v>
      </c>
    </row>
    <row r="42" spans="1:206" s="80" customFormat="1" ht="17.100000000000001" customHeight="1">
      <c r="A42" s="77" t="s">
        <v>1126</v>
      </c>
      <c r="B42" s="77" t="s">
        <v>506</v>
      </c>
      <c r="C42" s="77" t="s">
        <v>482</v>
      </c>
    </row>
    <row r="43" spans="1:206" s="80" customFormat="1" ht="17.100000000000001" customHeight="1">
      <c r="A43" s="77" t="s">
        <v>519</v>
      </c>
      <c r="B43" s="77" t="s">
        <v>507</v>
      </c>
      <c r="C43" s="77" t="s">
        <v>482</v>
      </c>
    </row>
    <row r="44" spans="1:206" s="80" customFormat="1" ht="17.100000000000001" customHeight="1">
      <c r="A44" s="77" t="s">
        <v>520</v>
      </c>
      <c r="B44" s="77" t="s">
        <v>508</v>
      </c>
      <c r="C44" s="77" t="s">
        <v>482</v>
      </c>
    </row>
    <row r="45" spans="1:206" s="80" customFormat="1" ht="17.100000000000001" customHeight="1">
      <c r="A45" s="77" t="s">
        <v>521</v>
      </c>
      <c r="B45" s="77" t="s">
        <v>509</v>
      </c>
      <c r="C45" s="77" t="s">
        <v>482</v>
      </c>
    </row>
    <row r="46" spans="1:206" s="80" customFormat="1" ht="17.100000000000001" customHeight="1">
      <c r="A46" s="77" t="s">
        <v>723</v>
      </c>
      <c r="B46" s="77" t="s">
        <v>724</v>
      </c>
      <c r="C46" s="77" t="s">
        <v>722</v>
      </c>
      <c r="AK46" s="80">
        <v>1.7378008287493744E-5</v>
      </c>
      <c r="AL46" s="80">
        <v>1.5488166189124811E-5</v>
      </c>
      <c r="AM46" s="80">
        <v>3.8904514499428046E-5</v>
      </c>
      <c r="AN46" s="80">
        <v>2.1379620895022286E-5</v>
      </c>
      <c r="AO46" s="80">
        <v>5.12861383991364E-5</v>
      </c>
      <c r="AP46" s="80">
        <v>1.4791083881682046E-5</v>
      </c>
      <c r="AQ46" s="80">
        <v>2.4547089156850252E-5</v>
      </c>
      <c r="AR46" s="80">
        <v>2.3442288153199218E-5</v>
      </c>
      <c r="AS46" s="80">
        <v>2.0892961308540399E-5</v>
      </c>
      <c r="AT46" s="80">
        <v>1.3803842646028827E-5</v>
      </c>
      <c r="AU46" s="80">
        <v>1.0232929922807521E-5</v>
      </c>
      <c r="AV46" s="80">
        <v>1.6595869074375568E-5</v>
      </c>
      <c r="AW46" s="80">
        <v>7.4131024130091704E-6</v>
      </c>
      <c r="AX46" s="80">
        <v>1.071519305237606E-5</v>
      </c>
      <c r="AY46" s="80">
        <v>1.7378008287493744E-5</v>
      </c>
      <c r="AZ46" s="80">
        <v>6.1659500186148109E-6</v>
      </c>
      <c r="BA46" s="80">
        <v>6.1659500186148109E-6</v>
      </c>
      <c r="BB46" s="80">
        <v>6.1659500186148109E-6</v>
      </c>
      <c r="BC46" s="80">
        <v>2.0417379446695267E-5</v>
      </c>
      <c r="BD46" s="80">
        <v>4.8977881936844635E-5</v>
      </c>
      <c r="BE46" s="80">
        <v>1.6982436524617432E-5</v>
      </c>
      <c r="BF46" s="80">
        <v>1.2302687708123802E-5</v>
      </c>
      <c r="BG46" s="80">
        <v>1.3182567385564052E-5</v>
      </c>
      <c r="BH46" s="80">
        <v>1.0232929922807521E-5</v>
      </c>
      <c r="BI46" s="80">
        <v>1.2302687708123802E-5</v>
      </c>
      <c r="BJ46" s="80">
        <v>3.8904514499428046E-5</v>
      </c>
      <c r="BK46" s="80">
        <v>2.4547089156850252E-5</v>
      </c>
      <c r="BL46" s="80">
        <v>1.5488166189124811E-5</v>
      </c>
      <c r="BM46" s="80">
        <v>3.1622776601683748E-5</v>
      </c>
      <c r="BN46" s="80">
        <v>1.2302687708123802E-5</v>
      </c>
      <c r="BO46" s="80">
        <v>1.071519305237606E-5</v>
      </c>
      <c r="BP46" s="80">
        <v>1.7378008287493744E-5</v>
      </c>
      <c r="BQ46" s="80">
        <v>1.5488166189124811E-5</v>
      </c>
      <c r="BR46" s="80">
        <v>2.9512092266663827E-5</v>
      </c>
      <c r="BS46" s="80">
        <v>4.0738027780411247E-5</v>
      </c>
      <c r="BT46" s="80">
        <v>2.6915348039269089E-5</v>
      </c>
      <c r="BU46" s="80">
        <v>3.8904514499428046E-5</v>
      </c>
      <c r="BV46" s="80">
        <v>2.6302679918953804E-5</v>
      </c>
      <c r="BW46" s="80">
        <v>3.5481338923357504E-6</v>
      </c>
      <c r="BX46" s="80">
        <v>1.6218100973589292E-5</v>
      </c>
      <c r="BY46" s="80">
        <v>1.7782794100389215E-5</v>
      </c>
      <c r="BZ46" s="80">
        <v>1.7378008287493744E-5</v>
      </c>
      <c r="CA46" s="80">
        <v>2.8183829312644511E-5</v>
      </c>
      <c r="CB46" s="80">
        <v>5.2480746024977172E-5</v>
      </c>
      <c r="CC46" s="80">
        <v>2.3442288153199218E-5</v>
      </c>
      <c r="CD46" s="80">
        <v>5.7543993733715608E-6</v>
      </c>
      <c r="CE46" s="80">
        <v>1.7378008287493744E-5</v>
      </c>
      <c r="CF46" s="80">
        <v>2.754228703338164E-5</v>
      </c>
      <c r="CG46" s="80">
        <v>2.9512092266663827E-5</v>
      </c>
      <c r="CH46" s="80">
        <v>4.8977881936844583E-6</v>
      </c>
      <c r="CI46" s="80">
        <v>1.6218100973589292E-5</v>
      </c>
      <c r="CJ46" s="80">
        <v>1.0471285480508972E-5</v>
      </c>
      <c r="CK46" s="80">
        <v>5.6234132519034872E-7</v>
      </c>
      <c r="CL46" s="80">
        <v>1.6982436524617432E-5</v>
      </c>
      <c r="CM46" s="80">
        <v>2.1877616239495489E-5</v>
      </c>
      <c r="CN46" s="80">
        <v>1.3803842646028827E-5</v>
      </c>
      <c r="CO46" s="80">
        <v>2.2908676527677729E-5</v>
      </c>
      <c r="CP46" s="80">
        <v>1.5488166189124811E-5</v>
      </c>
      <c r="CQ46" s="80">
        <v>2.3442288153199218E-5</v>
      </c>
      <c r="CR46" s="80">
        <v>1.6218100973589292E-5</v>
      </c>
      <c r="CS46" s="80">
        <v>9.1201083935590828E-6</v>
      </c>
      <c r="CT46" s="80">
        <v>1.9054607179632454E-5</v>
      </c>
      <c r="CU46" s="80">
        <v>1.9498445997580432E-5</v>
      </c>
      <c r="CV46" s="80">
        <v>1.5135612484362051E-5</v>
      </c>
      <c r="CW46" s="80">
        <v>3.2359365692962763E-7</v>
      </c>
      <c r="CX46" s="80">
        <v>3.8904514499428046E-5</v>
      </c>
      <c r="CY46" s="80">
        <v>1.445439770745926E-6</v>
      </c>
      <c r="CZ46" s="80">
        <v>1.0000000000000001E-5</v>
      </c>
      <c r="DA46" s="80">
        <v>1.9498445997580432E-5</v>
      </c>
      <c r="DB46" s="80">
        <v>1.4791083881682046E-5</v>
      </c>
      <c r="DC46" s="80">
        <v>1.2022644346174118E-5</v>
      </c>
      <c r="DD46" s="80">
        <v>1.1748975549395286E-5</v>
      </c>
      <c r="DE46" s="80">
        <v>7.4131024130091704E-6</v>
      </c>
      <c r="DF46" s="80">
        <v>9.5499258602143587E-6</v>
      </c>
      <c r="DG46" s="80">
        <v>9.7723722095581059E-6</v>
      </c>
      <c r="DH46" s="80">
        <v>4.1686938347033504E-5</v>
      </c>
      <c r="DI46" s="80">
        <v>1.2302687708123802E-5</v>
      </c>
      <c r="DJ46" s="80">
        <v>1.6218100973589276E-6</v>
      </c>
      <c r="DK46" s="80">
        <v>1.8197008586099817E-5</v>
      </c>
      <c r="DL46" s="80">
        <v>1.5848931924611131E-5</v>
      </c>
      <c r="DM46" s="80">
        <v>1.5848931924611111E-6</v>
      </c>
      <c r="DN46" s="80">
        <v>1.8620871366628623E-5</v>
      </c>
      <c r="DO46" s="80">
        <v>1.8197008586099817E-5</v>
      </c>
      <c r="DP46" s="80">
        <v>1.5848931924611131E-5</v>
      </c>
      <c r="DQ46" s="80">
        <v>1.2302687708123802E-5</v>
      </c>
      <c r="DR46" s="80">
        <v>3.2359365692962775E-5</v>
      </c>
      <c r="DS46" s="80">
        <v>1.0471285480508972E-5</v>
      </c>
      <c r="DT46" s="80">
        <v>4.0738027780411247E-5</v>
      </c>
      <c r="DU46" s="80">
        <v>1.5488166189124811E-5</v>
      </c>
      <c r="DV46" s="80">
        <v>3.4673685045253161E-5</v>
      </c>
      <c r="DW46" s="80">
        <v>1.7378008287493744E-5</v>
      </c>
      <c r="DX46" s="80">
        <v>2.8183829312644511E-5</v>
      </c>
      <c r="DY46" s="80">
        <v>1.8197008586099817E-5</v>
      </c>
      <c r="DZ46" s="80">
        <v>3.090295432513586E-5</v>
      </c>
      <c r="EA46" s="80">
        <v>1.5488166189124811E-5</v>
      </c>
      <c r="GU46" s="80">
        <v>2.3442300000000001E-5</v>
      </c>
      <c r="GV46" s="80">
        <v>3.6601599999999999E-5</v>
      </c>
      <c r="GW46" s="80">
        <v>3.6601599999999999E-5</v>
      </c>
      <c r="GX46" s="80">
        <f>10^(-4.85)</f>
        <v>1.4125375446227545E-5</v>
      </c>
    </row>
    <row r="47" spans="1:206" s="80" customFormat="1" ht="17.100000000000001" customHeight="1">
      <c r="A47" s="77" t="s">
        <v>958</v>
      </c>
      <c r="B47" s="77" t="s">
        <v>960</v>
      </c>
      <c r="C47" s="418" t="s">
        <v>429</v>
      </c>
      <c r="FF47" s="80">
        <v>0.995</v>
      </c>
      <c r="FG47" s="80">
        <v>0.995</v>
      </c>
      <c r="FH47" s="80">
        <v>0.995</v>
      </c>
      <c r="FI47" s="80">
        <v>0.995</v>
      </c>
      <c r="FJ47" s="80">
        <v>0.995</v>
      </c>
      <c r="FK47" s="80">
        <v>0.995</v>
      </c>
      <c r="FL47" s="80">
        <v>0.995</v>
      </c>
      <c r="FM47" s="80">
        <v>0.995</v>
      </c>
      <c r="FN47" s="80">
        <v>0.995</v>
      </c>
      <c r="FO47" s="80">
        <v>0.995</v>
      </c>
      <c r="FP47" s="80">
        <v>0.995</v>
      </c>
      <c r="FQ47" s="80">
        <v>0.995</v>
      </c>
      <c r="GX47" s="80">
        <v>1E-10</v>
      </c>
    </row>
    <row r="48" spans="1:206" s="80" customFormat="1" ht="17.100000000000001" customHeight="1">
      <c r="A48" s="77" t="s">
        <v>959</v>
      </c>
      <c r="B48" s="77" t="s">
        <v>961</v>
      </c>
      <c r="C48" s="418" t="s">
        <v>429</v>
      </c>
      <c r="FF48" s="80">
        <v>1</v>
      </c>
      <c r="FG48" s="80">
        <v>1</v>
      </c>
      <c r="FH48" s="80">
        <v>1</v>
      </c>
      <c r="FI48" s="80">
        <v>1</v>
      </c>
      <c r="FJ48" s="80">
        <v>1</v>
      </c>
      <c r="FK48" s="80">
        <v>1</v>
      </c>
      <c r="FL48" s="80">
        <v>1</v>
      </c>
      <c r="FM48" s="80">
        <v>1</v>
      </c>
      <c r="FN48" s="80">
        <v>1</v>
      </c>
      <c r="FO48" s="80">
        <v>1</v>
      </c>
      <c r="FP48" s="80">
        <v>1</v>
      </c>
      <c r="FQ48" s="80">
        <v>1</v>
      </c>
      <c r="GX48" s="80">
        <v>1</v>
      </c>
    </row>
    <row r="49" spans="1:200" s="80" customFormat="1" ht="17.100000000000001" customHeight="1">
      <c r="A49" s="77" t="s">
        <v>700</v>
      </c>
      <c r="B49" s="77" t="s">
        <v>125</v>
      </c>
      <c r="C49" s="418" t="s">
        <v>429</v>
      </c>
      <c r="D49" s="80">
        <v>1.45</v>
      </c>
      <c r="E49" s="80">
        <v>0.47</v>
      </c>
      <c r="F49" s="80">
        <v>1.62</v>
      </c>
      <c r="G49" s="80">
        <v>1.26</v>
      </c>
      <c r="H49" s="80">
        <v>1</v>
      </c>
      <c r="I49" s="80">
        <v>1.18</v>
      </c>
      <c r="J49" s="80">
        <v>1.22</v>
      </c>
      <c r="K49" s="80">
        <v>1.32</v>
      </c>
      <c r="L49" s="80">
        <v>1.22</v>
      </c>
      <c r="M49" s="80">
        <v>1.43</v>
      </c>
      <c r="N49" s="80">
        <v>3</v>
      </c>
      <c r="O49" s="80">
        <v>2.38</v>
      </c>
      <c r="P49" s="80">
        <v>1.1399999999999999</v>
      </c>
      <c r="Q49" s="80">
        <v>1.08</v>
      </c>
      <c r="R49" s="80">
        <v>1.34</v>
      </c>
      <c r="S49" s="80">
        <v>2.14</v>
      </c>
      <c r="T49" s="80">
        <v>2.35</v>
      </c>
      <c r="U49" s="80">
        <v>1.24</v>
      </c>
      <c r="V49" s="80">
        <v>1.42</v>
      </c>
      <c r="W49" s="80">
        <v>2.4500000000000002</v>
      </c>
      <c r="X49" s="80">
        <v>-0.47</v>
      </c>
      <c r="Y49" s="80">
        <v>-0.42</v>
      </c>
      <c r="Z49" s="80">
        <v>-0.7</v>
      </c>
      <c r="AA49" s="80">
        <v>-0.77</v>
      </c>
      <c r="AB49" s="80">
        <v>-0.496</v>
      </c>
      <c r="AC49" s="80">
        <v>-0.88</v>
      </c>
      <c r="AD49" s="80">
        <v>-0.83</v>
      </c>
      <c r="AE49" s="80">
        <v>2.23</v>
      </c>
      <c r="AF49" s="80">
        <v>1.77</v>
      </c>
      <c r="AG49" s="80">
        <v>1.75</v>
      </c>
      <c r="AH49" s="80">
        <v>1.1599999999999999</v>
      </c>
      <c r="AI49" s="80">
        <v>1.3</v>
      </c>
      <c r="AJ49" s="80">
        <v>1.33</v>
      </c>
      <c r="AK49" s="80">
        <v>1.61</v>
      </c>
      <c r="AL49" s="80">
        <v>1.73</v>
      </c>
      <c r="AM49" s="80">
        <v>1.22</v>
      </c>
      <c r="AO49" s="80">
        <v>1.51</v>
      </c>
      <c r="AP49" s="80">
        <v>0.92</v>
      </c>
      <c r="AS49" s="80">
        <v>1.21</v>
      </c>
      <c r="AT49" s="80">
        <v>0.32</v>
      </c>
      <c r="AU49" s="80">
        <v>1.59</v>
      </c>
      <c r="AV49" s="80">
        <v>1.0900000000000001</v>
      </c>
      <c r="AX49" s="80">
        <v>1.33</v>
      </c>
      <c r="AY49" s="80">
        <v>1.49</v>
      </c>
      <c r="AZ49" s="80">
        <v>1.45</v>
      </c>
      <c r="BA49" s="80">
        <v>1.45</v>
      </c>
      <c r="BC49" s="80">
        <v>0.69</v>
      </c>
      <c r="BE49" s="80">
        <v>1.44</v>
      </c>
      <c r="BF49" s="80">
        <v>1.84</v>
      </c>
      <c r="BG49" s="80">
        <v>1.44</v>
      </c>
      <c r="BH49" s="80">
        <v>1.61</v>
      </c>
      <c r="BI49" s="80">
        <v>1.22</v>
      </c>
      <c r="BJ49" s="80">
        <v>1.4</v>
      </c>
      <c r="BK49" s="80">
        <v>1.4</v>
      </c>
      <c r="BL49" s="80">
        <v>0.74</v>
      </c>
      <c r="BM49" s="80">
        <v>0.96</v>
      </c>
      <c r="BN49" s="80">
        <v>1.25</v>
      </c>
      <c r="BP49" s="80">
        <v>1.01</v>
      </c>
      <c r="BQ49" s="80">
        <v>2.0499999999999998</v>
      </c>
      <c r="BR49" s="80">
        <v>1.1100000000000001</v>
      </c>
      <c r="BS49" s="80">
        <v>0.51</v>
      </c>
      <c r="BT49" s="80">
        <v>1.1599999999999999</v>
      </c>
      <c r="BW49" s="80">
        <v>2.2999999999999998</v>
      </c>
      <c r="BX49" s="80">
        <v>2.0499999999999998</v>
      </c>
      <c r="BY49" s="80">
        <v>1.35</v>
      </c>
      <c r="CC49" s="80">
        <v>0.56999999999999995</v>
      </c>
      <c r="CD49" s="80">
        <v>1.1499999999999999</v>
      </c>
      <c r="CF49" s="80">
        <v>1.37</v>
      </c>
      <c r="CG49" s="80">
        <v>1.01</v>
      </c>
      <c r="CI49" s="80">
        <v>1.44</v>
      </c>
      <c r="CL49" s="80">
        <v>1.55</v>
      </c>
      <c r="CN49" s="80">
        <v>1.21</v>
      </c>
      <c r="CY49" s="80">
        <v>1.43</v>
      </c>
      <c r="DC49" s="80">
        <v>2.81</v>
      </c>
      <c r="DD49" s="80">
        <v>1.34</v>
      </c>
      <c r="DE49" s="80">
        <v>0.87</v>
      </c>
      <c r="DF49" s="80">
        <v>1.59</v>
      </c>
      <c r="DG49" s="80">
        <v>2.06</v>
      </c>
      <c r="DH49" s="80">
        <v>0.98</v>
      </c>
      <c r="DI49" s="80">
        <v>1.3</v>
      </c>
      <c r="DJ49" s="80">
        <v>0.64</v>
      </c>
      <c r="DK49" s="80">
        <v>0.73</v>
      </c>
      <c r="DL49" s="80">
        <v>0.7</v>
      </c>
      <c r="DM49" s="80">
        <v>0.64</v>
      </c>
      <c r="DO49" s="80">
        <v>0.78</v>
      </c>
      <c r="DP49" s="80">
        <v>0.68</v>
      </c>
      <c r="DQ49" s="80">
        <v>1.28</v>
      </c>
      <c r="DR49" s="80">
        <v>0.9</v>
      </c>
      <c r="DS49" s="80">
        <v>1.6</v>
      </c>
      <c r="DT49" s="80">
        <v>0.9</v>
      </c>
      <c r="DU49" s="80">
        <v>0.91</v>
      </c>
      <c r="DV49" s="80">
        <v>0.9</v>
      </c>
      <c r="DW49" s="80">
        <v>1.65</v>
      </c>
      <c r="DX49" s="80">
        <v>0.98</v>
      </c>
      <c r="DY49" s="80">
        <v>0.85</v>
      </c>
      <c r="DZ49" s="80">
        <v>0.98</v>
      </c>
      <c r="EA49" s="80">
        <v>0.83</v>
      </c>
      <c r="FF49" s="80">
        <v>1.76</v>
      </c>
      <c r="FK49" s="80">
        <v>2.0699999999999998</v>
      </c>
      <c r="FL49" s="80">
        <v>2.3199999999999998</v>
      </c>
      <c r="FM49" s="80">
        <v>2.71</v>
      </c>
      <c r="FN49" s="80">
        <v>2.71</v>
      </c>
      <c r="FO49" s="80">
        <v>3.09</v>
      </c>
      <c r="FP49" s="80">
        <v>3.51</v>
      </c>
      <c r="FQ49" s="80">
        <v>4.5199999999999996</v>
      </c>
      <c r="GR49" s="80">
        <v>1.7</v>
      </c>
    </row>
    <row r="50" spans="1:200" s="80" customFormat="1" ht="17.100000000000001" customHeight="1">
      <c r="A50" s="77" t="s">
        <v>701</v>
      </c>
      <c r="B50" s="77" t="s">
        <v>126</v>
      </c>
      <c r="C50" s="418" t="s">
        <v>429</v>
      </c>
      <c r="D50" s="80">
        <v>1.31</v>
      </c>
      <c r="E50" s="80">
        <v>0.79</v>
      </c>
      <c r="F50" s="80">
        <v>2.44</v>
      </c>
      <c r="G50" s="80">
        <v>1.5</v>
      </c>
      <c r="H50" s="80">
        <v>1.56</v>
      </c>
      <c r="I50" s="80">
        <v>1.25</v>
      </c>
      <c r="J50" s="80">
        <v>1.37</v>
      </c>
      <c r="K50" s="80">
        <v>1.41</v>
      </c>
      <c r="L50" s="80">
        <v>1.48</v>
      </c>
      <c r="M50" s="80">
        <v>1.82</v>
      </c>
      <c r="N50" s="80">
        <v>3.72</v>
      </c>
      <c r="O50" s="80">
        <v>1.86</v>
      </c>
      <c r="P50" s="80">
        <v>1.3</v>
      </c>
      <c r="Q50" s="80">
        <v>1.37</v>
      </c>
      <c r="R50" s="80">
        <v>1.7</v>
      </c>
      <c r="S50" s="80">
        <v>2.89</v>
      </c>
      <c r="T50" s="80">
        <v>2.75</v>
      </c>
      <c r="U50" s="80">
        <v>2.5499999999999998</v>
      </c>
      <c r="V50" s="80">
        <v>1.66</v>
      </c>
      <c r="W50" s="80">
        <v>1.83</v>
      </c>
      <c r="X50" s="80">
        <v>0.1</v>
      </c>
      <c r="Y50" s="80">
        <v>0.74099999999999999</v>
      </c>
      <c r="Z50" s="80">
        <v>-0.27</v>
      </c>
      <c r="AA50" s="80">
        <v>-0.15</v>
      </c>
      <c r="AB50" s="80">
        <v>0.495</v>
      </c>
      <c r="AC50" s="80">
        <v>-0.39</v>
      </c>
      <c r="AD50" s="80">
        <v>0.25</v>
      </c>
      <c r="AE50" s="80">
        <v>2.35</v>
      </c>
      <c r="AF50" s="80">
        <v>2.5299999999999998</v>
      </c>
      <c r="AG50" s="80">
        <v>3.07</v>
      </c>
      <c r="AH50" s="80">
        <v>1.1499999999999999</v>
      </c>
      <c r="AI50" s="80">
        <v>1.5</v>
      </c>
      <c r="AJ50" s="80">
        <v>1.59</v>
      </c>
      <c r="AK50" s="80">
        <v>1.56</v>
      </c>
      <c r="AL50" s="80">
        <v>1.55</v>
      </c>
      <c r="AM50" s="80">
        <v>1.29</v>
      </c>
      <c r="AO50" s="80">
        <v>1.67</v>
      </c>
      <c r="AP50" s="80">
        <v>1.08</v>
      </c>
      <c r="AS50" s="80">
        <v>1.36</v>
      </c>
      <c r="AT50" s="80">
        <v>1.61</v>
      </c>
      <c r="AU50" s="80">
        <v>0.92</v>
      </c>
      <c r="AV50" s="80">
        <v>1.62</v>
      </c>
      <c r="AX50" s="80">
        <v>1.73</v>
      </c>
      <c r="AY50" s="80">
        <v>0.99</v>
      </c>
      <c r="AZ50" s="80">
        <v>0.88</v>
      </c>
      <c r="BA50" s="80">
        <v>0.91</v>
      </c>
      <c r="BC50" s="80">
        <v>1.84</v>
      </c>
      <c r="BE50" s="80">
        <v>1.2</v>
      </c>
      <c r="BF50" s="80">
        <v>1.73</v>
      </c>
      <c r="BG50" s="80">
        <v>0.93</v>
      </c>
      <c r="BH50" s="80">
        <v>1.46</v>
      </c>
      <c r="BI50" s="80">
        <v>0.91</v>
      </c>
      <c r="BJ50" s="80">
        <v>1.31</v>
      </c>
      <c r="BK50" s="80">
        <v>1.34</v>
      </c>
      <c r="BL50" s="80">
        <v>1.17</v>
      </c>
      <c r="BM50" s="80">
        <v>1.4</v>
      </c>
      <c r="BN50" s="80">
        <v>0.86</v>
      </c>
      <c r="BP50" s="80">
        <v>1.1100000000000001</v>
      </c>
      <c r="BQ50" s="80">
        <v>1.42</v>
      </c>
      <c r="BR50" s="80">
        <v>1.53</v>
      </c>
      <c r="BS50" s="80">
        <v>1.42</v>
      </c>
      <c r="BT50" s="80">
        <v>1.3</v>
      </c>
      <c r="BW50" s="80">
        <v>2.02</v>
      </c>
      <c r="BX50" s="80">
        <v>1.94</v>
      </c>
      <c r="BY50" s="80">
        <v>1.66</v>
      </c>
      <c r="CC50" s="80">
        <v>1.36</v>
      </c>
      <c r="CD50" s="80">
        <v>1.47</v>
      </c>
      <c r="CF50" s="80">
        <v>1.5</v>
      </c>
      <c r="CG50" s="80">
        <v>1.19</v>
      </c>
      <c r="CI50" s="80">
        <v>1.2</v>
      </c>
      <c r="CL50" s="80">
        <v>1.07</v>
      </c>
      <c r="CN50" s="80">
        <v>1.25</v>
      </c>
      <c r="CY50" s="80">
        <v>1.48</v>
      </c>
      <c r="DC50" s="80">
        <v>1.71</v>
      </c>
      <c r="DD50" s="80">
        <v>0.92</v>
      </c>
      <c r="DE50" s="80">
        <v>1.1100000000000001</v>
      </c>
      <c r="DF50" s="80">
        <v>1.06</v>
      </c>
      <c r="DG50" s="80">
        <v>1.29</v>
      </c>
      <c r="DH50" s="80">
        <v>1.49</v>
      </c>
      <c r="DI50" s="80">
        <v>1.51</v>
      </c>
      <c r="DJ50" s="80">
        <v>1.25</v>
      </c>
      <c r="DK50" s="80">
        <v>1.26</v>
      </c>
      <c r="DL50" s="80">
        <v>1.27</v>
      </c>
      <c r="DM50" s="80">
        <v>1.3</v>
      </c>
      <c r="DO50" s="80">
        <v>1.26</v>
      </c>
      <c r="DP50" s="80">
        <v>1.21</v>
      </c>
      <c r="DQ50" s="80">
        <v>1.71</v>
      </c>
      <c r="DR50" s="80">
        <v>1.47</v>
      </c>
      <c r="DS50" s="80">
        <v>2.44</v>
      </c>
      <c r="DT50" s="80">
        <v>1.45</v>
      </c>
      <c r="DU50" s="80">
        <v>1.44</v>
      </c>
      <c r="DV50" s="80">
        <v>1.37</v>
      </c>
      <c r="DW50" s="80">
        <v>1.63</v>
      </c>
      <c r="DX50" s="80">
        <v>0.81</v>
      </c>
      <c r="DY50" s="80">
        <v>0.73</v>
      </c>
      <c r="DZ50" s="80">
        <v>0.73</v>
      </c>
      <c r="EA50" s="80">
        <v>0.75</v>
      </c>
      <c r="FF50" s="80">
        <v>1.33</v>
      </c>
      <c r="FK50" s="80">
        <v>1.38</v>
      </c>
      <c r="FL50" s="80">
        <v>1.45</v>
      </c>
      <c r="FM50" s="80">
        <v>1.51</v>
      </c>
      <c r="FN50" s="80">
        <v>1.48</v>
      </c>
      <c r="FO50" s="80">
        <v>1.54</v>
      </c>
      <c r="FP50" s="80">
        <v>1.65</v>
      </c>
      <c r="FQ50" s="80">
        <v>2.5299999999999998</v>
      </c>
      <c r="GR50" s="80">
        <v>2.11</v>
      </c>
    </row>
    <row r="51" spans="1:200" s="80" customFormat="1" ht="17.100000000000001" customHeight="1">
      <c r="A51" s="77" t="s">
        <v>702</v>
      </c>
      <c r="B51" s="77" t="s">
        <v>127</v>
      </c>
      <c r="C51" s="418" t="s">
        <v>429</v>
      </c>
      <c r="D51" s="80">
        <v>0.39</v>
      </c>
      <c r="E51" s="80">
        <v>0.53</v>
      </c>
      <c r="F51" s="80">
        <v>0.38</v>
      </c>
      <c r="G51" s="80">
        <v>0.68</v>
      </c>
      <c r="H51" s="80">
        <v>0.26</v>
      </c>
      <c r="I51" s="80">
        <v>0.14000000000000001</v>
      </c>
      <c r="J51" s="80">
        <v>0.55000000000000004</v>
      </c>
      <c r="K51" s="80">
        <v>0.28000000000000003</v>
      </c>
      <c r="L51" s="80">
        <v>0.68</v>
      </c>
      <c r="M51" s="80">
        <v>0</v>
      </c>
      <c r="N51" s="80">
        <v>1.2350000000000001</v>
      </c>
      <c r="O51" s="80">
        <v>0.39</v>
      </c>
      <c r="P51" s="80">
        <v>0.79</v>
      </c>
      <c r="Q51" s="80">
        <v>0.27</v>
      </c>
      <c r="R51" s="80">
        <v>0.38</v>
      </c>
      <c r="S51" s="80">
        <v>0.77</v>
      </c>
      <c r="T51" s="80">
        <v>0.55000000000000004</v>
      </c>
      <c r="U51" s="80">
        <v>0.31</v>
      </c>
      <c r="V51" s="80">
        <v>0.84</v>
      </c>
      <c r="W51" s="80">
        <v>0.63</v>
      </c>
      <c r="X51" s="80">
        <v>0.46</v>
      </c>
      <c r="Y51" s="80">
        <v>0.30599999999999999</v>
      </c>
      <c r="Z51" s="80">
        <v>0.46</v>
      </c>
      <c r="AA51" s="80">
        <v>0.46</v>
      </c>
      <c r="AB51" s="80">
        <v>0.30599999999999999</v>
      </c>
      <c r="AC51" s="80">
        <v>0.46</v>
      </c>
      <c r="AD51" s="80">
        <v>0.31</v>
      </c>
      <c r="AE51" s="80">
        <v>1.33</v>
      </c>
      <c r="AF51" s="80">
        <v>0.53</v>
      </c>
      <c r="AG51" s="80">
        <v>0.84</v>
      </c>
      <c r="AH51" s="80">
        <v>0.74</v>
      </c>
      <c r="AI51" s="80">
        <v>0.31</v>
      </c>
      <c r="AJ51" s="80">
        <v>0.31</v>
      </c>
      <c r="AK51" s="80">
        <v>0.99</v>
      </c>
      <c r="AL51" s="80">
        <v>0.47</v>
      </c>
      <c r="AM51" s="80">
        <v>0.17</v>
      </c>
      <c r="AO51" s="80">
        <v>0.22</v>
      </c>
      <c r="AP51" s="80">
        <v>0.21</v>
      </c>
      <c r="AS51" s="80">
        <v>0.77</v>
      </c>
      <c r="AT51" s="80">
        <v>0</v>
      </c>
      <c r="AU51" s="80">
        <v>0</v>
      </c>
      <c r="AV51" s="80">
        <v>0.25</v>
      </c>
      <c r="AX51" s="80">
        <v>0</v>
      </c>
      <c r="AY51" s="80">
        <v>0</v>
      </c>
      <c r="AZ51" s="80">
        <v>0</v>
      </c>
      <c r="BA51" s="80">
        <v>0</v>
      </c>
      <c r="BC51" s="80">
        <v>0</v>
      </c>
      <c r="BE51" s="80">
        <v>0</v>
      </c>
      <c r="BF51" s="80">
        <v>0</v>
      </c>
      <c r="BG51" s="80">
        <v>0</v>
      </c>
      <c r="BH51" s="80">
        <v>0</v>
      </c>
      <c r="BI51" s="80">
        <v>0.66</v>
      </c>
      <c r="BJ51" s="80">
        <v>0.52</v>
      </c>
      <c r="BK51" s="80">
        <v>0.78</v>
      </c>
      <c r="BL51" s="80">
        <v>0.45</v>
      </c>
      <c r="BM51" s="80">
        <v>0</v>
      </c>
      <c r="BN51" s="80">
        <v>0</v>
      </c>
      <c r="BP51" s="80">
        <v>0</v>
      </c>
      <c r="BQ51" s="80">
        <v>0</v>
      </c>
      <c r="BR51" s="80">
        <v>0</v>
      </c>
      <c r="BS51" s="80">
        <v>0.45</v>
      </c>
      <c r="BT51" s="80">
        <v>0</v>
      </c>
      <c r="BW51" s="80">
        <v>0.31</v>
      </c>
      <c r="BX51" s="80">
        <v>0</v>
      </c>
      <c r="BY51" s="80">
        <v>0</v>
      </c>
      <c r="CC51" s="80">
        <v>0</v>
      </c>
      <c r="CD51" s="80">
        <v>0.66</v>
      </c>
      <c r="CF51" s="80">
        <v>0</v>
      </c>
      <c r="CG51" s="80">
        <v>0</v>
      </c>
      <c r="CI51" s="80">
        <v>0</v>
      </c>
      <c r="CL51" s="80">
        <v>0</v>
      </c>
      <c r="CN51" s="80">
        <v>0</v>
      </c>
      <c r="CY51" s="80">
        <v>0.25</v>
      </c>
      <c r="DC51" s="80">
        <v>0</v>
      </c>
      <c r="DD51" s="80">
        <v>0</v>
      </c>
      <c r="DE51" s="80">
        <v>0</v>
      </c>
      <c r="DF51" s="80">
        <v>0</v>
      </c>
      <c r="DG51" s="80">
        <v>0</v>
      </c>
      <c r="DH51" s="80">
        <v>0</v>
      </c>
      <c r="DI51" s="80">
        <v>0</v>
      </c>
      <c r="DJ51" s="80">
        <v>0</v>
      </c>
      <c r="DK51" s="80">
        <v>0</v>
      </c>
      <c r="DL51" s="80">
        <v>0</v>
      </c>
      <c r="DM51" s="80">
        <v>0</v>
      </c>
      <c r="DO51" s="80">
        <v>0</v>
      </c>
      <c r="DP51" s="80">
        <v>0</v>
      </c>
      <c r="DQ51" s="80">
        <v>0</v>
      </c>
      <c r="DR51" s="80">
        <v>0.74</v>
      </c>
      <c r="DS51" s="80">
        <v>0</v>
      </c>
      <c r="DT51" s="80">
        <v>0.74</v>
      </c>
      <c r="DU51" s="80">
        <v>0.73</v>
      </c>
      <c r="DV51" s="80">
        <v>0.69</v>
      </c>
      <c r="DW51" s="80">
        <v>0</v>
      </c>
      <c r="DX51" s="80">
        <v>0</v>
      </c>
      <c r="DY51" s="80">
        <v>0</v>
      </c>
      <c r="DZ51" s="80">
        <v>0</v>
      </c>
      <c r="EA51" s="80">
        <v>0</v>
      </c>
      <c r="FF51" s="80">
        <v>0</v>
      </c>
      <c r="FK51" s="80">
        <v>0</v>
      </c>
      <c r="FL51" s="80">
        <v>0</v>
      </c>
      <c r="FM51" s="80">
        <v>0</v>
      </c>
      <c r="FN51" s="80">
        <v>0</v>
      </c>
      <c r="FO51" s="80">
        <v>0</v>
      </c>
      <c r="FP51" s="80">
        <v>0</v>
      </c>
      <c r="FQ51" s="80">
        <v>0</v>
      </c>
      <c r="GR51" s="80">
        <v>0</v>
      </c>
    </row>
    <row r="52" spans="1:200" s="80" customFormat="1" ht="17.100000000000001" customHeight="1">
      <c r="A52" s="77" t="s">
        <v>703</v>
      </c>
      <c r="B52" s="77" t="s">
        <v>128</v>
      </c>
      <c r="C52" s="418" t="s">
        <v>429</v>
      </c>
      <c r="D52" s="80">
        <v>0.54</v>
      </c>
      <c r="E52" s="80">
        <v>0.23</v>
      </c>
      <c r="F52" s="80">
        <v>1.68</v>
      </c>
      <c r="G52" s="80">
        <v>0.48</v>
      </c>
      <c r="H52" s="80">
        <v>1.32</v>
      </c>
      <c r="I52" s="80">
        <v>0.98</v>
      </c>
      <c r="J52" s="80">
        <v>1.08</v>
      </c>
      <c r="K52" s="80">
        <v>1.0900000000000001</v>
      </c>
      <c r="L52" s="80">
        <v>0.46</v>
      </c>
      <c r="M52" s="80">
        <v>1.27</v>
      </c>
      <c r="N52" s="80">
        <v>1.49</v>
      </c>
      <c r="O52" s="80">
        <v>1.1399999999999999</v>
      </c>
      <c r="P52" s="80">
        <v>0.7</v>
      </c>
      <c r="Q52" s="80">
        <v>0.99</v>
      </c>
      <c r="R52" s="80">
        <v>0.82</v>
      </c>
      <c r="S52" s="80">
        <v>2.06</v>
      </c>
      <c r="T52" s="80">
        <v>1.21</v>
      </c>
      <c r="U52" s="80">
        <v>1.93</v>
      </c>
      <c r="V52" s="80">
        <v>1.58</v>
      </c>
      <c r="W52" s="80">
        <v>1.52</v>
      </c>
      <c r="X52" s="80">
        <v>0.33</v>
      </c>
      <c r="Y52" s="80">
        <v>0.754</v>
      </c>
      <c r="Z52" s="80">
        <v>0.33</v>
      </c>
      <c r="AA52" s="80">
        <v>0.33</v>
      </c>
      <c r="AB52" s="80">
        <v>0.754</v>
      </c>
      <c r="AC52" s="80">
        <v>0.33</v>
      </c>
      <c r="AD52" s="80">
        <v>0.75</v>
      </c>
      <c r="AE52" s="80">
        <v>2.64</v>
      </c>
      <c r="AF52" s="80">
        <v>1.33</v>
      </c>
      <c r="AG52" s="80">
        <v>2.11</v>
      </c>
      <c r="AH52" s="80">
        <v>1.71</v>
      </c>
      <c r="AI52" s="80">
        <v>1.35</v>
      </c>
      <c r="AJ52" s="80">
        <v>1.59</v>
      </c>
      <c r="AK52" s="80">
        <v>0.91</v>
      </c>
      <c r="AL52" s="80">
        <v>0.45</v>
      </c>
      <c r="AM52" s="80">
        <v>1.01</v>
      </c>
      <c r="AO52" s="80">
        <v>0.79</v>
      </c>
      <c r="AP52" s="80">
        <v>1.1000000000000001</v>
      </c>
      <c r="AS52" s="80">
        <v>0.63</v>
      </c>
      <c r="AT52" s="80">
        <v>0.27</v>
      </c>
      <c r="AU52" s="80">
        <v>1.01</v>
      </c>
      <c r="AV52" s="80">
        <v>1.19</v>
      </c>
      <c r="AX52" s="80">
        <v>0.67</v>
      </c>
      <c r="AY52" s="80">
        <v>0</v>
      </c>
      <c r="AZ52" s="80">
        <v>0.69</v>
      </c>
      <c r="BA52" s="80">
        <v>0.68</v>
      </c>
      <c r="BC52" s="80">
        <v>1.18</v>
      </c>
      <c r="BE52" s="80">
        <v>0.96</v>
      </c>
      <c r="BF52" s="80">
        <v>0.71</v>
      </c>
      <c r="BG52" s="80">
        <v>1.04</v>
      </c>
      <c r="BH52" s="80">
        <v>0.02</v>
      </c>
      <c r="BI52" s="80">
        <v>0.06</v>
      </c>
      <c r="BJ52" s="80">
        <v>0.49</v>
      </c>
      <c r="BK52" s="80">
        <v>0.53</v>
      </c>
      <c r="BL52" s="80">
        <v>1.22</v>
      </c>
      <c r="BM52" s="80">
        <v>1.02</v>
      </c>
      <c r="BN52" s="80">
        <v>1.03</v>
      </c>
      <c r="BP52" s="80">
        <v>0.95</v>
      </c>
      <c r="BQ52" s="80">
        <v>0.88</v>
      </c>
      <c r="BR52" s="80">
        <v>1.25</v>
      </c>
      <c r="BS52" s="80">
        <v>1.33</v>
      </c>
      <c r="BT52" s="80">
        <v>1.3</v>
      </c>
      <c r="BW52" s="80">
        <v>1.81</v>
      </c>
      <c r="BX52" s="80">
        <v>1.1499999999999999</v>
      </c>
      <c r="BY52" s="80">
        <v>1.25</v>
      </c>
      <c r="CC52" s="80">
        <v>0.89</v>
      </c>
      <c r="CD52" s="80">
        <v>0.73</v>
      </c>
      <c r="CF52" s="80">
        <v>0.5</v>
      </c>
      <c r="CG52" s="80">
        <v>0.8</v>
      </c>
      <c r="CI52" s="80">
        <v>0.99</v>
      </c>
      <c r="CL52" s="80">
        <v>0.56000000000000005</v>
      </c>
      <c r="CN52" s="80">
        <v>0.74</v>
      </c>
      <c r="CY52" s="80">
        <v>1.9</v>
      </c>
      <c r="DC52" s="80">
        <v>0.28000000000000003</v>
      </c>
      <c r="DD52" s="80">
        <v>0.2</v>
      </c>
      <c r="DE52" s="80">
        <v>0.28000000000000003</v>
      </c>
      <c r="DF52" s="80">
        <v>0.25</v>
      </c>
      <c r="DG52" s="80">
        <v>0.26</v>
      </c>
      <c r="DH52" s="80">
        <v>0.37</v>
      </c>
      <c r="DI52" s="80">
        <v>1.1299999999999999</v>
      </c>
      <c r="DJ52" s="80">
        <v>1.02</v>
      </c>
      <c r="DK52" s="80">
        <v>0.9</v>
      </c>
      <c r="DL52" s="80">
        <v>0.95</v>
      </c>
      <c r="DM52" s="80">
        <v>1.04</v>
      </c>
      <c r="DO52" s="80">
        <v>0.88</v>
      </c>
      <c r="DP52" s="80">
        <v>0.95</v>
      </c>
      <c r="DQ52" s="80">
        <v>0.98</v>
      </c>
      <c r="DR52" s="80">
        <v>0.43</v>
      </c>
      <c r="DS52" s="80">
        <v>1.01</v>
      </c>
      <c r="DT52" s="80">
        <v>0.43</v>
      </c>
      <c r="DU52" s="80">
        <v>0.45</v>
      </c>
      <c r="DV52" s="80">
        <v>0.45</v>
      </c>
      <c r="DW52" s="80">
        <v>0.62</v>
      </c>
      <c r="DX52" s="80">
        <v>0</v>
      </c>
      <c r="DY52" s="80">
        <v>0.02</v>
      </c>
      <c r="DZ52" s="80">
        <v>0</v>
      </c>
      <c r="EA52" s="80">
        <v>0.02</v>
      </c>
      <c r="FF52" s="80">
        <v>0.15</v>
      </c>
      <c r="FK52" s="80">
        <v>0.27</v>
      </c>
      <c r="FL52" s="80">
        <v>0.34</v>
      </c>
      <c r="FM52" s="80">
        <v>0.44</v>
      </c>
      <c r="FN52" s="80">
        <v>0.41</v>
      </c>
      <c r="FO52" s="80">
        <v>0.52</v>
      </c>
      <c r="FP52" s="80">
        <v>0.56999999999999995</v>
      </c>
      <c r="FQ52" s="80">
        <v>0.2</v>
      </c>
      <c r="GR52" s="80">
        <v>0.55000000000000004</v>
      </c>
    </row>
    <row r="53" spans="1:200" s="80" customFormat="1" ht="17.100000000000001" customHeight="1">
      <c r="A53" s="77" t="s">
        <v>704</v>
      </c>
      <c r="B53" s="77" t="s">
        <v>129</v>
      </c>
      <c r="C53" s="77" t="s">
        <v>485</v>
      </c>
      <c r="D53" s="80">
        <v>1.2176</v>
      </c>
      <c r="E53" s="80">
        <v>0.96909999999999996</v>
      </c>
      <c r="F53" s="80">
        <v>1.7410000000000001</v>
      </c>
      <c r="G53" s="80">
        <v>1.0051000000000001</v>
      </c>
      <c r="H53" s="80">
        <v>0.97570000000000001</v>
      </c>
      <c r="I53" s="80">
        <v>1.6195999999999999</v>
      </c>
      <c r="J53" s="80">
        <v>1.5559000000000001</v>
      </c>
      <c r="K53" s="80">
        <v>1.3378000000000001</v>
      </c>
      <c r="L53" s="80">
        <v>0.86419999999999997</v>
      </c>
      <c r="M53" s="80">
        <v>1.3632</v>
      </c>
      <c r="N53" s="80">
        <v>3.1629999999999998</v>
      </c>
      <c r="O53" s="80">
        <v>1.8106</v>
      </c>
      <c r="P53" s="80">
        <v>0.91510000000000002</v>
      </c>
      <c r="Q53" s="80">
        <v>1.056</v>
      </c>
      <c r="R53" s="80">
        <v>1.5992</v>
      </c>
      <c r="S53" s="80">
        <v>1.7323</v>
      </c>
      <c r="T53" s="80">
        <v>1.6453</v>
      </c>
      <c r="U53" s="80">
        <v>2.4983</v>
      </c>
      <c r="V53" s="80">
        <v>2.234</v>
      </c>
      <c r="W53" s="80">
        <v>1.9917</v>
      </c>
      <c r="X53" s="80">
        <v>0.87050000000000005</v>
      </c>
      <c r="Y53" s="80">
        <v>1.71</v>
      </c>
      <c r="Z53" s="80">
        <v>1.3994</v>
      </c>
      <c r="AA53" s="80">
        <v>1.2231000000000001</v>
      </c>
      <c r="AB53" s="80">
        <v>1.524</v>
      </c>
      <c r="AC53" s="80">
        <v>1.5757000000000001</v>
      </c>
      <c r="AD53" s="80">
        <v>1.8763000000000001</v>
      </c>
      <c r="AE53" s="80">
        <v>2.419</v>
      </c>
      <c r="AF53" s="80">
        <v>1.7243999999999999</v>
      </c>
      <c r="AG53" s="80">
        <v>2.5306000000000002</v>
      </c>
      <c r="AH53" s="80">
        <v>1.6968000000000001</v>
      </c>
      <c r="AI53" s="80">
        <v>2.234</v>
      </c>
      <c r="AJ53" s="80">
        <v>2.3748999999999998</v>
      </c>
      <c r="AK53" s="80">
        <v>1.8643000000000001</v>
      </c>
      <c r="AL53" s="80">
        <v>1.8088</v>
      </c>
      <c r="AM53" s="80">
        <v>1.6195999999999999</v>
      </c>
      <c r="AO53" s="80">
        <v>1.5414000000000001</v>
      </c>
      <c r="AP53" s="80">
        <v>1.6860999999999999</v>
      </c>
      <c r="AS53" s="80">
        <v>1.3761000000000001</v>
      </c>
      <c r="AT53" s="80">
        <v>1.3133999999999999</v>
      </c>
      <c r="AU53" s="80">
        <v>2.1503000000000001</v>
      </c>
      <c r="AV53" s="80">
        <v>1.5775999999999999</v>
      </c>
      <c r="AX53" s="80">
        <v>1.9877</v>
      </c>
      <c r="AY53" s="80">
        <v>1.4508000000000001</v>
      </c>
      <c r="AZ53" s="80">
        <v>1.5798000000000001</v>
      </c>
      <c r="BA53" s="80">
        <v>1.5798000000000001</v>
      </c>
      <c r="BC53" s="80">
        <v>2.3153999999999999</v>
      </c>
      <c r="BE53" s="80">
        <v>1.7165999999999999</v>
      </c>
      <c r="BF53" s="80">
        <v>1.8019000000000001</v>
      </c>
      <c r="BG53" s="80">
        <v>1.9984</v>
      </c>
      <c r="BH53" s="80">
        <v>1.5025999999999999</v>
      </c>
      <c r="BI53" s="80">
        <v>1.3871</v>
      </c>
      <c r="BJ53" s="80">
        <v>1.3829</v>
      </c>
      <c r="BK53" s="80">
        <v>1.4984999999999999</v>
      </c>
      <c r="BL53" s="80">
        <v>1.4787999999999999</v>
      </c>
      <c r="BM53" s="80">
        <v>1.6773</v>
      </c>
      <c r="BN53" s="80">
        <v>2.0482999999999998</v>
      </c>
      <c r="BP53" s="80">
        <v>2.1892</v>
      </c>
      <c r="BQ53" s="80">
        <v>2.8186</v>
      </c>
      <c r="BR53" s="80">
        <v>2.2810999999999999</v>
      </c>
      <c r="BS53" s="80">
        <v>1.2732000000000001</v>
      </c>
      <c r="BT53" s="80">
        <v>2.1402000000000001</v>
      </c>
      <c r="BW53" s="80">
        <v>2.3008999999999999</v>
      </c>
      <c r="BX53" s="80">
        <v>2.9733000000000001</v>
      </c>
      <c r="BY53" s="80">
        <v>2.6747000000000001</v>
      </c>
      <c r="CC53" s="80">
        <v>2.2654999999999998</v>
      </c>
      <c r="CD53" s="80">
        <v>0.87490000000000001</v>
      </c>
      <c r="CF53" s="80">
        <v>1.8685</v>
      </c>
      <c r="CG53" s="80">
        <v>1.9074</v>
      </c>
      <c r="CI53" s="80">
        <v>1.8574999999999999</v>
      </c>
      <c r="CL53" s="80">
        <v>1.9096</v>
      </c>
      <c r="CN53" s="80">
        <v>2.069</v>
      </c>
      <c r="CY53" s="80">
        <v>2.6543000000000001</v>
      </c>
      <c r="DC53" s="80">
        <v>1.5846</v>
      </c>
      <c r="DD53" s="80">
        <v>1.0853999999999999</v>
      </c>
      <c r="DE53" s="80">
        <v>0.89059999999999995</v>
      </c>
      <c r="DF53" s="80">
        <v>1.3565</v>
      </c>
      <c r="DG53" s="80">
        <v>1.4543999999999999</v>
      </c>
      <c r="DH53" s="80">
        <v>1.0902000000000001</v>
      </c>
      <c r="DI53" s="80">
        <v>2.4592999999999998</v>
      </c>
      <c r="DJ53" s="80">
        <v>3.4014000000000002</v>
      </c>
      <c r="DK53" s="80">
        <v>1.7105999999999999</v>
      </c>
      <c r="DL53" s="80">
        <v>2.2742</v>
      </c>
      <c r="DM53" s="80">
        <v>3.4014000000000002</v>
      </c>
      <c r="DO53" s="80">
        <v>1.4288000000000001</v>
      </c>
      <c r="DP53" s="80">
        <v>2.2742</v>
      </c>
      <c r="DQ53" s="80">
        <v>2.6206</v>
      </c>
      <c r="DR53" s="80">
        <v>1.554</v>
      </c>
      <c r="DS53" s="80">
        <v>2.4329999999999998</v>
      </c>
      <c r="DT53" s="80">
        <v>1.4131</v>
      </c>
      <c r="DU53" s="80">
        <v>1.2722</v>
      </c>
      <c r="DV53" s="80">
        <v>1.1313</v>
      </c>
      <c r="DW53" s="80">
        <v>1.7391000000000001</v>
      </c>
      <c r="DX53" s="80">
        <v>1.0835999999999999</v>
      </c>
      <c r="DY53" s="80">
        <v>0.96120000000000005</v>
      </c>
      <c r="DZ53" s="80">
        <v>1.0835999999999999</v>
      </c>
      <c r="EA53" s="80">
        <v>0.96120000000000005</v>
      </c>
      <c r="FF53" s="80">
        <v>1.6914</v>
      </c>
      <c r="FK53" s="80">
        <v>1.9078999999999999</v>
      </c>
      <c r="FL53" s="80">
        <v>2.0829</v>
      </c>
      <c r="FM53" s="80">
        <v>2.2578999999999998</v>
      </c>
      <c r="FN53" s="80">
        <v>2.2578999999999998</v>
      </c>
      <c r="FO53" s="80">
        <v>2.4329000000000001</v>
      </c>
      <c r="FP53" s="80">
        <v>2.6078999999999999</v>
      </c>
      <c r="FQ53" s="80">
        <v>3.1328999999999998</v>
      </c>
      <c r="GR53" s="80">
        <v>1.8499000000000001</v>
      </c>
    </row>
    <row r="54" spans="1:200" s="80" customFormat="1" ht="17.100000000000001" customHeight="1">
      <c r="A54" s="77" t="s">
        <v>705</v>
      </c>
      <c r="B54" s="77" t="s">
        <v>130</v>
      </c>
      <c r="C54" s="418" t="s">
        <v>429</v>
      </c>
      <c r="D54" s="80">
        <v>6.2480000000000002</v>
      </c>
      <c r="E54" s="80">
        <v>3.988</v>
      </c>
      <c r="F54" s="80">
        <v>9.0470000000000006</v>
      </c>
      <c r="G54" s="80">
        <v>6.1020000000000003</v>
      </c>
      <c r="H54" s="80">
        <v>4.7759999999999998</v>
      </c>
      <c r="I54" s="80">
        <v>6.8250000000000002</v>
      </c>
      <c r="J54" s="80">
        <v>6.8639999999999999</v>
      </c>
      <c r="K54" s="80">
        <v>6.2640000000000002</v>
      </c>
      <c r="L54" s="80">
        <v>5.6109999999999998</v>
      </c>
      <c r="M54" s="80">
        <v>7.7210000000000001</v>
      </c>
      <c r="N54" s="80">
        <v>18.440000000000001</v>
      </c>
      <c r="O54" s="80">
        <v>9.6259999999999994</v>
      </c>
      <c r="P54" s="80">
        <v>5.5979999999999999</v>
      </c>
      <c r="Q54" s="80">
        <v>5.9550000000000001</v>
      </c>
      <c r="R54" s="80">
        <v>8.1349999999999998</v>
      </c>
      <c r="S54" s="80">
        <v>9.8780000000000001</v>
      </c>
      <c r="T54" s="80">
        <v>8.9290000000000003</v>
      </c>
      <c r="U54" s="80">
        <v>10.074999999999999</v>
      </c>
      <c r="V54" s="80">
        <v>9.7059999999999995</v>
      </c>
      <c r="W54" s="80">
        <v>10.621</v>
      </c>
      <c r="X54" s="80">
        <v>1.738</v>
      </c>
      <c r="Y54" s="80">
        <v>3.258</v>
      </c>
      <c r="Z54" s="80">
        <v>2.875</v>
      </c>
      <c r="AA54" s="80">
        <v>2.4529999999999998</v>
      </c>
      <c r="AB54" s="80">
        <v>4.1020000000000003</v>
      </c>
      <c r="AC54" s="80">
        <v>3.2970000000000002</v>
      </c>
      <c r="AD54" s="80">
        <v>4.9450000000000003</v>
      </c>
      <c r="AE54" s="80">
        <v>11.821</v>
      </c>
      <c r="AF54" s="80">
        <v>8.9649999999999999</v>
      </c>
      <c r="AG54" s="80">
        <v>11.576000000000001</v>
      </c>
      <c r="AH54" s="80">
        <v>7.8239999999999998</v>
      </c>
      <c r="AI54" s="80">
        <v>9.3019999999999996</v>
      </c>
      <c r="AJ54" s="80">
        <v>9.6839999999999993</v>
      </c>
      <c r="AK54" s="80">
        <v>9.6029999999999998</v>
      </c>
      <c r="AL54" s="80">
        <v>9.1940000000000008</v>
      </c>
      <c r="AM54" s="80">
        <v>7.7830000000000004</v>
      </c>
      <c r="AO54" s="80">
        <v>7.97</v>
      </c>
      <c r="AP54" s="80">
        <v>7.45</v>
      </c>
      <c r="AS54" s="80">
        <v>6.9850000000000003</v>
      </c>
      <c r="AT54" s="80">
        <v>4.8390000000000004</v>
      </c>
      <c r="AU54" s="80">
        <v>9.57</v>
      </c>
      <c r="AV54" s="80">
        <v>7.51</v>
      </c>
      <c r="AX54" s="80">
        <v>8.3520000000000003</v>
      </c>
      <c r="AY54" s="80">
        <v>7.39</v>
      </c>
      <c r="AZ54" s="80">
        <v>7.4930000000000003</v>
      </c>
      <c r="BA54" s="80">
        <v>7.4669999999999996</v>
      </c>
      <c r="BC54" s="80">
        <v>8.3209999999999997</v>
      </c>
      <c r="BE54" s="80">
        <v>8.07</v>
      </c>
      <c r="BF54" s="80">
        <v>9.4009999999999998</v>
      </c>
      <c r="BG54" s="80">
        <v>8.59</v>
      </c>
      <c r="BH54" s="80">
        <v>7.8159999999999998</v>
      </c>
      <c r="BI54" s="80">
        <v>6.8049999999999997</v>
      </c>
      <c r="BJ54" s="80">
        <v>7.2270000000000003</v>
      </c>
      <c r="BK54" s="80">
        <v>7.6440000000000001</v>
      </c>
      <c r="BL54" s="80">
        <v>6.2960000000000003</v>
      </c>
      <c r="BM54" s="80">
        <v>7.48</v>
      </c>
      <c r="BN54" s="80">
        <v>8.5060000000000002</v>
      </c>
      <c r="BP54" s="80">
        <v>7.92</v>
      </c>
      <c r="BQ54" s="80">
        <v>12.827</v>
      </c>
      <c r="BR54" s="80">
        <v>9.35</v>
      </c>
      <c r="BS54" s="80">
        <v>5.6459999999999999</v>
      </c>
      <c r="BT54" s="80">
        <v>9.25</v>
      </c>
      <c r="BW54" s="80">
        <v>12.45</v>
      </c>
      <c r="BX54" s="80">
        <v>14.06</v>
      </c>
      <c r="BY54" s="80">
        <v>9.9909999999999997</v>
      </c>
      <c r="CC54" s="80">
        <v>7.2960000000000003</v>
      </c>
      <c r="CD54" s="80">
        <v>5.2</v>
      </c>
      <c r="CF54" s="80">
        <v>8.0299999999999994</v>
      </c>
      <c r="CG54" s="80">
        <v>7.4119999999999999</v>
      </c>
      <c r="CI54" s="80">
        <v>8.57</v>
      </c>
      <c r="CL54" s="80">
        <v>8.8320000000000007</v>
      </c>
      <c r="CN54" s="80">
        <v>8.2509999999999994</v>
      </c>
      <c r="CY54" s="80">
        <v>11.742000000000001</v>
      </c>
      <c r="DC54" s="80">
        <v>8.8330000000000002</v>
      </c>
      <c r="DD54" s="80">
        <v>5.1609999999999996</v>
      </c>
      <c r="DE54" s="80">
        <v>4.5570000000000004</v>
      </c>
      <c r="DF54" s="80">
        <v>6.9219999999999997</v>
      </c>
      <c r="DG54" s="80">
        <v>7.6319999999999997</v>
      </c>
      <c r="DH54" s="80">
        <v>5.62</v>
      </c>
      <c r="DI54" s="80">
        <v>10.82</v>
      </c>
      <c r="DJ54" s="80">
        <v>12.7</v>
      </c>
      <c r="DK54" s="80">
        <v>7.2140000000000004</v>
      </c>
      <c r="DL54" s="80">
        <v>8.9700000000000006</v>
      </c>
      <c r="DM54" s="80">
        <v>13.12</v>
      </c>
      <c r="DO54" s="80">
        <v>6.2750000000000004</v>
      </c>
      <c r="DP54" s="80">
        <v>8.8800000000000008</v>
      </c>
      <c r="DQ54" s="80">
        <v>11.51</v>
      </c>
      <c r="DR54" s="80">
        <v>7.4059999999999997</v>
      </c>
      <c r="DS54" s="80">
        <v>11.356</v>
      </c>
      <c r="DT54" s="80">
        <v>6.8940000000000001</v>
      </c>
      <c r="DU54" s="80">
        <v>6.33</v>
      </c>
      <c r="DV54" s="80">
        <v>5.665</v>
      </c>
      <c r="DW54" s="80">
        <v>8.84</v>
      </c>
      <c r="DX54" s="80">
        <v>5.2480000000000002</v>
      </c>
      <c r="DY54" s="80">
        <v>4.41</v>
      </c>
      <c r="DZ54" s="80">
        <v>5.0449999999999999</v>
      </c>
      <c r="EA54" s="80">
        <v>4.4349999999999996</v>
      </c>
      <c r="FF54" s="80">
        <v>7.9039999999999999</v>
      </c>
      <c r="FK54" s="80">
        <v>9.68</v>
      </c>
      <c r="FL54" s="80">
        <v>10.66</v>
      </c>
      <c r="FM54" s="80">
        <v>11.71</v>
      </c>
      <c r="FN54" s="80">
        <v>11.48</v>
      </c>
      <c r="FO54" s="80">
        <v>12.65</v>
      </c>
      <c r="FP54" s="80">
        <v>13.62</v>
      </c>
      <c r="FQ54" s="80">
        <v>18.076000000000001</v>
      </c>
      <c r="GR54" s="80">
        <v>9.7799999999999994</v>
      </c>
    </row>
    <row r="55" spans="1:200" s="80" customFormat="1" ht="17.100000000000001" customHeight="1">
      <c r="A55" s="77" t="s">
        <v>552</v>
      </c>
      <c r="B55" s="77" t="s">
        <v>551</v>
      </c>
      <c r="C55" s="418" t="s">
        <v>429</v>
      </c>
      <c r="D55" s="80">
        <v>2</v>
      </c>
      <c r="F55" s="80">
        <v>1</v>
      </c>
      <c r="G55" s="80">
        <v>1</v>
      </c>
      <c r="I55" s="80">
        <v>1</v>
      </c>
      <c r="J55" s="80">
        <v>1</v>
      </c>
      <c r="K55" s="80">
        <v>1</v>
      </c>
      <c r="L55" s="80">
        <v>1</v>
      </c>
      <c r="M55" s="80">
        <v>0</v>
      </c>
      <c r="P55" s="80">
        <v>2</v>
      </c>
      <c r="Q55" s="80">
        <v>2</v>
      </c>
      <c r="R55" s="80">
        <v>1</v>
      </c>
      <c r="S55" s="80">
        <v>2</v>
      </c>
      <c r="T55" s="80">
        <v>2</v>
      </c>
      <c r="V55" s="80">
        <v>0</v>
      </c>
      <c r="W55" s="80">
        <v>1</v>
      </c>
      <c r="AF55" s="80">
        <v>2</v>
      </c>
      <c r="AG55" s="80">
        <v>1</v>
      </c>
      <c r="AH55" s="80">
        <v>1</v>
      </c>
      <c r="AI55" s="80">
        <v>0</v>
      </c>
      <c r="AJ55" s="80">
        <v>0</v>
      </c>
    </row>
    <row r="56" spans="1:200" s="80" customFormat="1" ht="17.100000000000001" customHeight="1">
      <c r="A56" s="77" t="s">
        <v>670</v>
      </c>
      <c r="B56" s="77" t="s">
        <v>706</v>
      </c>
      <c r="C56" s="418" t="s">
        <v>429</v>
      </c>
    </row>
    <row r="57" spans="1:200" s="80" customFormat="1" ht="17.100000000000001" customHeight="1">
      <c r="A57" s="77" t="s">
        <v>671</v>
      </c>
      <c r="B57" s="77" t="s">
        <v>707</v>
      </c>
      <c r="C57" s="418" t="s">
        <v>429</v>
      </c>
    </row>
    <row r="58" spans="1:200" s="80" customFormat="1" ht="17.100000000000001" customHeight="1">
      <c r="A58" s="77" t="s">
        <v>672</v>
      </c>
      <c r="B58" s="77" t="s">
        <v>708</v>
      </c>
      <c r="C58" s="418" t="s">
        <v>429</v>
      </c>
    </row>
    <row r="59" spans="1:200" s="80" customFormat="1" ht="17.100000000000001" customHeight="1">
      <c r="A59" s="77" t="s">
        <v>673</v>
      </c>
      <c r="B59" s="77" t="s">
        <v>709</v>
      </c>
      <c r="C59" s="418" t="s">
        <v>429</v>
      </c>
    </row>
    <row r="60" spans="1:200" s="80" customFormat="1" ht="17.100000000000001" customHeight="1">
      <c r="A60" s="77" t="s">
        <v>674</v>
      </c>
      <c r="B60" s="77" t="s">
        <v>710</v>
      </c>
      <c r="C60" s="77" t="s">
        <v>485</v>
      </c>
    </row>
    <row r="61" spans="1:200" s="80" customFormat="1" ht="17.100000000000001" customHeight="1">
      <c r="A61" s="77" t="s">
        <v>698</v>
      </c>
      <c r="B61" s="344" t="s">
        <v>711</v>
      </c>
      <c r="C61" s="419" t="s">
        <v>429</v>
      </c>
    </row>
    <row r="62" spans="1:200" s="80" customFormat="1" ht="17.100000000000001" customHeight="1">
      <c r="A62" s="77" t="s">
        <v>699</v>
      </c>
      <c r="B62" s="344" t="s">
        <v>712</v>
      </c>
      <c r="C62" s="420" t="s">
        <v>429</v>
      </c>
    </row>
    <row r="63" spans="1:200" s="80" customFormat="1" ht="16.350000000000001" customHeight="1">
      <c r="A63" s="77"/>
      <c r="B63" s="77"/>
      <c r="C63" s="344"/>
    </row>
    <row r="64" spans="1:200" s="80" customFormat="1" ht="16.350000000000001" customHeight="1">
      <c r="A64" s="77"/>
      <c r="B64" s="77"/>
      <c r="C64" s="77"/>
    </row>
    <row r="65" spans="1:3" s="80" customFormat="1" ht="16.350000000000001" customHeight="1">
      <c r="A65" s="77"/>
      <c r="B65" s="77"/>
      <c r="C65" s="77"/>
    </row>
    <row r="66" spans="1:3" s="80" customFormat="1" ht="16.350000000000001" customHeight="1">
      <c r="A66" s="77"/>
      <c r="B66" s="77"/>
      <c r="C66" s="77"/>
    </row>
    <row r="67" spans="1:3" s="80" customFormat="1" ht="16.350000000000001" customHeight="1">
      <c r="A67" s="77"/>
      <c r="B67" s="77"/>
      <c r="C67" s="77"/>
    </row>
    <row r="68" spans="1:3" s="80" customFormat="1" ht="16.350000000000001" customHeight="1">
      <c r="A68" s="77"/>
      <c r="B68" s="77"/>
      <c r="C68" s="77"/>
    </row>
    <row r="69" spans="1:3" s="80" customFormat="1" ht="16.350000000000001" customHeight="1">
      <c r="A69" s="77"/>
      <c r="B69" s="77"/>
      <c r="C69" s="77"/>
    </row>
    <row r="70" spans="1:3" s="80" customFormat="1" ht="16.350000000000001" customHeight="1">
      <c r="A70" s="77"/>
      <c r="B70" s="77"/>
      <c r="C70" s="77"/>
    </row>
    <row r="71" spans="1:3" s="80" customFormat="1" ht="16.350000000000001" customHeight="1">
      <c r="A71" s="77"/>
      <c r="B71" s="77"/>
      <c r="C71" s="77"/>
    </row>
    <row r="72" spans="1:3" s="80" customFormat="1" ht="16.350000000000001" customHeight="1">
      <c r="A72" s="77"/>
      <c r="B72" s="77"/>
      <c r="C72" s="77"/>
    </row>
    <row r="73" spans="1:3" s="80" customFormat="1" ht="16.350000000000001" customHeight="1">
      <c r="A73" s="77"/>
      <c r="B73" s="77"/>
      <c r="C73" s="77"/>
    </row>
    <row r="74" spans="1:3" s="80" customFormat="1" ht="16.350000000000001" customHeight="1">
      <c r="A74" s="77"/>
      <c r="B74" s="77"/>
      <c r="C74" s="77"/>
    </row>
    <row r="75" spans="1:3" s="80" customFormat="1" ht="16.350000000000001" customHeight="1">
      <c r="A75" s="77"/>
      <c r="B75" s="77"/>
      <c r="C75" s="77"/>
    </row>
    <row r="76" spans="1:3" s="80" customFormat="1" ht="16.350000000000001" customHeight="1">
      <c r="A76" s="77"/>
      <c r="B76" s="77"/>
      <c r="C76" s="77"/>
    </row>
    <row r="77" spans="1:3" s="80" customFormat="1" ht="16.350000000000001" customHeight="1">
      <c r="A77" s="77"/>
      <c r="B77" s="77"/>
      <c r="C77" s="77"/>
    </row>
    <row r="78" spans="1:3" s="80" customFormat="1" ht="16.350000000000001" customHeight="1">
      <c r="A78" s="77"/>
      <c r="B78" s="77"/>
      <c r="C78" s="77"/>
    </row>
    <row r="79" spans="1:3" s="80" customFormat="1" ht="16.350000000000001" customHeight="1">
      <c r="A79" s="77"/>
      <c r="B79" s="77"/>
      <c r="C79" s="77"/>
    </row>
    <row r="80" spans="1:3" s="80" customFormat="1" ht="16.350000000000001" customHeight="1">
      <c r="A80" s="77"/>
      <c r="B80" s="77"/>
      <c r="C80" s="77"/>
    </row>
    <row r="81" spans="1:3" s="80" customFormat="1" ht="16.350000000000001" customHeight="1">
      <c r="A81" s="77"/>
      <c r="B81" s="77"/>
      <c r="C81" s="77"/>
    </row>
    <row r="82" spans="1:3" s="80" customFormat="1" ht="16.350000000000001" customHeight="1">
      <c r="A82" s="77"/>
      <c r="B82" s="77"/>
      <c r="C82" s="77"/>
    </row>
    <row r="83" spans="1:3" s="80" customFormat="1" ht="16.350000000000001" customHeight="1">
      <c r="A83" s="77"/>
      <c r="B83" s="77"/>
      <c r="C83" s="77"/>
    </row>
    <row r="84" spans="1:3" s="80" customFormat="1" ht="16.350000000000001" customHeight="1">
      <c r="A84" s="77"/>
      <c r="B84" s="77"/>
      <c r="C84" s="77"/>
    </row>
    <row r="85" spans="1:3" s="80" customFormat="1" ht="16.350000000000001" customHeight="1">
      <c r="A85" s="77"/>
      <c r="B85" s="77"/>
      <c r="C85" s="77"/>
    </row>
    <row r="86" spans="1:3" s="80" customFormat="1" ht="16.350000000000001" customHeight="1">
      <c r="A86" s="77"/>
      <c r="B86" s="77"/>
      <c r="C86" s="77"/>
    </row>
    <row r="87" spans="1:3" s="80" customFormat="1" ht="16.350000000000001" customHeight="1">
      <c r="A87" s="77"/>
      <c r="B87" s="77"/>
      <c r="C87" s="77"/>
    </row>
    <row r="88" spans="1:3" s="80" customFormat="1" ht="16.350000000000001" customHeight="1">
      <c r="A88" s="77"/>
      <c r="B88" s="77"/>
      <c r="C88" s="77"/>
    </row>
    <row r="89" spans="1:3" s="80" customFormat="1" ht="16.350000000000001" customHeight="1">
      <c r="A89" s="77"/>
      <c r="B89" s="77"/>
      <c r="C89" s="77"/>
    </row>
    <row r="90" spans="1:3" s="80" customFormat="1" ht="16.350000000000001" customHeight="1">
      <c r="A90" s="77"/>
      <c r="B90" s="77"/>
      <c r="C90" s="77"/>
    </row>
    <row r="91" spans="1:3" s="80" customFormat="1" ht="16.350000000000001" customHeight="1">
      <c r="A91" s="77"/>
      <c r="B91" s="77"/>
      <c r="C91" s="77"/>
    </row>
    <row r="92" spans="1:3" s="80" customFormat="1" ht="16.350000000000001" customHeight="1">
      <c r="A92" s="77"/>
      <c r="B92" s="77"/>
      <c r="C92" s="77"/>
    </row>
    <row r="93" spans="1:3" s="80" customFormat="1" ht="16.350000000000001" customHeight="1">
      <c r="A93" s="77"/>
      <c r="B93" s="77"/>
      <c r="C93" s="77"/>
    </row>
    <row r="94" spans="1:3" s="80" customFormat="1" ht="16.350000000000001" customHeight="1">
      <c r="A94" s="77"/>
      <c r="B94" s="77"/>
      <c r="C94" s="77"/>
    </row>
    <row r="95" spans="1:3" s="80" customFormat="1" ht="16.350000000000001" customHeight="1">
      <c r="A95" s="77"/>
      <c r="B95" s="77"/>
      <c r="C95" s="77"/>
    </row>
    <row r="96" spans="1:3" customFormat="1" ht="17.100000000000001" customHeight="1"/>
    <row r="97" customFormat="1" ht="17.100000000000001" customHeight="1"/>
    <row r="98" customFormat="1" ht="17.100000000000001" customHeight="1"/>
    <row r="99" customFormat="1" ht="17.100000000000001" customHeight="1"/>
    <row r="100" customFormat="1" ht="17.100000000000001" customHeight="1"/>
    <row r="101" customFormat="1" ht="17.100000000000001" customHeight="1"/>
    <row r="102" customFormat="1" ht="17.100000000000001" customHeight="1"/>
    <row r="103" customFormat="1" ht="17.100000000000001" customHeight="1"/>
    <row r="104" customFormat="1" ht="17.100000000000001" customHeight="1"/>
    <row r="105" customFormat="1" ht="17.100000000000001" customHeight="1"/>
    <row r="106" customFormat="1" ht="17.100000000000001" customHeight="1"/>
    <row r="107" customFormat="1" ht="17.100000000000001" customHeight="1"/>
    <row r="108" customFormat="1" ht="17.100000000000001" customHeight="1"/>
    <row r="109" customFormat="1" ht="17.100000000000001" customHeight="1"/>
    <row r="110" customFormat="1" ht="17.100000000000001" customHeight="1"/>
    <row r="111" customFormat="1" ht="17.100000000000001" customHeight="1"/>
    <row r="112" customFormat="1" ht="17.100000000000001" customHeight="1"/>
    <row r="113" customFormat="1" ht="17.100000000000001" customHeight="1"/>
    <row r="114" customFormat="1" ht="17.100000000000001" customHeight="1"/>
    <row r="115" customFormat="1" ht="17.100000000000001" customHeight="1"/>
    <row r="116" customFormat="1" ht="17.100000000000001" customHeight="1"/>
    <row r="117" customFormat="1" ht="17.100000000000001" customHeight="1"/>
    <row r="118" customFormat="1" ht="17.100000000000001" customHeight="1"/>
    <row r="119" customFormat="1" ht="17.100000000000001" customHeight="1"/>
    <row r="120" customFormat="1" ht="17.100000000000001" customHeight="1"/>
    <row r="121" customFormat="1" ht="17.100000000000001" customHeight="1"/>
    <row r="122" customFormat="1" ht="17.100000000000001" customHeight="1"/>
    <row r="123" customFormat="1" ht="17.100000000000001" customHeight="1"/>
    <row r="124" customFormat="1" ht="17.100000000000001" customHeight="1"/>
    <row r="125" customFormat="1" ht="17.100000000000001" customHeight="1"/>
    <row r="126" customFormat="1" ht="17.100000000000001" customHeight="1"/>
    <row r="127" customFormat="1" ht="17.100000000000001" customHeight="1"/>
    <row r="128" customFormat="1" ht="17.100000000000001" customHeight="1"/>
    <row r="129" customFormat="1" ht="17.100000000000001" customHeight="1"/>
    <row r="130" customFormat="1" ht="17.100000000000001" customHeight="1"/>
    <row r="131" customFormat="1" ht="17.100000000000001" customHeight="1"/>
    <row r="132" customFormat="1" ht="17.100000000000001" customHeight="1"/>
    <row r="133" customFormat="1" ht="17.100000000000001" customHeight="1"/>
    <row r="134" customFormat="1" ht="17.100000000000001" customHeight="1"/>
    <row r="135" customFormat="1" ht="17.100000000000001" customHeight="1"/>
    <row r="136" customFormat="1" ht="17.100000000000001" customHeight="1"/>
    <row r="137" customFormat="1" ht="17.100000000000001" customHeight="1"/>
    <row r="138" customFormat="1" ht="17.100000000000001" customHeight="1"/>
    <row r="139" customFormat="1" ht="17.100000000000001" customHeight="1"/>
    <row r="140" customFormat="1" ht="17.100000000000001" customHeight="1"/>
    <row r="141" customFormat="1" ht="17.100000000000001" customHeight="1"/>
    <row r="142" customFormat="1" ht="17.100000000000001" customHeight="1"/>
    <row r="143" customFormat="1" ht="17.100000000000001" customHeight="1"/>
    <row r="144" customFormat="1" ht="17.100000000000001" customHeight="1"/>
    <row r="145" customFormat="1" ht="17.100000000000001" customHeight="1"/>
    <row r="146" customFormat="1" ht="17.100000000000001" customHeight="1"/>
    <row r="147" customFormat="1" ht="17.100000000000001" customHeight="1"/>
    <row r="148" customFormat="1" ht="17.100000000000001" customHeight="1"/>
    <row r="149" customFormat="1" ht="17.100000000000001" customHeight="1"/>
    <row r="150" customFormat="1" ht="17.100000000000001" customHeight="1"/>
    <row r="151" customFormat="1" ht="17.100000000000001" customHeight="1"/>
    <row r="152" customFormat="1" ht="17.100000000000001" customHeight="1"/>
    <row r="153" customFormat="1" ht="17.100000000000001" customHeight="1"/>
    <row r="154" customFormat="1" ht="17.100000000000001" customHeight="1"/>
    <row r="155" customFormat="1" ht="17.100000000000001" customHeight="1"/>
    <row r="156" customFormat="1" ht="17.100000000000001" customHeight="1"/>
    <row r="157" customFormat="1" ht="17.100000000000001" customHeight="1"/>
    <row r="158" customFormat="1" ht="17.100000000000001" customHeight="1"/>
    <row r="159" customFormat="1" ht="17.100000000000001" customHeight="1"/>
    <row r="160" customFormat="1" ht="17.100000000000001" customHeight="1"/>
    <row r="161" customFormat="1" ht="17.100000000000001" customHeight="1"/>
    <row r="162" customFormat="1" ht="17.100000000000001" customHeight="1"/>
    <row r="163" customFormat="1" ht="17.100000000000001" customHeight="1"/>
    <row r="164" customFormat="1" ht="17.100000000000001" customHeight="1"/>
    <row r="165" customFormat="1" ht="17.100000000000001" customHeight="1"/>
    <row r="166" customFormat="1" ht="17.100000000000001" customHeight="1"/>
    <row r="167" customFormat="1" ht="17.100000000000001" customHeight="1"/>
    <row r="168" customFormat="1" ht="17.100000000000001" customHeight="1"/>
    <row r="169" customFormat="1" ht="17.100000000000001" customHeight="1"/>
    <row r="170" customFormat="1" ht="17.100000000000001" customHeight="1"/>
    <row r="171" customFormat="1" ht="17.100000000000001" customHeight="1"/>
    <row r="172" customFormat="1" ht="17.100000000000001" customHeight="1"/>
    <row r="173" customFormat="1" ht="17.100000000000001" customHeight="1"/>
    <row r="174" customFormat="1" ht="17.100000000000001" customHeight="1"/>
    <row r="175" customFormat="1" ht="17.100000000000001" customHeight="1"/>
    <row r="176" customFormat="1" ht="17.100000000000001" customHeight="1"/>
    <row r="177" customFormat="1" ht="17.100000000000001" customHeight="1"/>
    <row r="178" customFormat="1" ht="17.100000000000001" customHeight="1"/>
    <row r="179" customFormat="1" ht="17.100000000000001" customHeight="1"/>
    <row r="180" customFormat="1" ht="17.100000000000001" customHeight="1"/>
    <row r="181" customFormat="1" ht="17.100000000000001" customHeight="1"/>
    <row r="182" customFormat="1" ht="17.100000000000001" customHeight="1"/>
    <row r="183" customFormat="1" ht="17.100000000000001" customHeight="1"/>
    <row r="184" customFormat="1" ht="17.100000000000001" customHeight="1"/>
    <row r="185" customFormat="1" ht="17.100000000000001" customHeight="1"/>
    <row r="186" customFormat="1" ht="17.100000000000001" customHeight="1"/>
    <row r="187" customFormat="1" ht="17.100000000000001" customHeight="1"/>
    <row r="188" customFormat="1" ht="17.100000000000001" customHeight="1"/>
    <row r="189" customFormat="1" ht="17.100000000000001" customHeight="1"/>
    <row r="190" customFormat="1" ht="17.100000000000001" customHeight="1"/>
    <row r="191" customFormat="1" ht="17.100000000000001" customHeight="1"/>
    <row r="192" customFormat="1" ht="17.100000000000001" customHeight="1"/>
    <row r="193" customFormat="1" ht="17.100000000000001" customHeight="1"/>
    <row r="194" customFormat="1" ht="17.100000000000001" customHeight="1"/>
    <row r="195" customFormat="1" ht="17.100000000000001" customHeight="1"/>
    <row r="196" customFormat="1" ht="17.100000000000001" customHeight="1"/>
    <row r="197" customFormat="1" ht="17.100000000000001" customHeight="1"/>
    <row r="198" customFormat="1" ht="17.100000000000001" customHeight="1"/>
    <row r="199" customFormat="1" ht="17.100000000000001" customHeight="1"/>
    <row r="200" customFormat="1" ht="17.100000000000001" customHeight="1"/>
    <row r="201" customFormat="1" ht="17.100000000000001" customHeight="1"/>
    <row r="202" customFormat="1" ht="17.100000000000001" customHeight="1"/>
    <row r="203" customFormat="1" ht="17.100000000000001" customHeight="1"/>
    <row r="204" customFormat="1" ht="17.100000000000001" customHeight="1"/>
    <row r="205" customFormat="1" ht="17.100000000000001" customHeight="1"/>
    <row r="206" customFormat="1" ht="17.100000000000001" customHeight="1"/>
    <row r="207" customFormat="1" ht="17.100000000000001" customHeight="1"/>
    <row r="208" customFormat="1" ht="17.100000000000001" customHeight="1"/>
    <row r="209" customFormat="1" ht="17.100000000000001" customHeight="1"/>
    <row r="210" customFormat="1" ht="17.100000000000001" customHeight="1"/>
    <row r="211" customFormat="1" ht="17.100000000000001" customHeight="1"/>
    <row r="212" customFormat="1" ht="17.100000000000001" customHeight="1"/>
    <row r="213" customFormat="1" ht="17.100000000000001" customHeight="1"/>
    <row r="214" customFormat="1" ht="17.100000000000001" customHeight="1"/>
    <row r="215" customFormat="1" ht="17.100000000000001" customHeight="1"/>
    <row r="216" customFormat="1" ht="16.350000000000001" customHeight="1"/>
    <row r="217" customFormat="1" ht="16.350000000000001" customHeight="1"/>
    <row r="218" customFormat="1" ht="16.350000000000001" customHeight="1"/>
    <row r="219" customFormat="1" ht="16.350000000000001" customHeight="1"/>
  </sheetData>
  <sheetProtection algorithmName="SHA-512" hashValue="CUq14nXCRfG/A4/ZSzdLlZS/z09gO+3axmQcqSBUpPQwS4pTYtlTxu+05IIX2i0IdIbNrEdgB6CGJ73AFNNAxQ==" saltValue="+W4xXwLiKiu6ST2aK90XUg==" spinCount="100000" sheet="1" objects="1" scenarios="1"/>
  <phoneticPr fontId="2" type="noConversion"/>
  <pageMargins left="0.7" right="0.7" top="0.75" bottom="0.75" header="0.3" footer="0.3"/>
  <pageSetup paperSize="9" orientation="portrait" horizontalDpi="4294967295" verticalDpi="4294967295"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tabColor theme="7" tint="-0.249977111117893"/>
  </sheetPr>
  <dimension ref="A1:L210"/>
  <sheetViews>
    <sheetView workbookViewId="0">
      <selection activeCell="F11" sqref="F11"/>
    </sheetView>
  </sheetViews>
  <sheetFormatPr defaultColWidth="8.3984375" defaultRowHeight="12.75"/>
  <cols>
    <col min="1" max="1" width="55.1328125" style="80" customWidth="1"/>
    <col min="2" max="26" width="11.73046875" style="80" customWidth="1"/>
    <col min="27" max="16384" width="8.3984375" style="80"/>
  </cols>
  <sheetData>
    <row r="1" spans="1:12" ht="50.1" customHeight="1">
      <c r="A1" s="343" t="s">
        <v>866</v>
      </c>
    </row>
    <row r="2" spans="1:12" ht="17.100000000000001" hidden="1" customHeight="1"/>
    <row r="3" spans="1:12" ht="17.100000000000001" hidden="1" customHeight="1"/>
    <row r="4" spans="1:12" ht="17.100000000000001" hidden="1" customHeight="1"/>
    <row r="5" spans="1:12" ht="17.100000000000001" customHeight="1">
      <c r="A5" s="151" t="s">
        <v>86</v>
      </c>
      <c r="B5" s="80" t="s">
        <v>103</v>
      </c>
      <c r="C5" s="80" t="s">
        <v>104</v>
      </c>
      <c r="D5" s="80" t="s">
        <v>756</v>
      </c>
      <c r="E5" s="80" t="s">
        <v>878</v>
      </c>
    </row>
    <row r="6" spans="1:12" s="365" customFormat="1" ht="17.100000000000001" customHeight="1">
      <c r="A6" s="366" t="s">
        <v>107</v>
      </c>
      <c r="B6" s="367">
        <v>11683290</v>
      </c>
      <c r="C6" s="367">
        <v>15000000</v>
      </c>
      <c r="D6" s="367">
        <v>3800000</v>
      </c>
      <c r="E6" s="367">
        <v>8200000</v>
      </c>
    </row>
    <row r="7" spans="1:12" ht="17.100000000000001" customHeight="1">
      <c r="A7" s="77" t="s">
        <v>758</v>
      </c>
      <c r="B7" s="80">
        <v>43</v>
      </c>
      <c r="C7" s="80">
        <v>60</v>
      </c>
      <c r="D7" s="80">
        <v>34</v>
      </c>
      <c r="E7" s="80">
        <v>31</v>
      </c>
    </row>
    <row r="8" spans="1:12" ht="17.100000000000001" customHeight="1">
      <c r="A8" s="77" t="s">
        <v>757</v>
      </c>
      <c r="B8" s="80">
        <v>76</v>
      </c>
      <c r="C8" s="80">
        <v>28</v>
      </c>
      <c r="D8" s="80">
        <v>93</v>
      </c>
      <c r="E8" s="80">
        <v>37</v>
      </c>
    </row>
    <row r="9" spans="1:12" ht="17.100000000000001" customHeight="1">
      <c r="A9" s="151" t="s">
        <v>235</v>
      </c>
    </row>
    <row r="10" spans="1:12" ht="17.100000000000001" customHeight="1">
      <c r="A10" s="77" t="s">
        <v>788</v>
      </c>
      <c r="B10" s="82">
        <f>(64030 / 2 + 10000) * 1000 * 1000</f>
        <v>42015000000</v>
      </c>
      <c r="C10" s="80">
        <f>789600000000 + 309400000000</f>
        <v>1099000000000</v>
      </c>
      <c r="D10" s="82">
        <f>D6/87*2590000</f>
        <v>113126436781.60919</v>
      </c>
      <c r="E10" s="82">
        <v>685000000</v>
      </c>
      <c r="F10" s="82"/>
    </row>
    <row r="11" spans="1:12" ht="17.100000000000001" customHeight="1">
      <c r="A11" s="77" t="s">
        <v>241</v>
      </c>
      <c r="B11" s="261">
        <f>4086 / (64030 / 2 + 10000)</f>
        <v>9.725098179221707E-2</v>
      </c>
      <c r="C11" s="261">
        <f>(742 + 1355 + 2034 + 709) * 10 ^ 6 /C10</f>
        <v>4.4040036396724297E-3</v>
      </c>
      <c r="D11" s="261">
        <v>5.2999999999999999E-2</v>
      </c>
      <c r="E11" s="262">
        <f>119870000/E10</f>
        <v>0.17499270072992701</v>
      </c>
    </row>
    <row r="12" spans="1:12" ht="17.100000000000001" customHeight="1">
      <c r="A12" s="77" t="s">
        <v>242</v>
      </c>
      <c r="B12" s="261">
        <f>1-B11</f>
        <v>0.90274901820778297</v>
      </c>
      <c r="C12" s="261">
        <f>1-C11</f>
        <v>0.99559599636032758</v>
      </c>
      <c r="D12" s="261">
        <f>1-D11</f>
        <v>0.94699999999999995</v>
      </c>
      <c r="E12" s="262">
        <f>1-E11</f>
        <v>0.82500729927007299</v>
      </c>
    </row>
    <row r="13" spans="1:12" ht="17.100000000000001" customHeight="1">
      <c r="A13" s="77" t="s">
        <v>558</v>
      </c>
      <c r="B13" s="223">
        <f>141.26/3*B6/(B10*B11)</f>
        <v>0.13463709784630445</v>
      </c>
      <c r="C13" s="263">
        <f>45.2*C6/(C10*C11)</f>
        <v>0.14008264462809916</v>
      </c>
      <c r="D13" s="263">
        <f>74*D6/(D10*D11)</f>
        <v>4.6900269541778977E-2</v>
      </c>
      <c r="E13" s="110">
        <f>46.52/119.87</f>
        <v>0.38808709435221489</v>
      </c>
    </row>
    <row r="14" spans="1:12" ht="17.100000000000001" customHeight="1">
      <c r="A14" s="77" t="s">
        <v>559</v>
      </c>
      <c r="B14" s="263">
        <f>45800000 / 2 / 47000000 - B13</f>
        <v>0.35259694470688702</v>
      </c>
      <c r="C14" s="263">
        <f>61000000 / 220000000-C13</f>
        <v>0.13719008264462812</v>
      </c>
      <c r="D14" s="263">
        <f>25.5%-D13</f>
        <v>0.20809973045822103</v>
      </c>
      <c r="E14" s="263">
        <f>(23.37+0.51)/119.87</f>
        <v>0.19921581713522984</v>
      </c>
      <c r="F14" s="263"/>
      <c r="G14" s="263"/>
      <c r="H14" s="263"/>
      <c r="I14" s="263"/>
      <c r="J14" s="263"/>
      <c r="K14" s="263"/>
      <c r="L14" s="263"/>
    </row>
    <row r="15" spans="1:12" ht="17.100000000000001" customHeight="1">
      <c r="A15" s="77" t="s">
        <v>152</v>
      </c>
      <c r="B15" s="263">
        <f>20500000 / 1.2 / 47000000</f>
        <v>0.36347517730496459</v>
      </c>
      <c r="C15" s="263">
        <v>0.3</v>
      </c>
      <c r="D15" s="263">
        <v>0.35</v>
      </c>
      <c r="E15" s="263">
        <f>13.61/119.87</f>
        <v>0.1135396679736381</v>
      </c>
      <c r="F15" s="263"/>
      <c r="G15" s="263"/>
      <c r="H15" s="263"/>
      <c r="I15" s="263"/>
      <c r="J15" s="263"/>
      <c r="K15" s="263"/>
      <c r="L15" s="263"/>
    </row>
    <row r="16" spans="1:12" ht="17.100000000000001" customHeight="1">
      <c r="A16" s="77" t="s">
        <v>563</v>
      </c>
      <c r="B16" s="263">
        <f>7000000 / 47000000</f>
        <v>0.14893617021276595</v>
      </c>
      <c r="C16" s="263">
        <v>0.25</v>
      </c>
      <c r="D16" s="263">
        <v>1.6E-2</v>
      </c>
      <c r="E16" s="263">
        <f>1-SUM(E13:E15,E17)</f>
        <v>1.2513556352715671E-3</v>
      </c>
      <c r="F16" s="263"/>
      <c r="G16" s="263"/>
      <c r="H16" s="263"/>
      <c r="I16" s="263"/>
      <c r="J16" s="263"/>
      <c r="K16" s="263"/>
      <c r="L16" s="263"/>
    </row>
    <row r="17" spans="1:12" ht="17.100000000000001" customHeight="1">
      <c r="A17" s="77" t="s">
        <v>87</v>
      </c>
      <c r="B17" s="263">
        <f>1-SUM(B13:B16)</f>
        <v>3.5460992907798694E-4</v>
      </c>
      <c r="C17" s="263">
        <f>1-SUM(C13:C16)</f>
        <v>0.17272727272727273</v>
      </c>
      <c r="D17" s="263">
        <f>1-SUM(D13:D16)</f>
        <v>0.379</v>
      </c>
      <c r="E17" s="263">
        <f>35.71/119.87</f>
        <v>0.29790606490364563</v>
      </c>
      <c r="F17" s="263"/>
      <c r="G17" s="263"/>
      <c r="H17" s="263"/>
      <c r="I17" s="263"/>
      <c r="J17" s="263"/>
      <c r="K17" s="263"/>
      <c r="L17" s="263"/>
    </row>
    <row r="18" spans="1:12" ht="17.100000000000001" customHeight="1">
      <c r="A18" s="77" t="s">
        <v>88</v>
      </c>
      <c r="B18" s="263">
        <f>1-SUM(B19:B21)</f>
        <v>1.6349495109283185E-2</v>
      </c>
      <c r="C18" s="110">
        <f>1-SUM(C19:C21)</f>
        <v>0.24324661841047013</v>
      </c>
      <c r="D18" s="263">
        <f>1-SUM(D19:D21)</f>
        <v>0.29200000000000004</v>
      </c>
      <c r="E18" s="263">
        <v>0.98260000000000003</v>
      </c>
      <c r="F18" s="263"/>
      <c r="G18" s="263"/>
      <c r="H18" s="263"/>
      <c r="I18" s="263"/>
      <c r="J18" s="263"/>
      <c r="K18" s="263"/>
      <c r="L18" s="263"/>
    </row>
    <row r="19" spans="1:12" ht="17.100000000000001" customHeight="1">
      <c r="A19" s="77" t="s">
        <v>557</v>
      </c>
      <c r="B19" s="263">
        <v>0.66</v>
      </c>
      <c r="C19" s="263">
        <f>0.602 * 789600000000/(C10*C12)</f>
        <v>0.43443298969072164</v>
      </c>
      <c r="D19" s="263">
        <v>0.35799999999999998</v>
      </c>
      <c r="E19" s="263">
        <v>4.1999999999999997E-3</v>
      </c>
      <c r="F19" s="263"/>
      <c r="G19" s="263"/>
      <c r="H19" s="263"/>
      <c r="I19" s="263"/>
      <c r="J19" s="263"/>
      <c r="K19" s="263"/>
      <c r="L19" s="263"/>
    </row>
    <row r="20" spans="1:12" ht="17.100000000000001" customHeight="1">
      <c r="A20" s="77" t="s">
        <v>564</v>
      </c>
      <c r="B20" s="263">
        <v>0.06</v>
      </c>
      <c r="C20" s="263">
        <f>0.0548 * 789600000000/(C10*C12)</f>
        <v>3.954639175257732E-2</v>
      </c>
      <c r="D20" s="263">
        <v>7.0000000000000007E-2</v>
      </c>
      <c r="E20" s="263">
        <v>1.3100000000000001E-2</v>
      </c>
      <c r="F20" s="263"/>
      <c r="G20" s="263"/>
      <c r="H20" s="263"/>
      <c r="I20" s="263"/>
      <c r="J20" s="263"/>
      <c r="K20" s="263"/>
      <c r="L20" s="263"/>
    </row>
    <row r="21" spans="1:12" ht="17.100000000000001" customHeight="1">
      <c r="A21" s="77" t="s">
        <v>565</v>
      </c>
      <c r="B21" s="263">
        <f>10000 / (64030 / 2 + 10000 - 4086)</f>
        <v>0.26365050489071684</v>
      </c>
      <c r="C21" s="263">
        <f>309400000000/(C10*C12)</f>
        <v>0.28277400014623089</v>
      </c>
      <c r="D21" s="263">
        <f>D20*4</f>
        <v>0.28000000000000003</v>
      </c>
      <c r="E21" s="263">
        <f>0.0001</f>
        <v>1E-4</v>
      </c>
      <c r="F21" s="263"/>
      <c r="G21" s="263"/>
      <c r="H21" s="263"/>
      <c r="I21" s="263"/>
      <c r="J21" s="263"/>
      <c r="K21" s="263"/>
      <c r="L21" s="263"/>
    </row>
    <row r="22" spans="1:12" ht="17.100000000000001" customHeight="1">
      <c r="A22" s="77" t="s">
        <v>560</v>
      </c>
      <c r="B22" s="81">
        <v>0.6</v>
      </c>
      <c r="C22" s="81">
        <v>0.6</v>
      </c>
      <c r="D22" s="81">
        <v>0.6</v>
      </c>
      <c r="E22" s="81">
        <v>0.6</v>
      </c>
    </row>
    <row r="23" spans="1:12" ht="17.100000000000001" customHeight="1">
      <c r="A23" s="77" t="s">
        <v>561</v>
      </c>
      <c r="B23" s="81">
        <v>0.4</v>
      </c>
      <c r="C23" s="81">
        <v>0.4</v>
      </c>
      <c r="D23" s="81">
        <v>0.4</v>
      </c>
      <c r="E23" s="81">
        <v>0.4</v>
      </c>
    </row>
    <row r="24" spans="1:12" ht="17.100000000000001" customHeight="1">
      <c r="A24" s="77" t="s">
        <v>562</v>
      </c>
      <c r="B24" s="81">
        <v>0.24</v>
      </c>
      <c r="C24" s="81">
        <v>0.24</v>
      </c>
      <c r="D24" s="81">
        <v>0.24</v>
      </c>
      <c r="E24" s="81">
        <v>0.24</v>
      </c>
    </row>
    <row r="25" spans="1:12" ht="17.100000000000001" customHeight="1">
      <c r="A25" s="77" t="s">
        <v>567</v>
      </c>
      <c r="B25" s="80">
        <v>1.2</v>
      </c>
      <c r="C25" s="80">
        <v>1.2</v>
      </c>
      <c r="D25" s="80">
        <v>1.2</v>
      </c>
      <c r="E25" s="80">
        <v>1.2</v>
      </c>
    </row>
    <row r="26" spans="1:12" ht="17.100000000000001" customHeight="1">
      <c r="A26" s="77" t="s">
        <v>568</v>
      </c>
      <c r="B26" s="80">
        <v>2</v>
      </c>
      <c r="C26" s="80">
        <v>2</v>
      </c>
      <c r="D26" s="80">
        <v>2</v>
      </c>
      <c r="E26" s="80">
        <v>2</v>
      </c>
    </row>
    <row r="27" spans="1:12" ht="15.75" customHeight="1">
      <c r="A27" s="77"/>
    </row>
    <row r="28" spans="1:12" ht="15.75" hidden="1" customHeight="1">
      <c r="A28" s="77"/>
    </row>
    <row r="29" spans="1:12" ht="15.75" hidden="1" customHeight="1">
      <c r="A29" s="77"/>
    </row>
    <row r="30" spans="1:12" ht="17.100000000000001" customHeight="1">
      <c r="A30" s="151" t="s">
        <v>566</v>
      </c>
    </row>
    <row r="31" spans="1:12" ht="17.100000000000001" customHeight="1">
      <c r="A31" s="77" t="s">
        <v>471</v>
      </c>
      <c r="B31" s="80">
        <v>0.75</v>
      </c>
      <c r="C31" s="80">
        <v>1.23</v>
      </c>
      <c r="D31" s="80">
        <v>0.45</v>
      </c>
      <c r="E31" s="80">
        <v>0.37</v>
      </c>
    </row>
    <row r="32" spans="1:12" ht="17.100000000000001" customHeight="1">
      <c r="A32" s="77" t="s">
        <v>472</v>
      </c>
      <c r="B32" s="80">
        <f>1.18 * 24</f>
        <v>28.32</v>
      </c>
      <c r="C32" s="80">
        <v>27.2</v>
      </c>
      <c r="D32" s="80">
        <f>1.18 * 24</f>
        <v>28.32</v>
      </c>
      <c r="E32" s="80">
        <v>23</v>
      </c>
    </row>
    <row r="33" spans="1:5" ht="17.100000000000001" customHeight="1">
      <c r="A33" s="77" t="s">
        <v>473</v>
      </c>
      <c r="B33" s="190">
        <v>1337.6</v>
      </c>
      <c r="C33" s="190">
        <v>1693</v>
      </c>
      <c r="D33" s="190">
        <f>202</f>
        <v>202</v>
      </c>
      <c r="E33" s="190">
        <v>9.56</v>
      </c>
    </row>
    <row r="34" spans="1:5" ht="17.100000000000001" customHeight="1">
      <c r="A34" s="77" t="s">
        <v>476</v>
      </c>
      <c r="B34" s="190">
        <f>50*365*24</f>
        <v>438000</v>
      </c>
      <c r="C34" s="190">
        <f>61320*1.5</f>
        <v>91980</v>
      </c>
      <c r="D34" s="190">
        <f>D38*0.3</f>
        <v>131400</v>
      </c>
      <c r="E34" s="190">
        <f>50*365*24</f>
        <v>438000</v>
      </c>
    </row>
    <row r="35" spans="1:5" ht="17.100000000000001" customHeight="1">
      <c r="A35" s="77" t="s">
        <v>477</v>
      </c>
      <c r="B35" s="190">
        <f>200*365*24</f>
        <v>1752000</v>
      </c>
      <c r="C35" s="190">
        <f>365*24*35*1.5</f>
        <v>459900</v>
      </c>
      <c r="D35" s="190">
        <f>D39</f>
        <v>1752000</v>
      </c>
      <c r="E35" s="190">
        <f>200*365*24</f>
        <v>1752000</v>
      </c>
    </row>
    <row r="36" spans="1:5" ht="17.100000000000001" customHeight="1">
      <c r="A36" s="77" t="s">
        <v>474</v>
      </c>
      <c r="B36" s="190">
        <v>1851.1222</v>
      </c>
      <c r="C36" s="190">
        <f>6000</f>
        <v>6000</v>
      </c>
      <c r="D36" s="190">
        <v>6000</v>
      </c>
      <c r="E36" s="190">
        <v>575.14729999999997</v>
      </c>
    </row>
    <row r="37" spans="1:5" ht="17.100000000000001" customHeight="1">
      <c r="A37" s="77" t="s">
        <v>475</v>
      </c>
      <c r="B37" s="190">
        <v>90747.017999999996</v>
      </c>
      <c r="C37" s="190">
        <v>147862.56</v>
      </c>
      <c r="D37" s="190">
        <v>270578</v>
      </c>
      <c r="E37" s="190">
        <v>56.53</v>
      </c>
    </row>
    <row r="38" spans="1:5" ht="17.100000000000001" customHeight="1">
      <c r="A38" s="77" t="s">
        <v>478</v>
      </c>
      <c r="B38" s="190">
        <f>50*365*24</f>
        <v>438000</v>
      </c>
      <c r="C38" s="190">
        <f>365*24*7</f>
        <v>61320</v>
      </c>
      <c r="D38" s="190">
        <f>50*365*24</f>
        <v>438000</v>
      </c>
      <c r="E38" s="190">
        <f>50*365*24</f>
        <v>438000</v>
      </c>
    </row>
    <row r="39" spans="1:5" ht="17.100000000000001" customHeight="1">
      <c r="A39" s="77" t="s">
        <v>479</v>
      </c>
      <c r="B39" s="190">
        <f>200*365*24</f>
        <v>1752000</v>
      </c>
      <c r="C39" s="190">
        <f>365*24*40</f>
        <v>350400</v>
      </c>
      <c r="D39" s="190">
        <f>200*365*24</f>
        <v>1752000</v>
      </c>
      <c r="E39" s="190">
        <f>250*365*24</f>
        <v>2190000</v>
      </c>
    </row>
    <row r="40" spans="1:5" ht="17.100000000000001" customHeight="1">
      <c r="A40" s="80" t="s">
        <v>883</v>
      </c>
      <c r="B40" s="80">
        <v>0</v>
      </c>
      <c r="C40" s="80">
        <v>0</v>
      </c>
      <c r="D40" s="80">
        <v>0</v>
      </c>
      <c r="E40" s="80">
        <v>0</v>
      </c>
    </row>
    <row r="41" spans="1:5" ht="17.100000000000001" customHeight="1">
      <c r="A41" s="77" t="s">
        <v>884</v>
      </c>
      <c r="B41" s="80">
        <v>12</v>
      </c>
      <c r="C41" s="80">
        <v>12</v>
      </c>
      <c r="D41" s="80">
        <v>12</v>
      </c>
      <c r="E41" s="80">
        <v>12</v>
      </c>
    </row>
    <row r="42" spans="1:5" ht="17.100000000000001" hidden="1" customHeight="1">
      <c r="A42" s="77"/>
    </row>
    <row r="43" spans="1:5" ht="17.100000000000001" customHeight="1">
      <c r="A43" s="77" t="s">
        <v>789</v>
      </c>
      <c r="B43" s="80">
        <v>30</v>
      </c>
      <c r="C43" s="80">
        <v>20</v>
      </c>
      <c r="D43" s="80">
        <v>40</v>
      </c>
      <c r="E43" s="80">
        <v>84</v>
      </c>
    </row>
    <row r="44" spans="1:5" ht="17.100000000000001" customHeight="1">
      <c r="A44" s="77" t="s">
        <v>790</v>
      </c>
      <c r="B44" s="80">
        <v>20</v>
      </c>
      <c r="C44" s="80">
        <v>15</v>
      </c>
      <c r="D44" s="80">
        <v>20</v>
      </c>
      <c r="E44" s="80">
        <v>84</v>
      </c>
    </row>
    <row r="45" spans="1:5" ht="17.100000000000001" customHeight="1">
      <c r="A45" s="77" t="s">
        <v>569</v>
      </c>
      <c r="B45" s="80">
        <v>100</v>
      </c>
      <c r="C45" s="80">
        <v>100</v>
      </c>
      <c r="D45" s="80">
        <v>100</v>
      </c>
      <c r="E45" s="80">
        <v>100</v>
      </c>
    </row>
    <row r="46" spans="1:5" ht="17.100000000000001" customHeight="1">
      <c r="A46" s="77" t="s">
        <v>570</v>
      </c>
      <c r="B46" s="80">
        <v>10</v>
      </c>
      <c r="C46" s="80">
        <v>10</v>
      </c>
      <c r="D46" s="80">
        <v>10</v>
      </c>
      <c r="E46" s="80">
        <v>10</v>
      </c>
    </row>
    <row r="47" spans="1:5" ht="15.75" customHeight="1">
      <c r="A47" s="77"/>
    </row>
    <row r="48" spans="1:5" ht="15.75" hidden="1" customHeight="1">
      <c r="A48" s="77"/>
    </row>
    <row r="49" spans="1:5" ht="15.75" hidden="1" customHeight="1">
      <c r="A49" s="77"/>
    </row>
    <row r="50" spans="1:5" ht="17.100000000000001" customHeight="1">
      <c r="A50" s="151" t="s">
        <v>28</v>
      </c>
    </row>
    <row r="51" spans="1:5" ht="17.100000000000001" customHeight="1">
      <c r="A51" s="77" t="s">
        <v>791</v>
      </c>
      <c r="B51" s="80">
        <v>3</v>
      </c>
      <c r="C51" s="80">
        <v>3</v>
      </c>
      <c r="D51" s="80">
        <v>3</v>
      </c>
      <c r="E51" s="80">
        <v>3</v>
      </c>
    </row>
    <row r="52" spans="1:5" ht="17.100000000000001" customHeight="1">
      <c r="A52" s="77" t="s">
        <v>244</v>
      </c>
      <c r="B52" s="80">
        <v>293.14999999999998</v>
      </c>
      <c r="C52" s="80">
        <f>20+273.15</f>
        <v>293.14999999999998</v>
      </c>
      <c r="D52" s="80">
        <v>293.14999999999998</v>
      </c>
      <c r="E52" s="80">
        <v>293.14999999999998</v>
      </c>
    </row>
    <row r="53" spans="1:5" ht="17.100000000000001" customHeight="1">
      <c r="A53" s="77" t="s">
        <v>89</v>
      </c>
      <c r="B53" s="80">
        <f>-3.7 + 273.15</f>
        <v>269.45</v>
      </c>
      <c r="C53" s="80">
        <v>267.8</v>
      </c>
      <c r="D53" s="80">
        <f>14.4 + 273.15</f>
        <v>287.54999999999995</v>
      </c>
      <c r="E53" s="80">
        <v>279</v>
      </c>
    </row>
    <row r="54" spans="1:5" ht="17.100000000000001" customHeight="1">
      <c r="A54" s="77" t="s">
        <v>90</v>
      </c>
      <c r="B54" s="80">
        <f>-2.6+273.15</f>
        <v>270.54999999999995</v>
      </c>
      <c r="C54" s="80">
        <v>264.89999999999998</v>
      </c>
      <c r="D54" s="80">
        <f>14.9+273.15</f>
        <v>288.04999999999995</v>
      </c>
      <c r="E54" s="80">
        <v>282</v>
      </c>
    </row>
    <row r="55" spans="1:5" ht="17.100000000000001" customHeight="1">
      <c r="A55" s="77" t="s">
        <v>91</v>
      </c>
      <c r="B55" s="80">
        <f>1.4+273.15</f>
        <v>274.54999999999995</v>
      </c>
      <c r="C55" s="80">
        <v>270.2</v>
      </c>
      <c r="D55" s="80">
        <f>15.9+273.15</f>
        <v>289.04999999999995</v>
      </c>
      <c r="E55" s="80">
        <v>288</v>
      </c>
    </row>
    <row r="56" spans="1:5" ht="17.100000000000001" customHeight="1">
      <c r="A56" s="77" t="s">
        <v>92</v>
      </c>
      <c r="B56" s="80">
        <f>7.9+273.15</f>
        <v>281.04999999999995</v>
      </c>
      <c r="C56" s="80">
        <v>276.3</v>
      </c>
      <c r="D56" s="80">
        <f>17.3+273.15</f>
        <v>290.45</v>
      </c>
      <c r="E56" s="80">
        <v>294</v>
      </c>
    </row>
    <row r="57" spans="1:5" ht="17.100000000000001" customHeight="1">
      <c r="A57" s="77" t="s">
        <v>93</v>
      </c>
      <c r="B57" s="80">
        <f>14.1+273.15</f>
        <v>287.25</v>
      </c>
      <c r="C57" s="80">
        <v>281.3</v>
      </c>
      <c r="D57" s="80">
        <f>18.8+273.15</f>
        <v>291.95</v>
      </c>
      <c r="E57" s="80">
        <v>300</v>
      </c>
    </row>
    <row r="58" spans="1:5" ht="17.100000000000001" customHeight="1">
      <c r="A58" s="77" t="s">
        <v>94</v>
      </c>
      <c r="B58" s="80">
        <f>19.4+273.15</f>
        <v>292.54999999999995</v>
      </c>
      <c r="C58" s="80">
        <v>284.5</v>
      </c>
      <c r="D58" s="80">
        <f>20.7+273.15</f>
        <v>293.84999999999997</v>
      </c>
      <c r="E58" s="80">
        <v>303</v>
      </c>
    </row>
    <row r="59" spans="1:5" ht="17.100000000000001" customHeight="1">
      <c r="A59" s="77" t="s">
        <v>95</v>
      </c>
      <c r="B59" s="80">
        <f>22.3+273.15</f>
        <v>295.45</v>
      </c>
      <c r="C59" s="80">
        <v>287.89999999999998</v>
      </c>
      <c r="D59" s="80">
        <f>22.9+273.15</f>
        <v>296.04999999999995</v>
      </c>
      <c r="E59" s="80">
        <v>305</v>
      </c>
    </row>
    <row r="60" spans="1:5" ht="17.100000000000001" customHeight="1">
      <c r="A60" s="77" t="s">
        <v>96</v>
      </c>
      <c r="B60" s="80">
        <f>21.5+273.15</f>
        <v>294.64999999999998</v>
      </c>
      <c r="C60" s="80">
        <v>289.7</v>
      </c>
      <c r="D60" s="80">
        <f>23.5+273.15</f>
        <v>296.64999999999998</v>
      </c>
      <c r="E60" s="80">
        <v>304</v>
      </c>
    </row>
    <row r="61" spans="1:5" ht="17.100000000000001" customHeight="1">
      <c r="A61" s="77" t="s">
        <v>97</v>
      </c>
      <c r="B61" s="80">
        <f>17.2+273.15</f>
        <v>290.34999999999997</v>
      </c>
      <c r="C61" s="80">
        <v>281.3</v>
      </c>
      <c r="D61" s="80">
        <f>22.8+273.15</f>
        <v>295.95</v>
      </c>
      <c r="E61" s="80">
        <v>300</v>
      </c>
    </row>
    <row r="62" spans="1:5" ht="17.100000000000001" customHeight="1">
      <c r="A62" s="77" t="s">
        <v>98</v>
      </c>
      <c r="B62" s="80">
        <f>10.7+273.15</f>
        <v>283.84999999999997</v>
      </c>
      <c r="C62" s="80">
        <v>278.3</v>
      </c>
      <c r="D62" s="80">
        <f>20.3+273.15</f>
        <v>293.45</v>
      </c>
      <c r="E62" s="80">
        <v>295</v>
      </c>
    </row>
    <row r="63" spans="1:5" ht="17.100000000000001" customHeight="1">
      <c r="A63" s="77" t="s">
        <v>99</v>
      </c>
      <c r="B63" s="80">
        <f>4.9+273.15</f>
        <v>278.04999999999995</v>
      </c>
      <c r="C63" s="80">
        <v>277</v>
      </c>
      <c r="D63" s="80">
        <f>16.9+273.15</f>
        <v>290.04999999999995</v>
      </c>
      <c r="E63" s="80">
        <v>288</v>
      </c>
    </row>
    <row r="64" spans="1:5" ht="17.100000000000001" customHeight="1">
      <c r="A64" s="77" t="s">
        <v>100</v>
      </c>
      <c r="B64" s="80">
        <f>-0.5+273.15</f>
        <v>272.64999999999998</v>
      </c>
      <c r="C64" s="80">
        <v>268.3</v>
      </c>
      <c r="D64" s="80">
        <f>14.2+273.15</f>
        <v>287.34999999999997</v>
      </c>
      <c r="E64" s="80">
        <v>282</v>
      </c>
    </row>
    <row r="65" spans="1:5" ht="17.100000000000001" customHeight="1">
      <c r="A65" s="77" t="s">
        <v>243</v>
      </c>
      <c r="B65" s="264">
        <f>AVERAGE(B53:B64)</f>
        <v>282.53333333333336</v>
      </c>
      <c r="C65" s="264">
        <f>AVERAGE(C53:C64)</f>
        <v>277.29166666666669</v>
      </c>
      <c r="D65" s="264">
        <f>AVERAGE(D53:D64)</f>
        <v>291.69999999999993</v>
      </c>
      <c r="E65" s="264">
        <v>293.33333329999999</v>
      </c>
    </row>
    <row r="66" spans="1:5" ht="15.75" customHeight="1">
      <c r="A66" s="77"/>
    </row>
    <row r="67" spans="1:5" ht="15.75" hidden="1" customHeight="1">
      <c r="A67" s="77"/>
    </row>
    <row r="68" spans="1:5" ht="15.75" hidden="1" customHeight="1">
      <c r="A68" s="77"/>
    </row>
    <row r="69" spans="1:5" ht="15.75" hidden="1" customHeight="1">
      <c r="A69" s="77"/>
    </row>
    <row r="70" spans="1:5" ht="17.100000000000001" customHeight="1">
      <c r="A70" s="151" t="s">
        <v>101</v>
      </c>
    </row>
    <row r="71" spans="1:5" ht="17.100000000000001" customHeight="1">
      <c r="A71" s="77" t="s">
        <v>240</v>
      </c>
      <c r="B71" s="80">
        <v>0</v>
      </c>
      <c r="C71" s="80">
        <v>0</v>
      </c>
      <c r="D71" s="80">
        <v>0</v>
      </c>
      <c r="E71" s="80">
        <v>0</v>
      </c>
    </row>
    <row r="72" spans="1:5" ht="17.100000000000001" customHeight="1">
      <c r="A72" s="77" t="s">
        <v>244</v>
      </c>
      <c r="B72" s="80">
        <v>1</v>
      </c>
      <c r="C72" s="80">
        <v>1</v>
      </c>
      <c r="D72" s="80">
        <v>1</v>
      </c>
      <c r="E72" s="80">
        <v>1</v>
      </c>
    </row>
    <row r="73" spans="1:5" ht="17.100000000000001" customHeight="1">
      <c r="A73" s="77" t="s">
        <v>89</v>
      </c>
      <c r="B73" s="80">
        <v>6.3</v>
      </c>
      <c r="C73" s="80">
        <v>5.4</v>
      </c>
      <c r="D73" s="80">
        <v>3.4</v>
      </c>
      <c r="E73" s="80">
        <v>3.4</v>
      </c>
    </row>
    <row r="74" spans="1:5" ht="17.100000000000001" customHeight="1">
      <c r="A74" s="77" t="s">
        <v>90</v>
      </c>
      <c r="B74" s="80">
        <v>6</v>
      </c>
      <c r="C74" s="80">
        <v>6.1</v>
      </c>
      <c r="D74" s="80">
        <v>3.4</v>
      </c>
      <c r="E74" s="80">
        <v>3.6</v>
      </c>
    </row>
    <row r="75" spans="1:5" ht="17.100000000000001" customHeight="1">
      <c r="A75" s="77" t="s">
        <v>91</v>
      </c>
      <c r="B75" s="80">
        <v>5.8</v>
      </c>
      <c r="C75" s="80">
        <v>5.0999999999999996</v>
      </c>
      <c r="D75" s="80">
        <v>4.2</v>
      </c>
      <c r="E75" s="80">
        <v>3.8</v>
      </c>
    </row>
    <row r="76" spans="1:5" ht="17.100000000000001" customHeight="1">
      <c r="A76" s="77" t="s">
        <v>92</v>
      </c>
      <c r="B76" s="80">
        <v>5.0999999999999996</v>
      </c>
      <c r="C76" s="80">
        <v>4.8</v>
      </c>
      <c r="D76" s="80">
        <v>4.2</v>
      </c>
      <c r="E76" s="80">
        <v>3.9</v>
      </c>
    </row>
    <row r="77" spans="1:5" ht="17.100000000000001" customHeight="1">
      <c r="A77" s="77" t="s">
        <v>93</v>
      </c>
      <c r="B77" s="80">
        <v>4.2</v>
      </c>
      <c r="C77" s="80">
        <v>5</v>
      </c>
      <c r="D77" s="80">
        <v>4.2</v>
      </c>
      <c r="E77" s="80">
        <v>3.7</v>
      </c>
    </row>
    <row r="78" spans="1:5" ht="17.100000000000001" customHeight="1">
      <c r="A78" s="77" t="s">
        <v>94</v>
      </c>
      <c r="B78" s="80">
        <v>4</v>
      </c>
      <c r="C78" s="80">
        <v>5.0999999999999996</v>
      </c>
      <c r="D78" s="80">
        <v>4.2</v>
      </c>
      <c r="E78" s="80">
        <v>3.4</v>
      </c>
    </row>
    <row r="79" spans="1:5" ht="17.100000000000001" customHeight="1">
      <c r="A79" s="77" t="s">
        <v>95</v>
      </c>
      <c r="B79" s="80">
        <v>3.8</v>
      </c>
      <c r="C79" s="80">
        <v>4.5999999999999996</v>
      </c>
      <c r="D79" s="80">
        <v>4.2</v>
      </c>
      <c r="E79" s="80">
        <v>3.2</v>
      </c>
    </row>
    <row r="80" spans="1:5" ht="17.100000000000001" customHeight="1">
      <c r="A80" s="77" t="s">
        <v>96</v>
      </c>
      <c r="B80" s="80">
        <v>3.8</v>
      </c>
      <c r="C80" s="80">
        <v>4.5999999999999996</v>
      </c>
      <c r="D80" s="80">
        <v>4.2</v>
      </c>
      <c r="E80" s="80">
        <v>3</v>
      </c>
    </row>
    <row r="81" spans="1:5" ht="17.100000000000001" customHeight="1">
      <c r="A81" s="77" t="s">
        <v>97</v>
      </c>
      <c r="B81" s="80">
        <v>4.5</v>
      </c>
      <c r="C81" s="80">
        <v>5.2</v>
      </c>
      <c r="D81" s="80">
        <v>3.4</v>
      </c>
      <c r="E81" s="80">
        <v>3.1</v>
      </c>
    </row>
    <row r="82" spans="1:5" ht="17.100000000000001" customHeight="1">
      <c r="A82" s="77" t="s">
        <v>98</v>
      </c>
      <c r="B82" s="80">
        <v>4.9000000000000004</v>
      </c>
      <c r="C82" s="80">
        <v>5.9</v>
      </c>
      <c r="D82" s="80">
        <v>3.4</v>
      </c>
      <c r="E82" s="80">
        <v>3.3</v>
      </c>
    </row>
    <row r="83" spans="1:5" ht="17.100000000000001" customHeight="1">
      <c r="A83" s="77" t="s">
        <v>99</v>
      </c>
      <c r="B83" s="80">
        <v>5.6</v>
      </c>
      <c r="C83" s="80">
        <v>6.2</v>
      </c>
      <c r="D83" s="80">
        <v>3.4</v>
      </c>
      <c r="E83" s="80">
        <v>3.4</v>
      </c>
    </row>
    <row r="84" spans="1:5" ht="17.100000000000001" customHeight="1">
      <c r="A84" s="77" t="s">
        <v>100</v>
      </c>
      <c r="B84" s="80">
        <v>6</v>
      </c>
      <c r="C84" s="80">
        <v>6.1</v>
      </c>
      <c r="D84" s="80">
        <v>3.4</v>
      </c>
      <c r="E84" s="80">
        <v>3.5</v>
      </c>
    </row>
    <row r="85" spans="1:5" ht="17.100000000000001" customHeight="1">
      <c r="A85" s="77" t="s">
        <v>243</v>
      </c>
      <c r="B85" s="80">
        <v>5</v>
      </c>
      <c r="C85" s="80">
        <v>5.3</v>
      </c>
      <c r="D85" s="80">
        <f>AVERAGE(D73:D84)</f>
        <v>3.7999999999999994</v>
      </c>
      <c r="E85" s="80">
        <v>3.4</v>
      </c>
    </row>
    <row r="86" spans="1:5" ht="15.75" customHeight="1">
      <c r="A86" s="77"/>
    </row>
    <row r="87" spans="1:5" ht="15.75" hidden="1" customHeight="1">
      <c r="A87" s="77"/>
    </row>
    <row r="88" spans="1:5" ht="15.75" hidden="1" customHeight="1">
      <c r="A88" s="77"/>
    </row>
    <row r="89" spans="1:5" ht="15.75" hidden="1" customHeight="1">
      <c r="A89" s="77"/>
    </row>
    <row r="90" spans="1:5" ht="17.100000000000001" customHeight="1">
      <c r="A90" s="151" t="s">
        <v>785</v>
      </c>
    </row>
    <row r="91" spans="1:5" ht="17.100000000000001" customHeight="1">
      <c r="A91" s="77" t="s">
        <v>792</v>
      </c>
      <c r="B91" s="80">
        <v>0</v>
      </c>
      <c r="C91" s="80">
        <v>0</v>
      </c>
      <c r="D91" s="80">
        <v>0</v>
      </c>
      <c r="E91" s="80">
        <v>0</v>
      </c>
    </row>
    <row r="92" spans="1:5" ht="17.100000000000001" customHeight="1">
      <c r="A92" s="77" t="s">
        <v>244</v>
      </c>
      <c r="B92" s="80">
        <f>C92</f>
        <v>170000</v>
      </c>
      <c r="C92" s="80">
        <v>170000</v>
      </c>
      <c r="D92" s="80">
        <f>C92</f>
        <v>170000</v>
      </c>
      <c r="E92" s="80">
        <v>170000</v>
      </c>
    </row>
    <row r="93" spans="1:5" ht="17.100000000000001" customHeight="1">
      <c r="A93" s="77" t="s">
        <v>89</v>
      </c>
      <c r="B93" s="80">
        <v>82030</v>
      </c>
      <c r="C93" s="80">
        <v>110800</v>
      </c>
      <c r="D93" s="80">
        <v>78000</v>
      </c>
      <c r="E93" s="80">
        <v>190100</v>
      </c>
    </row>
    <row r="94" spans="1:5" ht="17.100000000000001" customHeight="1">
      <c r="A94" s="77" t="s">
        <v>90</v>
      </c>
      <c r="B94" s="80">
        <v>172500</v>
      </c>
      <c r="C94" s="80">
        <v>163500</v>
      </c>
      <c r="D94" s="80">
        <v>131600</v>
      </c>
      <c r="E94" s="80">
        <v>294500</v>
      </c>
    </row>
    <row r="95" spans="1:5" ht="17.100000000000001" customHeight="1">
      <c r="A95" s="77" t="s">
        <v>91</v>
      </c>
      <c r="B95" s="80">
        <v>324300</v>
      </c>
      <c r="C95" s="80">
        <v>227100</v>
      </c>
      <c r="D95" s="80">
        <v>227900</v>
      </c>
      <c r="E95" s="80">
        <v>589700</v>
      </c>
    </row>
    <row r="96" spans="1:5" ht="17.100000000000001" customHeight="1">
      <c r="A96" s="77" t="s">
        <v>92</v>
      </c>
      <c r="B96" s="80">
        <v>505500</v>
      </c>
      <c r="C96" s="80">
        <v>354200</v>
      </c>
      <c r="D96" s="80">
        <v>361000</v>
      </c>
      <c r="E96" s="80">
        <v>1051200</v>
      </c>
    </row>
    <row r="97" spans="1:7" ht="17.100000000000001" customHeight="1">
      <c r="A97" s="77" t="s">
        <v>93</v>
      </c>
      <c r="B97" s="80">
        <v>660600</v>
      </c>
      <c r="C97" s="80">
        <v>481300</v>
      </c>
      <c r="D97" s="80">
        <v>472300</v>
      </c>
      <c r="E97" s="80">
        <v>1493700</v>
      </c>
    </row>
    <row r="98" spans="1:7" ht="17.100000000000001" customHeight="1">
      <c r="A98" s="77" t="s">
        <v>94</v>
      </c>
      <c r="B98" s="80">
        <v>737600</v>
      </c>
      <c r="C98" s="80">
        <v>581300</v>
      </c>
      <c r="D98" s="80">
        <v>569400</v>
      </c>
      <c r="E98" s="80">
        <v>1756500</v>
      </c>
    </row>
    <row r="99" spans="1:7" ht="17.100000000000001" customHeight="1">
      <c r="A99" s="77" t="s">
        <v>95</v>
      </c>
      <c r="B99" s="80">
        <v>703300</v>
      </c>
      <c r="C99" s="80">
        <v>581300</v>
      </c>
      <c r="D99" s="80">
        <v>570400</v>
      </c>
      <c r="E99" s="80">
        <v>1797100</v>
      </c>
      <c r="G99" s="82"/>
    </row>
    <row r="100" spans="1:7" ht="17.100000000000001" customHeight="1">
      <c r="A100" s="77" t="s">
        <v>96</v>
      </c>
      <c r="B100" s="80">
        <v>571300</v>
      </c>
      <c r="C100" s="80">
        <v>481300</v>
      </c>
      <c r="D100" s="80">
        <v>506600</v>
      </c>
      <c r="E100" s="80">
        <v>1627900</v>
      </c>
    </row>
    <row r="101" spans="1:7" ht="17.100000000000001" customHeight="1">
      <c r="A101" s="77" t="s">
        <v>97</v>
      </c>
      <c r="B101" s="80">
        <v>396200</v>
      </c>
      <c r="C101" s="80">
        <v>354200</v>
      </c>
      <c r="D101" s="80">
        <v>395800</v>
      </c>
      <c r="E101" s="80">
        <v>1098700</v>
      </c>
    </row>
    <row r="102" spans="1:7" ht="17.100000000000001" customHeight="1">
      <c r="A102" s="77" t="s">
        <v>98</v>
      </c>
      <c r="B102" s="80">
        <v>227100</v>
      </c>
      <c r="C102" s="80">
        <v>227100</v>
      </c>
      <c r="D102" s="80">
        <v>245800</v>
      </c>
      <c r="E102" s="80">
        <v>712200</v>
      </c>
    </row>
    <row r="103" spans="1:7" ht="17.100000000000001" customHeight="1">
      <c r="A103" s="77" t="s">
        <v>99</v>
      </c>
      <c r="B103" s="80">
        <v>107300</v>
      </c>
      <c r="C103" s="80">
        <v>163500</v>
      </c>
      <c r="D103" s="80">
        <v>116400</v>
      </c>
      <c r="E103" s="80">
        <v>328500</v>
      </c>
    </row>
    <row r="104" spans="1:7" ht="17.100000000000001" customHeight="1">
      <c r="A104" s="77" t="s">
        <v>100</v>
      </c>
      <c r="B104" s="80">
        <v>59490</v>
      </c>
      <c r="C104" s="80">
        <v>110800</v>
      </c>
      <c r="D104" s="80">
        <v>69700</v>
      </c>
      <c r="E104" s="80">
        <v>169100</v>
      </c>
    </row>
    <row r="105" spans="1:7" ht="17.100000000000001" hidden="1" customHeight="1">
      <c r="A105" s="77"/>
    </row>
    <row r="106" spans="1:7" ht="17.100000000000001" hidden="1" customHeight="1">
      <c r="A106" s="77"/>
    </row>
    <row r="107" spans="1:7" ht="17.100000000000001" hidden="1" customHeight="1">
      <c r="A107" s="77"/>
    </row>
    <row r="108" spans="1:7" ht="17.100000000000001" hidden="1" customHeight="1">
      <c r="A108" s="77"/>
    </row>
    <row r="109" spans="1:7" ht="17.100000000000001" customHeight="1">
      <c r="A109" s="77"/>
    </row>
    <row r="110" spans="1:7" ht="17.100000000000001" customHeight="1">
      <c r="A110" s="151" t="s">
        <v>881</v>
      </c>
    </row>
    <row r="111" spans="1:7" ht="17.100000000000001" customHeight="1">
      <c r="A111" s="77" t="s">
        <v>882</v>
      </c>
      <c r="B111" s="80">
        <v>17.3</v>
      </c>
      <c r="C111" s="80">
        <v>13.9</v>
      </c>
      <c r="D111" s="80">
        <v>0.28999999999999998</v>
      </c>
      <c r="E111" s="80">
        <v>20.2</v>
      </c>
    </row>
    <row r="112" spans="1:7" ht="17.100000000000001" customHeight="1">
      <c r="A112" s="77" t="s">
        <v>89</v>
      </c>
      <c r="B112" s="80">
        <v>33.9</v>
      </c>
      <c r="C112" s="80">
        <v>45.3</v>
      </c>
      <c r="D112" s="80">
        <v>3.29</v>
      </c>
      <c r="E112" s="80">
        <v>28.4</v>
      </c>
    </row>
    <row r="113" spans="1:5" ht="17.100000000000001" customHeight="1">
      <c r="A113" s="77" t="s">
        <v>90</v>
      </c>
      <c r="B113" s="80">
        <v>34.6</v>
      </c>
      <c r="C113" s="80">
        <v>36</v>
      </c>
      <c r="D113" s="80">
        <v>3.64</v>
      </c>
      <c r="E113" s="80">
        <v>32</v>
      </c>
    </row>
    <row r="114" spans="1:5" ht="17.100000000000001" customHeight="1">
      <c r="A114" s="77" t="s">
        <v>91</v>
      </c>
      <c r="B114" s="80">
        <v>39.1</v>
      </c>
      <c r="C114" s="80">
        <v>33.4</v>
      </c>
      <c r="D114" s="80">
        <v>2.23</v>
      </c>
      <c r="E114" s="80">
        <v>57.1</v>
      </c>
    </row>
    <row r="115" spans="1:5" ht="17.100000000000001" customHeight="1">
      <c r="A115" s="77" t="s">
        <v>92</v>
      </c>
      <c r="B115" s="80">
        <v>71.099999999999994</v>
      </c>
      <c r="C115" s="80">
        <v>35.799999999999997</v>
      </c>
      <c r="D115" s="80">
        <v>0.69</v>
      </c>
      <c r="E115" s="80">
        <v>58.7</v>
      </c>
    </row>
    <row r="116" spans="1:5" ht="17.100000000000001" customHeight="1">
      <c r="A116" s="77" t="s">
        <v>93</v>
      </c>
      <c r="B116" s="80">
        <v>95.4</v>
      </c>
      <c r="C116" s="80">
        <v>41.7</v>
      </c>
      <c r="D116" s="80">
        <v>0.32</v>
      </c>
      <c r="E116" s="80">
        <v>87.6</v>
      </c>
    </row>
    <row r="117" spans="1:5" ht="17.100000000000001" customHeight="1">
      <c r="A117" s="77" t="s">
        <v>94</v>
      </c>
      <c r="B117" s="80">
        <v>82.5</v>
      </c>
      <c r="C117" s="80">
        <v>75.599999999999994</v>
      </c>
      <c r="D117" s="80">
        <v>0.09</v>
      </c>
      <c r="E117" s="80">
        <v>160.80000000000001</v>
      </c>
    </row>
    <row r="118" spans="1:5" ht="17.100000000000001" customHeight="1">
      <c r="A118" s="77" t="s">
        <v>95</v>
      </c>
      <c r="B118" s="80">
        <v>74.400000000000006</v>
      </c>
      <c r="C118" s="80">
        <v>75.3</v>
      </c>
      <c r="D118" s="80">
        <v>0.02</v>
      </c>
      <c r="E118" s="80">
        <v>209.2</v>
      </c>
    </row>
    <row r="119" spans="1:5" ht="17.100000000000001" customHeight="1">
      <c r="A119" s="77" t="s">
        <v>96</v>
      </c>
      <c r="B119" s="80">
        <v>94.4</v>
      </c>
      <c r="C119" s="80">
        <v>81.099999999999994</v>
      </c>
      <c r="D119" s="80">
        <v>0.01</v>
      </c>
      <c r="E119" s="80">
        <v>141.69999999999999</v>
      </c>
    </row>
    <row r="120" spans="1:5" ht="17.100000000000001" customHeight="1">
      <c r="A120" s="77" t="s">
        <v>97</v>
      </c>
      <c r="B120" s="80">
        <v>98.6</v>
      </c>
      <c r="C120" s="80">
        <v>65.3</v>
      </c>
      <c r="D120" s="80">
        <v>0.13</v>
      </c>
      <c r="E120" s="80">
        <v>79.3</v>
      </c>
    </row>
    <row r="121" spans="1:5" ht="17.100000000000001" customHeight="1">
      <c r="A121" s="77" t="s">
        <v>98</v>
      </c>
      <c r="B121" s="80">
        <v>74.8</v>
      </c>
      <c r="C121" s="80">
        <v>63</v>
      </c>
      <c r="D121" s="80">
        <v>0.57999999999999996</v>
      </c>
      <c r="E121" s="80">
        <v>53.1</v>
      </c>
    </row>
    <row r="122" spans="1:5" ht="17.100000000000001" customHeight="1">
      <c r="A122" s="77" t="s">
        <v>99</v>
      </c>
      <c r="B122" s="80">
        <v>87.8</v>
      </c>
      <c r="C122" s="80">
        <v>58.3</v>
      </c>
      <c r="D122" s="80">
        <v>0.78</v>
      </c>
      <c r="E122" s="80">
        <v>41.6</v>
      </c>
    </row>
    <row r="123" spans="1:5" ht="17.100000000000001" customHeight="1">
      <c r="A123" s="77" t="s">
        <v>100</v>
      </c>
      <c r="B123" s="80">
        <v>44.5</v>
      </c>
      <c r="C123" s="80">
        <v>58.6</v>
      </c>
      <c r="D123" s="80">
        <v>2.48</v>
      </c>
      <c r="E123" s="80">
        <v>22.5</v>
      </c>
    </row>
    <row r="124" spans="1:5" ht="16.899999999999999" hidden="1" customHeight="1">
      <c r="A124" s="77"/>
    </row>
    <row r="125" spans="1:5" ht="17.100000000000001" hidden="1" customHeight="1">
      <c r="A125" s="77"/>
    </row>
    <row r="126" spans="1:5" ht="17.100000000000001" hidden="1" customHeight="1">
      <c r="A126" s="77"/>
    </row>
    <row r="127" spans="1:5" ht="17.100000000000001" hidden="1" customHeight="1">
      <c r="A127" s="77"/>
    </row>
    <row r="128" spans="1:5" ht="17.100000000000001" hidden="1" customHeight="1">
      <c r="A128" s="77"/>
    </row>
    <row r="129" spans="1:5" ht="17.100000000000001" customHeight="1">
      <c r="A129" s="77"/>
    </row>
    <row r="130" spans="1:5" ht="17.100000000000001" customHeight="1">
      <c r="A130" s="151" t="s">
        <v>1129</v>
      </c>
    </row>
    <row r="131" spans="1:5" ht="17.100000000000001" hidden="1" customHeight="1">
      <c r="A131" s="80" t="str">
        <f>IF(ISBLANK(Start!AM31),"",Start!AM31)</f>
        <v>Urban air</v>
      </c>
    </row>
    <row r="132" spans="1:5" ht="17.100000000000001" customHeight="1">
      <c r="A132" s="80" t="str">
        <f>IF(ISBLANK(Start!AM32),"",Start!AM32)</f>
        <v>Urban vegetation</v>
      </c>
      <c r="B132" s="80">
        <v>1</v>
      </c>
      <c r="C132" s="80">
        <v>1</v>
      </c>
      <c r="D132" s="80">
        <v>1</v>
      </c>
      <c r="E132" s="80">
        <v>1</v>
      </c>
    </row>
    <row r="133" spans="1:5" ht="17.100000000000001" customHeight="1">
      <c r="A133" s="80" t="str">
        <f>IF(ISBLANK(Start!AM33),"",Start!AM33)</f>
        <v>Urban soil</v>
      </c>
      <c r="B133" s="80">
        <v>2</v>
      </c>
      <c r="C133" s="80">
        <v>2</v>
      </c>
      <c r="D133" s="80">
        <v>2</v>
      </c>
      <c r="E133" s="80">
        <v>2</v>
      </c>
    </row>
    <row r="134" spans="1:5" ht="17.100000000000001" customHeight="1">
      <c r="A134" s="80" t="str">
        <f>IF(ISBLANK(Start!AM34),"",Start!AM34)</f>
        <v>Urban freshwater</v>
      </c>
      <c r="B134" s="80">
        <v>1</v>
      </c>
      <c r="C134" s="80">
        <v>1</v>
      </c>
      <c r="D134" s="80">
        <v>1</v>
      </c>
      <c r="E134" s="80">
        <v>1</v>
      </c>
    </row>
    <row r="135" spans="1:5" ht="17.100000000000001" customHeight="1">
      <c r="A135" s="80" t="str">
        <f>IF(ISBLANK(Start!AM35),"",Start!AM35)</f>
        <v>Urban freshwater sediment</v>
      </c>
      <c r="B135" s="80">
        <v>10</v>
      </c>
      <c r="C135" s="80">
        <v>10</v>
      </c>
      <c r="D135" s="80">
        <v>10</v>
      </c>
      <c r="E135" s="80">
        <v>10</v>
      </c>
    </row>
    <row r="136" spans="1:5" ht="17.100000000000001" hidden="1" customHeight="1">
      <c r="A136" s="80" t="str">
        <f>IF(ISBLANK(Start!AM36),"",Start!AM36)</f>
        <v>Urban built-up surface</v>
      </c>
    </row>
    <row r="137" spans="1:5" ht="17.100000000000001" customHeight="1">
      <c r="A137" s="80" t="str">
        <f>IF(ISBLANK(Start!AM37),"",Start!AM37)</f>
        <v>Urban shallow groundwater</v>
      </c>
      <c r="B137" s="80">
        <v>3</v>
      </c>
      <c r="C137" s="80">
        <v>3</v>
      </c>
      <c r="D137" s="80">
        <v>3</v>
      </c>
      <c r="E137" s="80">
        <v>3</v>
      </c>
    </row>
    <row r="138" spans="1:5" ht="17.100000000000001" customHeight="1">
      <c r="A138" s="80" t="str">
        <f>IF(ISBLANK(Start!AM38),"",Start!AM38)</f>
        <v>Urban deep groundwater</v>
      </c>
      <c r="B138" s="80">
        <v>10</v>
      </c>
      <c r="C138" s="80">
        <v>10</v>
      </c>
      <c r="D138" s="80">
        <v>10</v>
      </c>
      <c r="E138" s="80">
        <v>10</v>
      </c>
    </row>
    <row r="139" spans="1:5" ht="17.100000000000001" hidden="1" customHeight="1">
      <c r="A139" s="80" t="str">
        <f>IF(ISBLANK(Start!AM39),"",Start!AM39)</f>
        <v/>
      </c>
    </row>
    <row r="140" spans="1:5" ht="17.100000000000001" hidden="1" customHeight="1">
      <c r="A140" s="80" t="str">
        <f>IF(ISBLANK(Start!AM40),"",Start!AM40)</f>
        <v/>
      </c>
    </row>
    <row r="141" spans="1:5" ht="17.100000000000001" hidden="1" customHeight="1">
      <c r="A141" s="80" t="str">
        <f>IF(ISBLANK(Start!AM41),"",Start!AM41)</f>
        <v>Rural air</v>
      </c>
    </row>
    <row r="142" spans="1:5" ht="17.100000000000001" customHeight="1">
      <c r="A142" s="80" t="str">
        <f>IF(ISBLANK(Start!AM42),"",Start!AM42)</f>
        <v>Rural vegetation</v>
      </c>
      <c r="B142" s="80">
        <v>1</v>
      </c>
      <c r="C142" s="80">
        <v>1</v>
      </c>
      <c r="D142" s="80">
        <v>1</v>
      </c>
      <c r="E142" s="80">
        <v>1</v>
      </c>
    </row>
    <row r="143" spans="1:5" ht="17.100000000000001" customHeight="1">
      <c r="A143" s="80" t="str">
        <f>IF(ISBLANK(Start!AM43),"",Start!AM43)</f>
        <v>Rural soil</v>
      </c>
      <c r="B143" s="80">
        <v>2</v>
      </c>
      <c r="C143" s="80">
        <v>2</v>
      </c>
      <c r="D143" s="80">
        <v>2</v>
      </c>
      <c r="E143" s="80">
        <v>2</v>
      </c>
    </row>
    <row r="144" spans="1:5" ht="17.100000000000001" customHeight="1">
      <c r="A144" s="80" t="str">
        <f>IF(ISBLANK(Start!AM44),"",Start!AM44)</f>
        <v>Rural freshwater</v>
      </c>
      <c r="B144" s="80">
        <v>1</v>
      </c>
      <c r="C144" s="80">
        <v>1</v>
      </c>
      <c r="D144" s="80">
        <v>1</v>
      </c>
      <c r="E144" s="80">
        <v>1</v>
      </c>
    </row>
    <row r="145" spans="1:5" ht="17.100000000000001" customHeight="1">
      <c r="A145" s="80" t="str">
        <f>IF(ISBLANK(Start!AM45),"",Start!AM45)</f>
        <v>Rural freshwater sediment</v>
      </c>
      <c r="B145" s="80">
        <v>10</v>
      </c>
      <c r="C145" s="80">
        <v>10</v>
      </c>
      <c r="D145" s="80">
        <v>10</v>
      </c>
      <c r="E145" s="80">
        <v>10</v>
      </c>
    </row>
    <row r="146" spans="1:5" ht="17.100000000000001" customHeight="1">
      <c r="A146" s="80" t="str">
        <f>IF(ISBLANK(Start!AM46),"",Start!AM46)</f>
        <v>Rural estuarine water</v>
      </c>
      <c r="B146" s="80">
        <v>1</v>
      </c>
      <c r="C146" s="80">
        <v>1</v>
      </c>
      <c r="D146" s="80">
        <v>1</v>
      </c>
      <c r="E146" s="80">
        <v>1</v>
      </c>
    </row>
    <row r="147" spans="1:5" ht="17.100000000000001" customHeight="1">
      <c r="A147" s="80" t="str">
        <f>IF(ISBLANK(Start!AM47),"",Start!AM47)</f>
        <v>Rural estuarine sediment</v>
      </c>
      <c r="B147" s="80">
        <v>10</v>
      </c>
      <c r="C147" s="80">
        <v>10</v>
      </c>
      <c r="D147" s="80">
        <v>10</v>
      </c>
      <c r="E147" s="80">
        <v>10</v>
      </c>
    </row>
    <row r="148" spans="1:5" ht="17.100000000000001" customHeight="1">
      <c r="A148" s="80" t="str">
        <f>IF(ISBLANK(Start!AM48),"",Start!AM48)</f>
        <v>Rural shallow groundwater</v>
      </c>
      <c r="B148" s="80">
        <v>3</v>
      </c>
      <c r="C148" s="80">
        <v>3</v>
      </c>
      <c r="D148" s="80">
        <v>3</v>
      </c>
      <c r="E148" s="80">
        <v>3</v>
      </c>
    </row>
    <row r="149" spans="1:5" ht="17.100000000000001" customHeight="1">
      <c r="A149" s="80" t="str">
        <f>IF(ISBLANK(Start!AM49),"",Start!AM49)</f>
        <v>Rural deep groundwater</v>
      </c>
      <c r="B149" s="80">
        <v>10</v>
      </c>
      <c r="C149" s="80">
        <v>10</v>
      </c>
      <c r="D149" s="80">
        <v>10</v>
      </c>
      <c r="E149" s="80">
        <v>10</v>
      </c>
    </row>
    <row r="150" spans="1:5" ht="17.100000000000001" hidden="1" customHeight="1">
      <c r="A150" s="80" t="str">
        <f>IF(ISBLANK(Start!AM50),"",Start!AM50)</f>
        <v/>
      </c>
    </row>
    <row r="151" spans="1:5" ht="17.100000000000001" hidden="1" customHeight="1">
      <c r="A151" s="80" t="str">
        <f>IF(ISBLANK(Start!AM51),"",Start!AM51)</f>
        <v/>
      </c>
    </row>
    <row r="152" spans="1:5" ht="17.100000000000001" hidden="1" customHeight="1">
      <c r="A152" s="77"/>
    </row>
    <row r="153" spans="1:5" ht="17.100000000000001" hidden="1" customHeight="1">
      <c r="A153" s="77"/>
    </row>
    <row r="154" spans="1:5" ht="18.399999999999999" hidden="1" customHeight="1">
      <c r="A154" s="77"/>
    </row>
    <row r="155" spans="1:5" ht="18.399999999999999" hidden="1" customHeight="1">
      <c r="A155" s="77"/>
    </row>
    <row r="156" spans="1:5" ht="18.399999999999999" hidden="1" customHeight="1">
      <c r="A156" s="77"/>
    </row>
    <row r="157" spans="1:5" ht="18.399999999999999" hidden="1" customHeight="1">
      <c r="A157" s="77"/>
    </row>
    <row r="158" spans="1:5" ht="18.399999999999999" hidden="1" customHeight="1">
      <c r="A158" s="77"/>
    </row>
    <row r="159" spans="1:5" ht="18.399999999999999" customHeight="1">
      <c r="A159" s="77"/>
    </row>
    <row r="160" spans="1:5" ht="18.399999999999999" customHeight="1">
      <c r="A160" s="151" t="s">
        <v>786</v>
      </c>
    </row>
    <row r="161" spans="1:4" ht="16.899999999999999" customHeight="1">
      <c r="A161" s="80" t="str">
        <f>IF(ISBLANK(Start!AM31),"",Start!AM31)</f>
        <v>Urban air</v>
      </c>
    </row>
    <row r="162" spans="1:4" ht="17.100000000000001" customHeight="1">
      <c r="A162" s="80" t="str">
        <f>IF(ISBLANK(Start!AM32),"",Start!AM32)</f>
        <v>Urban vegetation</v>
      </c>
    </row>
    <row r="163" spans="1:4" ht="17.100000000000001" customHeight="1">
      <c r="A163" s="80" t="str">
        <f>IF(ISBLANK(Start!AM33),"",Start!AM33)</f>
        <v>Urban soil</v>
      </c>
    </row>
    <row r="164" spans="1:4" ht="17.100000000000001" customHeight="1">
      <c r="A164" s="80" t="str">
        <f>IF(ISBLANK(Start!AM34),"",Start!AM34)</f>
        <v>Urban freshwater</v>
      </c>
    </row>
    <row r="165" spans="1:4" ht="17.100000000000001" customHeight="1">
      <c r="A165" s="80" t="str">
        <f>IF(ISBLANK(Start!AM35),"",Start!AM35)</f>
        <v>Urban freshwater sediment</v>
      </c>
    </row>
    <row r="166" spans="1:4" ht="17.100000000000001" customHeight="1">
      <c r="A166" s="80" t="str">
        <f>IF(ISBLANK(Start!AM36),"",Start!AM36)</f>
        <v>Urban built-up surface</v>
      </c>
    </row>
    <row r="167" spans="1:4" ht="17.100000000000001" customHeight="1">
      <c r="A167" s="80" t="str">
        <f>IF(ISBLANK(Start!AM37),"",Start!AM37)</f>
        <v>Urban shallow groundwater</v>
      </c>
      <c r="C167" s="80">
        <v>4.0000000000000003E-5</v>
      </c>
      <c r="D167" s="82">
        <v>2.5000000000000002E-6</v>
      </c>
    </row>
    <row r="168" spans="1:4" ht="16.899999999999999" customHeight="1">
      <c r="A168" s="80" t="str">
        <f>IF(ISBLANK(Start!AM38),"",Start!AM38)</f>
        <v>Urban deep groundwater</v>
      </c>
      <c r="C168" s="80">
        <v>2.0000000000000002E-5</v>
      </c>
      <c r="D168" s="82">
        <v>1.9999999999999999E-6</v>
      </c>
    </row>
    <row r="169" spans="1:4" ht="17.100000000000001" hidden="1" customHeight="1">
      <c r="A169" s="80" t="str">
        <f>IF(ISBLANK(Start!AM39),"",Start!AM39)</f>
        <v/>
      </c>
    </row>
    <row r="170" spans="1:4" ht="17.100000000000001" hidden="1" customHeight="1">
      <c r="A170" s="80" t="str">
        <f>IF(ISBLANK(Start!AM40),"",Start!AM40)</f>
        <v/>
      </c>
    </row>
    <row r="171" spans="1:4" ht="17.100000000000001" customHeight="1">
      <c r="A171" s="80" t="str">
        <f>IF(ISBLANK(Start!AM41),"",Start!AM41)</f>
        <v>Rural air</v>
      </c>
    </row>
    <row r="172" spans="1:4" ht="17.100000000000001" customHeight="1">
      <c r="A172" s="80" t="str">
        <f>IF(ISBLANK(Start!AM42),"",Start!AM42)</f>
        <v>Rural vegetation</v>
      </c>
    </row>
    <row r="173" spans="1:4" ht="17.100000000000001" customHeight="1">
      <c r="A173" s="80" t="str">
        <f>IF(ISBLANK(Start!AM43),"",Start!AM43)</f>
        <v>Rural soil</v>
      </c>
      <c r="D173" s="82">
        <v>4.9999999999999998E-7</v>
      </c>
    </row>
    <row r="174" spans="1:4" ht="17.100000000000001" customHeight="1">
      <c r="A174" s="80" t="str">
        <f>IF(ISBLANK(Start!AM44),"",Start!AM44)</f>
        <v>Rural freshwater</v>
      </c>
      <c r="D174" s="82"/>
    </row>
    <row r="175" spans="1:4" ht="17.100000000000001" customHeight="1">
      <c r="A175" s="80" t="str">
        <f>IF(ISBLANK(Start!AM45),"",Start!AM45)</f>
        <v>Rural freshwater sediment</v>
      </c>
    </row>
    <row r="176" spans="1:4" ht="17.100000000000001" customHeight="1">
      <c r="A176" s="80" t="str">
        <f>IF(ISBLANK(Start!AM46),"",Start!AM46)</f>
        <v>Rural estuarine water</v>
      </c>
    </row>
    <row r="177" spans="1:4" ht="17.100000000000001" customHeight="1">
      <c r="A177" s="80" t="str">
        <f>IF(ISBLANK(Start!AM47),"",Start!AM47)</f>
        <v>Rural estuarine sediment</v>
      </c>
    </row>
    <row r="178" spans="1:4" ht="17.100000000000001" customHeight="1">
      <c r="A178" s="80" t="str">
        <f>IF(ISBLANK(Start!AM48),"",Start!AM48)</f>
        <v>Rural shallow groundwater</v>
      </c>
      <c r="D178" s="82">
        <v>9.9999999999999995E-8</v>
      </c>
    </row>
    <row r="179" spans="1:4" ht="17.100000000000001" customHeight="1">
      <c r="A179" s="80" t="str">
        <f>IF(ISBLANK(Start!AM49),"",Start!AM49)</f>
        <v>Rural deep groundwater</v>
      </c>
      <c r="D179" s="82">
        <v>9.9999999999999995E-8</v>
      </c>
    </row>
    <row r="180" spans="1:4" ht="15.75" customHeight="1">
      <c r="A180" s="80" t="str">
        <f>IF(ISBLANK(Start!AM50),"",Start!AM50)</f>
        <v/>
      </c>
    </row>
    <row r="181" spans="1:4" ht="15.75" hidden="1" customHeight="1"/>
    <row r="182" spans="1:4" ht="15.75" hidden="1" customHeight="1"/>
    <row r="183" spans="1:4" ht="15.75" hidden="1" customHeight="1"/>
    <row r="184" spans="1:4" ht="15.75" hidden="1" customHeight="1"/>
    <row r="185" spans="1:4" ht="15.75" hidden="1" customHeight="1"/>
    <row r="186" spans="1:4" ht="15.75" hidden="1" customHeight="1"/>
    <row r="187" spans="1:4" ht="15.75" hidden="1" customHeight="1"/>
    <row r="188" spans="1:4" ht="15.75" hidden="1" customHeight="1"/>
    <row r="189" spans="1:4" ht="15.75" hidden="1" customHeight="1"/>
    <row r="190" spans="1:4" ht="17.100000000000001" customHeight="1">
      <c r="A190" s="151" t="s">
        <v>787</v>
      </c>
    </row>
    <row r="191" spans="1:4" ht="17.100000000000001" customHeight="1">
      <c r="A191" s="80" t="str">
        <f>IF(ISBLANK(Start!AM31),"",Start!AM31)</f>
        <v>Urban air</v>
      </c>
    </row>
    <row r="192" spans="1:4" ht="17.100000000000001" customHeight="1">
      <c r="A192" s="80" t="str">
        <f>IF(ISBLANK(Start!AM32),"",Start!AM32)</f>
        <v>Urban vegetation</v>
      </c>
    </row>
    <row r="193" spans="1:4" ht="17.100000000000001" customHeight="1">
      <c r="A193" s="80" t="str">
        <f>IF(ISBLANK(Start!AM33),"",Start!AM33)</f>
        <v>Urban soil</v>
      </c>
    </row>
    <row r="194" spans="1:4" ht="17.100000000000001" customHeight="1">
      <c r="A194" s="80" t="str">
        <f>IF(ISBLANK(Start!AM34),"",Start!AM34)</f>
        <v>Urban freshwater</v>
      </c>
    </row>
    <row r="195" spans="1:4" ht="17.100000000000001" customHeight="1">
      <c r="A195" s="80" t="str">
        <f>IF(ISBLANK(Start!AM35),"",Start!AM35)</f>
        <v>Urban freshwater sediment</v>
      </c>
    </row>
    <row r="196" spans="1:4" ht="17.100000000000001" customHeight="1">
      <c r="A196" s="80" t="str">
        <f>IF(ISBLANK(Start!AM36),"",Start!AM36)</f>
        <v>Urban built-up surface</v>
      </c>
    </row>
    <row r="197" spans="1:4" ht="17.100000000000001" customHeight="1">
      <c r="A197" s="80" t="str">
        <f>IF(ISBLANK(Start!AM37),"",Start!AM37)</f>
        <v>Urban shallow groundwater</v>
      </c>
      <c r="D197" s="82">
        <v>1.4999999999999999E-7</v>
      </c>
    </row>
    <row r="198" spans="1:4" ht="17.100000000000001" customHeight="1">
      <c r="A198" s="80" t="str">
        <f>IF(ISBLANK(Start!AM38),"",Start!AM38)</f>
        <v>Urban deep groundwater</v>
      </c>
      <c r="D198" s="82">
        <v>1.5E-6</v>
      </c>
    </row>
    <row r="199" spans="1:4" ht="17.100000000000001" hidden="1" customHeight="1">
      <c r="A199" s="80" t="str">
        <f>IF(ISBLANK(Start!AM39),"",Start!AM39)</f>
        <v/>
      </c>
    </row>
    <row r="200" spans="1:4" ht="17.100000000000001" hidden="1" customHeight="1">
      <c r="A200" s="80" t="str">
        <f>IF(ISBLANK(Start!AM40),"",Start!AM40)</f>
        <v/>
      </c>
    </row>
    <row r="201" spans="1:4" ht="17.100000000000001" customHeight="1">
      <c r="A201" s="80" t="str">
        <f>IF(ISBLANK(Start!AM41),"",Start!AM41)</f>
        <v>Rural air</v>
      </c>
    </row>
    <row r="202" spans="1:4" ht="17.100000000000001" customHeight="1">
      <c r="A202" s="80" t="str">
        <f>IF(ISBLANK(Start!AM42),"",Start!AM42)</f>
        <v>Rural vegetation</v>
      </c>
    </row>
    <row r="203" spans="1:4" ht="17.100000000000001" customHeight="1">
      <c r="A203" s="80" t="str">
        <f>IF(ISBLANK(Start!AM43),"",Start!AM43)</f>
        <v>Rural soil</v>
      </c>
    </row>
    <row r="204" spans="1:4" ht="17.100000000000001" customHeight="1">
      <c r="A204" s="80" t="str">
        <f>IF(ISBLANK(Start!AM44),"",Start!AM44)</f>
        <v>Rural freshwater</v>
      </c>
    </row>
    <row r="205" spans="1:4" ht="17.100000000000001" customHeight="1">
      <c r="A205" s="80" t="str">
        <f>IF(ISBLANK(Start!AM45),"",Start!AM45)</f>
        <v>Rural freshwater sediment</v>
      </c>
    </row>
    <row r="206" spans="1:4" ht="17.100000000000001" customHeight="1">
      <c r="A206" s="80" t="str">
        <f>IF(ISBLANK(Start!AM46),"",Start!AM46)</f>
        <v>Rural estuarine water</v>
      </c>
    </row>
    <row r="207" spans="1:4" ht="17.100000000000001" customHeight="1">
      <c r="A207" s="80" t="str">
        <f>IF(ISBLANK(Start!AM47),"",Start!AM47)</f>
        <v>Rural estuarine sediment</v>
      </c>
    </row>
    <row r="208" spans="1:4" ht="17.100000000000001" customHeight="1">
      <c r="A208" s="80" t="str">
        <f>IF(ISBLANK(Start!AM48),"",Start!AM48)</f>
        <v>Rural shallow groundwater</v>
      </c>
      <c r="D208" s="82">
        <v>9.9999999999999995E-8</v>
      </c>
    </row>
    <row r="209" spans="1:4" ht="17.100000000000001" customHeight="1">
      <c r="A209" s="80" t="str">
        <f>IF(ISBLANK(Start!AM49),"",Start!AM49)</f>
        <v>Rural deep groundwater</v>
      </c>
      <c r="C209" s="80">
        <v>1.9999999999999999E-6</v>
      </c>
      <c r="D209" s="82">
        <v>7.9999999999999996E-7</v>
      </c>
    </row>
    <row r="210" spans="1:4" ht="15.75" customHeight="1">
      <c r="A210" s="80" t="str">
        <f>IF(ISBLANK(Start!AM50),"",Start!AM50)</f>
        <v/>
      </c>
    </row>
  </sheetData>
  <sheetProtection algorithmName="SHA-512" hashValue="z8dvw1HjZvy8w2QzG6sYEAA72qf2TP4EE6J//MGS9YUqhx3/kOfYwth9Ur/nUNx9sSQMRSaY7E0w7Yp0f7Teew==" saltValue="2dqiPgB5A7q33KXOZjaZ8Q==" spinCount="100000" sheet="1" objects="1" scenarios="1"/>
  <phoneticPr fontId="2"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B277E-F74E-432E-A5AC-74DF21873599}">
  <sheetPr codeName="Sheet22">
    <tabColor theme="7" tint="-0.249977111117893"/>
  </sheetPr>
  <dimension ref="A1:M240"/>
  <sheetViews>
    <sheetView workbookViewId="0">
      <selection activeCell="D22" sqref="D22"/>
    </sheetView>
  </sheetViews>
  <sheetFormatPr defaultColWidth="8.3984375" defaultRowHeight="12.75"/>
  <cols>
    <col min="1" max="1" width="44.3984375" style="77" customWidth="1"/>
    <col min="2" max="8" width="11.3984375" style="77" customWidth="1"/>
    <col min="9" max="9" width="12.1328125" style="77" bestFit="1" customWidth="1"/>
    <col min="10" max="10" width="8.3984375" style="77"/>
    <col min="11" max="13" width="9.3984375" style="77" bestFit="1" customWidth="1"/>
    <col min="14" max="16384" width="8.3984375" style="77"/>
  </cols>
  <sheetData>
    <row r="1" spans="1:13" s="80" customFormat="1" ht="50.1" customHeight="1">
      <c r="A1" s="345" t="s">
        <v>812</v>
      </c>
    </row>
    <row r="2" spans="1:13" s="80" customFormat="1" ht="17.100000000000001" customHeight="1">
      <c r="A2" s="151" t="s">
        <v>105</v>
      </c>
      <c r="B2" s="306" t="s">
        <v>229</v>
      </c>
      <c r="C2" s="306" t="s">
        <v>227</v>
      </c>
      <c r="D2" s="306" t="s">
        <v>228</v>
      </c>
      <c r="E2" s="306" t="s">
        <v>179</v>
      </c>
      <c r="F2" s="306" t="s">
        <v>180</v>
      </c>
      <c r="G2" s="306" t="s">
        <v>181</v>
      </c>
      <c r="H2" s="306" t="s">
        <v>182</v>
      </c>
      <c r="I2" s="306" t="s">
        <v>276</v>
      </c>
    </row>
    <row r="3" spans="1:13" s="80" customFormat="1" ht="17.100000000000001" customHeight="1">
      <c r="A3" s="77" t="s">
        <v>857</v>
      </c>
      <c r="B3" s="80">
        <v>79.840999999999994</v>
      </c>
      <c r="C3" s="80">
        <v>73.28</v>
      </c>
      <c r="D3" s="80">
        <v>81.018000000000001</v>
      </c>
      <c r="E3" s="80">
        <v>75.198999999999998</v>
      </c>
      <c r="F3" s="80">
        <v>83.849000000000004</v>
      </c>
      <c r="G3" s="80">
        <v>85.382999999999996</v>
      </c>
      <c r="H3" s="80">
        <v>80.599999999999994</v>
      </c>
      <c r="I3" s="80">
        <v>61.406999999999996</v>
      </c>
    </row>
    <row r="4" spans="1:13" s="80" customFormat="1" ht="17.100000000000001" customHeight="1">
      <c r="A4" s="77" t="s">
        <v>858</v>
      </c>
      <c r="B4" s="80">
        <v>13.349</v>
      </c>
      <c r="C4" s="80">
        <v>10.379</v>
      </c>
      <c r="D4" s="80">
        <v>20.786999999999999</v>
      </c>
      <c r="E4" s="80">
        <v>20.152999999999999</v>
      </c>
      <c r="F4" s="80">
        <v>22.619</v>
      </c>
      <c r="G4" s="80">
        <v>21.488</v>
      </c>
      <c r="H4" s="80">
        <v>22.9</v>
      </c>
      <c r="I4" s="80">
        <v>8.3209999999999997</v>
      </c>
    </row>
    <row r="5" spans="1:13" s="80" customFormat="1" ht="17.100000000000001" customHeight="1">
      <c r="A5" s="77" t="s">
        <v>859</v>
      </c>
      <c r="B5" s="80">
        <v>1.8220000000000001</v>
      </c>
      <c r="C5" s="80">
        <v>1.8220000000000001</v>
      </c>
      <c r="D5" s="80">
        <v>1.8220000000000001</v>
      </c>
      <c r="E5" s="80">
        <v>1.7569999999999999</v>
      </c>
      <c r="F5" s="80">
        <v>1.7909999999999999</v>
      </c>
      <c r="G5" s="80">
        <v>1.8</v>
      </c>
      <c r="H5" s="80">
        <v>1.746</v>
      </c>
      <c r="I5" s="80">
        <v>1.752</v>
      </c>
    </row>
    <row r="6" spans="1:13" s="80" customFormat="1" ht="17.100000000000001" customHeight="1">
      <c r="A6" s="77" t="s">
        <v>860</v>
      </c>
      <c r="B6" s="80">
        <v>24.05</v>
      </c>
      <c r="C6" s="80">
        <v>22.073</v>
      </c>
      <c r="D6" s="80">
        <v>24.404</v>
      </c>
      <c r="E6" s="80">
        <v>24.355</v>
      </c>
      <c r="F6" s="80">
        <v>26.138999999999999</v>
      </c>
      <c r="G6" s="80">
        <v>26.346</v>
      </c>
      <c r="H6" s="80">
        <v>26.44</v>
      </c>
      <c r="I6" s="80">
        <v>20</v>
      </c>
    </row>
    <row r="7" spans="1:13" s="80" customFormat="1" ht="17.100000000000001" customHeight="1">
      <c r="A7" s="77" t="s">
        <v>861</v>
      </c>
      <c r="B7" s="80">
        <v>15.1</v>
      </c>
      <c r="C7" s="80">
        <v>15</v>
      </c>
      <c r="D7" s="80">
        <v>15.7</v>
      </c>
      <c r="E7" s="80">
        <v>15.7</v>
      </c>
      <c r="F7" s="80">
        <v>15.7</v>
      </c>
      <c r="G7" s="80">
        <v>15.7</v>
      </c>
      <c r="H7" s="80">
        <v>15.7</v>
      </c>
      <c r="I7" s="80">
        <v>17.2</v>
      </c>
    </row>
    <row r="8" spans="1:13" s="80" customFormat="1" ht="17.100000000000001" customHeight="1">
      <c r="A8" s="77" t="s">
        <v>862</v>
      </c>
      <c r="B8" s="80">
        <v>1.5299999999999999E-3</v>
      </c>
      <c r="C8" s="80">
        <v>3.0000000000000001E-3</v>
      </c>
      <c r="D8" s="80">
        <v>1E-3</v>
      </c>
      <c r="E8" s="80">
        <v>1E-3</v>
      </c>
      <c r="F8" s="80">
        <v>1E-3</v>
      </c>
      <c r="G8" s="80">
        <v>1E-3</v>
      </c>
      <c r="H8" s="80">
        <v>1E-3</v>
      </c>
      <c r="I8" s="80">
        <v>3.0000000000000001E-3</v>
      </c>
    </row>
    <row r="9" spans="1:13" s="80" customFormat="1" ht="17.100000000000001" customHeight="1">
      <c r="A9" s="77" t="s">
        <v>863</v>
      </c>
      <c r="B9" s="80">
        <v>1.3000000000000001E-8</v>
      </c>
      <c r="C9" s="80">
        <v>1.3000000000000001E-8</v>
      </c>
      <c r="D9" s="82">
        <v>2E-8</v>
      </c>
      <c r="E9" s="82">
        <v>2E-8</v>
      </c>
      <c r="F9" s="82">
        <v>2E-8</v>
      </c>
      <c r="G9" s="82">
        <v>2E-8</v>
      </c>
      <c r="H9" s="82">
        <v>2E-8</v>
      </c>
      <c r="I9" s="82">
        <v>2E-8</v>
      </c>
    </row>
    <row r="10" spans="1:13" s="80" customFormat="1" ht="17.100000000000001" customHeight="1">
      <c r="A10" s="77" t="s">
        <v>864</v>
      </c>
      <c r="B10" s="80">
        <v>20</v>
      </c>
      <c r="C10" s="80">
        <v>30</v>
      </c>
      <c r="D10" s="80">
        <v>20</v>
      </c>
      <c r="E10" s="80">
        <v>20</v>
      </c>
      <c r="F10" s="80">
        <v>20</v>
      </c>
      <c r="G10" s="80">
        <v>20</v>
      </c>
      <c r="H10" s="80">
        <v>20</v>
      </c>
      <c r="I10" s="80">
        <v>20</v>
      </c>
    </row>
    <row r="11" spans="1:13" s="80" customFormat="1" ht="17.100000000000001" customHeight="1">
      <c r="A11" s="77" t="str">
        <f>"Food-"&amp;(ROW(A11)-ROW($A$11)+1)&amp;": "&amp;Input_Foodweb!B11</f>
        <v>Food-1: Zooplankton</v>
      </c>
      <c r="B11" s="80">
        <v>0</v>
      </c>
      <c r="C11" s="80">
        <v>0</v>
      </c>
      <c r="D11" s="80">
        <v>0</v>
      </c>
      <c r="E11" s="80">
        <v>0</v>
      </c>
      <c r="F11" s="80">
        <v>0</v>
      </c>
      <c r="G11" s="80">
        <v>0</v>
      </c>
      <c r="H11" s="80">
        <v>0</v>
      </c>
      <c r="I11" s="80">
        <v>0</v>
      </c>
    </row>
    <row r="12" spans="1:13" s="80" customFormat="1" ht="17.100000000000001" customHeight="1">
      <c r="A12" s="77" t="str">
        <f>"Food-"&amp;(ROW(A12)-ROW($A$11)+1)&amp;": "&amp;Input_Foodweb!B12</f>
        <v>Food-2: Planktivorous fish</v>
      </c>
      <c r="B12" s="82">
        <v>1.4E-5</v>
      </c>
      <c r="C12" s="82">
        <f>74.7 / 10 ^ 6 * 0.75</f>
        <v>5.6025E-5</v>
      </c>
      <c r="D12" s="82">
        <v>1.4883750000000003E-5</v>
      </c>
      <c r="E12" s="82">
        <v>2.3813999999999999E-5</v>
      </c>
      <c r="F12" s="82">
        <v>1.10565E-5</v>
      </c>
      <c r="G12" s="82">
        <v>1.7222625000000002E-5</v>
      </c>
      <c r="H12" s="82">
        <v>1.488375E-5</v>
      </c>
      <c r="I12" s="82">
        <v>1.17E-5</v>
      </c>
      <c r="J12" s="82"/>
      <c r="K12" s="82"/>
      <c r="L12" s="82"/>
      <c r="M12" s="82"/>
    </row>
    <row r="13" spans="1:13" s="80" customFormat="1" ht="17.100000000000001" customHeight="1">
      <c r="A13" s="77" t="str">
        <f>"Food-"&amp;(ROW(A13)-ROW($A$11)+1)&amp;": "&amp;Input_Foodweb!B13</f>
        <v>Food-3: Piscivorous fish</v>
      </c>
      <c r="B13" s="82">
        <v>4.6999999999999999E-6</v>
      </c>
      <c r="C13" s="82">
        <f>74.7 / 10 ^ 6 * 0.25</f>
        <v>1.8675E-5</v>
      </c>
      <c r="D13" s="82">
        <v>4.961250000000001E-6</v>
      </c>
      <c r="E13" s="82">
        <v>7.9379999999999992E-6</v>
      </c>
      <c r="F13" s="82">
        <v>3.6855000000000001E-6</v>
      </c>
      <c r="G13" s="82">
        <v>5.7408750000000003E-6</v>
      </c>
      <c r="H13" s="82">
        <v>4.9612499999999993E-6</v>
      </c>
      <c r="I13" s="82">
        <v>5.9000000000000003E-6</v>
      </c>
      <c r="J13" s="82"/>
      <c r="K13" s="82"/>
      <c r="L13" s="82"/>
    </row>
    <row r="14" spans="1:13" s="80" customFormat="1" ht="17.100000000000001" customHeight="1">
      <c r="A14" s="77" t="str">
        <f>"Food-"&amp;(ROW(A14)-ROW($A$11)+1)&amp;": "&amp;Input_Foodweb!B14</f>
        <v>Food-4: Plant foliage and leafy vegetables</v>
      </c>
      <c r="B14" s="82">
        <v>5.1999999999999995E-4</v>
      </c>
      <c r="C14" s="82">
        <f>275 / 10 ^ 6</f>
        <v>2.7500000000000002E-4</v>
      </c>
      <c r="D14" s="82">
        <v>3.3434025E-4</v>
      </c>
      <c r="E14" s="82">
        <v>4.2700000000000002E-4</v>
      </c>
      <c r="F14" s="82">
        <v>3.1700000000000001E-4</v>
      </c>
      <c r="G14" s="82">
        <v>2.7900000000000001E-4</v>
      </c>
      <c r="H14" s="82">
        <v>3.4499999999999998E-4</v>
      </c>
      <c r="I14" s="82">
        <v>3.0299999999999999E-4</v>
      </c>
      <c r="J14" s="82"/>
      <c r="K14" s="82"/>
      <c r="L14" s="82"/>
    </row>
    <row r="15" spans="1:13" s="80" customFormat="1" ht="17.100000000000001" customHeight="1">
      <c r="A15" s="77" t="str">
        <f>"Food-"&amp;(ROW(A15)-ROW($A$11)+1)&amp;": "&amp;Input_Foodweb!B15</f>
        <v>Food-5: Plant root and root vegetables</v>
      </c>
      <c r="B15" s="82">
        <v>2.1643834999999999E-4</v>
      </c>
      <c r="C15" s="82"/>
      <c r="D15" s="82">
        <v>4.5033300000000001E-5</v>
      </c>
      <c r="E15" s="82">
        <v>5.2420000000000003E-5</v>
      </c>
      <c r="F15" s="82">
        <v>6.2039999999999996E-5</v>
      </c>
      <c r="G15" s="82">
        <v>3.6569999999999997E-5</v>
      </c>
      <c r="H15" s="82">
        <v>4.3940000000000003E-5</v>
      </c>
      <c r="I15" s="82">
        <v>4.6499999999999999E-5</v>
      </c>
      <c r="J15" s="82"/>
      <c r="K15" s="82"/>
      <c r="L15" s="82"/>
    </row>
    <row r="16" spans="1:13" s="80" customFormat="1" ht="17.100000000000001" customHeight="1">
      <c r="A16" s="77" t="str">
        <f>"Food-"&amp;(ROW(A16)-ROW($A$11)+1)&amp;": "&amp;Input_Foodweb!B16</f>
        <v>Food-6: Invertebrate/earthworm</v>
      </c>
      <c r="B16" s="80">
        <v>0</v>
      </c>
      <c r="C16" s="80">
        <v>0</v>
      </c>
      <c r="D16" s="80">
        <v>0</v>
      </c>
      <c r="E16" s="80">
        <v>0</v>
      </c>
      <c r="F16" s="80">
        <v>0</v>
      </c>
      <c r="G16" s="80">
        <v>0</v>
      </c>
      <c r="H16" s="80">
        <v>0</v>
      </c>
      <c r="I16" s="80">
        <v>0</v>
      </c>
      <c r="J16" s="82"/>
      <c r="K16" s="82"/>
      <c r="L16" s="82"/>
    </row>
    <row r="17" spans="1:13" s="80" customFormat="1" ht="17.100000000000001" customHeight="1">
      <c r="A17" s="77" t="str">
        <f>"Food-"&amp;(ROW(A17)-ROW($A$11)+1)&amp;": "&amp;Input_Foodweb!B17</f>
        <v>Food-7: Beef cattle</v>
      </c>
      <c r="B17" s="82">
        <v>5.5000000000000002E-5</v>
      </c>
      <c r="C17" s="82">
        <f>87 / 10 ^ 6</f>
        <v>8.7000000000000001E-5</v>
      </c>
      <c r="D17" s="82">
        <v>4.6579049999999992E-5</v>
      </c>
      <c r="E17" s="82">
        <v>3.0652020000000005E-5</v>
      </c>
      <c r="F17" s="82">
        <v>4.0268339999999998E-5</v>
      </c>
      <c r="G17" s="82">
        <v>3.5910945000000005E-5</v>
      </c>
      <c r="H17" s="82">
        <v>3.8615534999999999E-5</v>
      </c>
      <c r="I17" s="82">
        <v>7.0999999999999998E-6</v>
      </c>
      <c r="J17" s="82"/>
      <c r="K17" s="82"/>
      <c r="L17" s="82"/>
      <c r="M17" s="82"/>
    </row>
    <row r="18" spans="1:13" s="80" customFormat="1" ht="17.100000000000001" customHeight="1">
      <c r="A18" s="77" t="str">
        <f>"Food-"&amp;(ROW(A18)-ROW($A$11)+1)&amp;": "&amp;Input_Foodweb!B18</f>
        <v>Food-8: Dairy cattle</v>
      </c>
      <c r="B18" s="82">
        <f xml:space="preserve"> 0.00025</f>
        <v>2.5000000000000001E-4</v>
      </c>
      <c r="C18" s="82">
        <f>320 / 10 ^ 6</f>
        <v>3.2000000000000003E-4</v>
      </c>
      <c r="D18" s="82">
        <f>0.0001519</f>
        <v>1.5190000000000001E-4</v>
      </c>
      <c r="E18" s="82">
        <f>0.00014455</f>
        <v>1.4454999999999999E-4</v>
      </c>
      <c r="F18" s="82">
        <f>0.00016415</f>
        <v>1.6415000000000001E-4</v>
      </c>
      <c r="G18" s="82">
        <f>0.0001029</f>
        <v>1.0289999999999999E-4</v>
      </c>
      <c r="H18" s="82">
        <f>0.0001568</f>
        <v>1.5679999999999999E-4</v>
      </c>
      <c r="I18" s="82">
        <v>2.3E-6</v>
      </c>
      <c r="J18" s="82"/>
      <c r="K18" s="82"/>
      <c r="L18" s="82"/>
      <c r="M18" s="82"/>
    </row>
    <row r="19" spans="1:13" s="80" customFormat="1" ht="17.100000000000001" customHeight="1">
      <c r="A19" s="77" t="str">
        <f>"Food-"&amp;(ROW(A19)-ROW($A$11)+1)&amp;": "&amp;Input_Foodweb!B19</f>
        <v>Food-9: Broiler poultry</v>
      </c>
      <c r="B19" s="82">
        <v>1.0958904E-4</v>
      </c>
      <c r="C19" s="82"/>
      <c r="D19" s="82">
        <v>7.6261500000000002E-5</v>
      </c>
      <c r="E19" s="82">
        <v>4.4793000000000003E-5</v>
      </c>
      <c r="F19" s="82">
        <v>3.9406500000000003E-5</v>
      </c>
      <c r="G19" s="82">
        <v>6.2086499999999996E-5</v>
      </c>
      <c r="H19" s="82">
        <v>5.2731E-5</v>
      </c>
      <c r="I19" s="82">
        <v>1.1800000000000001E-5</v>
      </c>
      <c r="J19" s="82"/>
    </row>
    <row r="20" spans="1:13" s="80" customFormat="1" ht="17.100000000000001" customHeight="1">
      <c r="A20" s="77" t="str">
        <f>"Food-"&amp;(ROW(A20)-ROW($A$11)+1)&amp;": "&amp;Input_Foodweb!B20</f>
        <v>Food-10: Egg-laying poultry</v>
      </c>
      <c r="B20" s="82">
        <v>4.109589E-5</v>
      </c>
      <c r="D20" s="82">
        <f>0.000035</f>
        <v>3.4999999999999997E-5</v>
      </c>
      <c r="E20" s="82">
        <f>0.000027</f>
        <v>2.6999999999999999E-5</v>
      </c>
      <c r="F20" s="82">
        <v>2.8E-5</v>
      </c>
      <c r="G20" s="82">
        <v>2.6999999999999999E-5</v>
      </c>
      <c r="H20" s="82">
        <f>0.000039</f>
        <v>3.8999999999999999E-5</v>
      </c>
      <c r="I20" s="82">
        <v>2.0000000000000002E-5</v>
      </c>
      <c r="J20" s="82"/>
    </row>
    <row r="21" spans="1:13" s="80" customFormat="1" ht="17.100000000000001" customHeight="1">
      <c r="A21" s="77" t="str">
        <f>"Food-"&amp;(ROW(A21)-ROW($A$11)+1)&amp;": "&amp;Input_Foodweb!B21</f>
        <v>Food-11: Swine</v>
      </c>
      <c r="B21" s="82">
        <v>5.479452E-5</v>
      </c>
      <c r="C21" s="82"/>
      <c r="D21" s="82">
        <v>4.1305949999999997E-5</v>
      </c>
      <c r="E21" s="82">
        <v>2.718198E-5</v>
      </c>
      <c r="F21" s="82">
        <v>3.5709659999999999E-5</v>
      </c>
      <c r="G21" s="82">
        <v>3.1845554999999996E-5</v>
      </c>
      <c r="H21" s="82">
        <v>3.4243964999999997E-5</v>
      </c>
      <c r="I21" s="82">
        <v>4.9100000000000001E-5</v>
      </c>
    </row>
    <row r="22" spans="1:13" s="80" customFormat="1" ht="17.100000000000001" customHeight="1">
      <c r="A22" s="77" t="str">
        <f>"Food-"&amp;(ROW(A22)-ROW($A$11)+1)&amp;": "&amp;Input_Foodweb!B22</f>
        <v>Food-12: Lab mice</v>
      </c>
      <c r="B22" s="82"/>
      <c r="C22" s="82"/>
      <c r="D22" s="82"/>
      <c r="E22" s="82"/>
      <c r="F22" s="82"/>
      <c r="G22" s="82"/>
      <c r="H22" s="82"/>
    </row>
    <row r="23" spans="1:13" s="80" customFormat="1" ht="17.100000000000001" customHeight="1">
      <c r="A23" s="77" t="str">
        <f>"Food-"&amp;(ROW(A23)-ROW($A$11)+1)&amp;": "&amp;Input_Foodweb!B23</f>
        <v>Food-13: Lab rat</v>
      </c>
      <c r="B23" s="82"/>
      <c r="C23" s="82"/>
      <c r="D23" s="82"/>
      <c r="E23" s="82"/>
      <c r="F23" s="82"/>
      <c r="G23" s="82"/>
      <c r="H23" s="82"/>
    </row>
    <row r="24" spans="1:13" s="80" customFormat="1" ht="17.100000000000001" customHeight="1">
      <c r="A24" s="77" t="str">
        <f>"Food-"&amp;(ROW(A24)-ROW($A$11)+1)&amp;": "&amp;Input_Foodweb!B24</f>
        <v>Food-14: Lab zebrafish</v>
      </c>
      <c r="B24" s="82"/>
      <c r="C24" s="82"/>
      <c r="D24" s="82"/>
      <c r="E24" s="82"/>
      <c r="F24" s="82"/>
      <c r="G24" s="82"/>
      <c r="H24" s="82"/>
    </row>
    <row r="25" spans="1:13" s="80" customFormat="1" ht="17.100000000000001" customHeight="1">
      <c r="A25" s="77" t="str">
        <f>"Food-"&amp;(ROW(A25)-ROW($A$11)+1)&amp;": "&amp;Input_Foodweb!B25</f>
        <v>Food-15: Lab zebrafish larva</v>
      </c>
      <c r="B25" s="82"/>
      <c r="C25" s="82"/>
      <c r="D25" s="82"/>
      <c r="E25" s="82"/>
      <c r="F25" s="82"/>
      <c r="G25" s="82"/>
      <c r="H25" s="82"/>
    </row>
    <row r="26" spans="1:13" s="80" customFormat="1" ht="17.100000000000001" customHeight="1">
      <c r="A26" s="77" t="str">
        <f>"Food-"&amp;(ROW(A26)-ROW($A$11)+1)&amp;": "&amp;Input_Foodweb!B26</f>
        <v xml:space="preserve">Food-16: </v>
      </c>
      <c r="B26" s="82"/>
      <c r="C26" s="82"/>
      <c r="D26" s="82"/>
      <c r="E26" s="82"/>
      <c r="F26" s="82"/>
      <c r="G26" s="82"/>
      <c r="H26" s="82"/>
    </row>
    <row r="27" spans="1:13" s="80" customFormat="1" ht="17.100000000000001" customHeight="1">
      <c r="A27" s="77" t="str">
        <f>"Food-"&amp;(ROW(A27)-ROW($A$11)+1)&amp;": "&amp;Input_Foodweb!B27</f>
        <v xml:space="preserve">Food-17: </v>
      </c>
      <c r="B27" s="82"/>
      <c r="C27" s="82"/>
      <c r="D27" s="82"/>
      <c r="E27" s="82"/>
      <c r="F27" s="82"/>
      <c r="G27" s="82"/>
      <c r="H27" s="82"/>
    </row>
    <row r="28" spans="1:13" s="80" customFormat="1" ht="17.100000000000001" customHeight="1">
      <c r="A28" s="77" t="str">
        <f>"Food-"&amp;(ROW(A28)-ROW($A$11)+1)&amp;": "&amp;Input_Foodweb!B28</f>
        <v xml:space="preserve">Food-18: </v>
      </c>
      <c r="B28" s="82"/>
      <c r="C28" s="82"/>
      <c r="D28" s="82"/>
      <c r="E28" s="82"/>
      <c r="F28" s="82"/>
      <c r="G28" s="82"/>
      <c r="H28" s="82"/>
    </row>
    <row r="29" spans="1:13" s="80" customFormat="1" ht="17.100000000000001" customHeight="1">
      <c r="A29" s="77" t="str">
        <f>"Food-"&amp;(ROW(A29)-ROW($A$11)+1)&amp;": "&amp;Input_Foodweb!B29</f>
        <v xml:space="preserve">Food-19: </v>
      </c>
      <c r="B29" s="82"/>
      <c r="C29" s="82"/>
      <c r="D29" s="82"/>
      <c r="E29" s="82"/>
      <c r="F29" s="82"/>
      <c r="G29" s="82"/>
      <c r="H29" s="82"/>
    </row>
    <row r="30" spans="1:13" s="80" customFormat="1" ht="17.100000000000001" customHeight="1">
      <c r="A30" s="77" t="str">
        <f>"Food-"&amp;(ROW(A30)-ROW($A$11)+1)&amp;": "&amp;Input_Foodweb!B30</f>
        <v xml:space="preserve">Food-20: </v>
      </c>
      <c r="B30" s="82"/>
      <c r="C30" s="82"/>
      <c r="D30" s="82"/>
      <c r="E30" s="82"/>
      <c r="F30" s="82"/>
      <c r="G30" s="82"/>
      <c r="H30" s="82"/>
      <c r="M30" s="82"/>
    </row>
    <row r="31" spans="1:13" s="80" customFormat="1" ht="17.100000000000001" customHeight="1">
      <c r="A31" s="77" t="s">
        <v>102</v>
      </c>
      <c r="B31" s="80">
        <v>0.98699999999999999</v>
      </c>
      <c r="C31" s="80">
        <v>0.9</v>
      </c>
      <c r="D31" s="80">
        <v>0.80500000000000005</v>
      </c>
      <c r="E31" s="80">
        <v>0.80500000000000005</v>
      </c>
      <c r="F31" s="80">
        <v>0.80500000000000005</v>
      </c>
      <c r="G31" s="80">
        <v>0.80500000000000005</v>
      </c>
      <c r="H31" s="80">
        <v>0.80500000000000005</v>
      </c>
      <c r="I31" s="80">
        <v>0.79900000000000004</v>
      </c>
    </row>
    <row r="32" spans="1:13" s="80" customFormat="1" ht="17.100000000000001" customHeight="1">
      <c r="A32" s="77" t="s">
        <v>776</v>
      </c>
      <c r="B32" s="80" t="s">
        <v>43</v>
      </c>
      <c r="C32" s="80" t="s">
        <v>43</v>
      </c>
      <c r="D32" s="80" t="s">
        <v>43</v>
      </c>
      <c r="E32" s="80" t="s">
        <v>43</v>
      </c>
      <c r="F32" s="80" t="s">
        <v>43</v>
      </c>
      <c r="G32" s="80" t="s">
        <v>43</v>
      </c>
      <c r="H32" s="80" t="s">
        <v>43</v>
      </c>
      <c r="I32" s="80" t="s">
        <v>43</v>
      </c>
    </row>
    <row r="33" spans="1:9" s="80" customFormat="1" ht="17.100000000000001" customHeight="1">
      <c r="A33" s="77" t="s">
        <v>777</v>
      </c>
      <c r="B33" s="80" t="s">
        <v>865</v>
      </c>
      <c r="C33" s="80" t="s">
        <v>865</v>
      </c>
      <c r="D33" s="80" t="s">
        <v>865</v>
      </c>
      <c r="E33" s="80" t="s">
        <v>865</v>
      </c>
      <c r="F33" s="80" t="s">
        <v>865</v>
      </c>
      <c r="G33" s="80" t="s">
        <v>865</v>
      </c>
      <c r="H33" s="80" t="s">
        <v>865</v>
      </c>
      <c r="I33" s="80" t="s">
        <v>865</v>
      </c>
    </row>
    <row r="34" spans="1:9" s="80" customFormat="1" ht="17.100000000000001" hidden="1" customHeight="1">
      <c r="A34" s="77"/>
    </row>
    <row r="35" spans="1:9" s="80" customFormat="1" ht="17.100000000000001" hidden="1" customHeight="1">
      <c r="A35" s="77"/>
    </row>
    <row r="36" spans="1:9" s="80" customFormat="1" ht="17.100000000000001" hidden="1" customHeight="1">
      <c r="A36" s="77"/>
    </row>
    <row r="37" spans="1:9" s="80" customFormat="1" ht="17.100000000000001" hidden="1" customHeight="1">
      <c r="A37" s="77"/>
    </row>
    <row r="38" spans="1:9" s="80" customFormat="1" ht="15.75" hidden="1" customHeight="1">
      <c r="A38" s="77"/>
    </row>
    <row r="39" spans="1:9" s="80" customFormat="1" ht="15.75" hidden="1" customHeight="1">
      <c r="A39" s="77"/>
    </row>
    <row r="40" spans="1:9" s="80" customFormat="1" ht="15.75" hidden="1" customHeight="1">
      <c r="A40" s="77"/>
    </row>
    <row r="41" spans="1:9" s="80" customFormat="1" ht="15.75" hidden="1" customHeight="1">
      <c r="A41" s="77"/>
    </row>
    <row r="42" spans="1:9" s="80" customFormat="1" ht="15.75" hidden="1" customHeight="1">
      <c r="A42" s="77"/>
    </row>
    <row r="43" spans="1:9" s="80" customFormat="1" ht="15.75" hidden="1" customHeight="1">
      <c r="A43" s="77"/>
    </row>
    <row r="44" spans="1:9" s="80" customFormat="1" ht="15.75" hidden="1" customHeight="1">
      <c r="A44" s="77"/>
    </row>
    <row r="45" spans="1:9" s="80" customFormat="1" ht="15.75" hidden="1" customHeight="1">
      <c r="A45" s="77"/>
    </row>
    <row r="46" spans="1:9" s="80" customFormat="1" ht="15.75" hidden="1" customHeight="1">
      <c r="A46" s="77"/>
    </row>
    <row r="47" spans="1:9" s="80" customFormat="1" ht="15.75" hidden="1" customHeight="1">
      <c r="A47" s="77"/>
    </row>
    <row r="48" spans="1:9" s="80" customFormat="1" ht="17.100000000000001" customHeight="1">
      <c r="A48" s="151" t="s">
        <v>793</v>
      </c>
    </row>
    <row r="49" spans="1:13" s="80" customFormat="1" ht="17.100000000000001" customHeight="1">
      <c r="A49" s="77" t="s">
        <v>187</v>
      </c>
      <c r="B49" s="82">
        <v>-5.0000000000000004E-6</v>
      </c>
      <c r="C49" s="80">
        <v>-1.5799999999999999E-6</v>
      </c>
      <c r="D49" s="80">
        <v>-3.0000000000000001E-6</v>
      </c>
      <c r="E49" s="82">
        <v>-3.1E-6</v>
      </c>
      <c r="F49" s="82">
        <v>-4.4000000000000002E-6</v>
      </c>
      <c r="G49" s="82">
        <v>-2.7E-6</v>
      </c>
      <c r="H49" s="82">
        <v>-6.9E-6</v>
      </c>
      <c r="I49" s="82">
        <v>-1.28E-6</v>
      </c>
    </row>
    <row r="50" spans="1:13" s="80" customFormat="1" ht="17.100000000000001" customHeight="1">
      <c r="A50" s="77" t="s">
        <v>188</v>
      </c>
      <c r="B50" s="80">
        <v>1.4E-3</v>
      </c>
      <c r="C50" s="80">
        <v>8.8000000000000003E-4</v>
      </c>
      <c r="D50" s="80">
        <v>8.9999999999999998E-4</v>
      </c>
      <c r="E50" s="80">
        <v>1.1000000000000001E-3</v>
      </c>
      <c r="F50" s="80">
        <v>1.1999999999999999E-3</v>
      </c>
      <c r="G50" s="80">
        <v>1E-3</v>
      </c>
      <c r="H50" s="80">
        <v>1.6999999999999999E-3</v>
      </c>
      <c r="I50" s="80">
        <v>5.9999999999999995E-4</v>
      </c>
    </row>
    <row r="51" spans="1:13" s="80" customFormat="1" ht="17.100000000000001" customHeight="1">
      <c r="A51" s="77" t="s">
        <v>189</v>
      </c>
      <c r="B51" s="80">
        <v>-0.1391</v>
      </c>
      <c r="C51" s="80">
        <v>-0.111</v>
      </c>
      <c r="D51" s="80">
        <v>-0.106</v>
      </c>
      <c r="E51" s="80">
        <v>-0.125</v>
      </c>
      <c r="F51" s="80">
        <v>-0.12740000000000001</v>
      </c>
      <c r="G51" s="80">
        <v>-0.1231</v>
      </c>
      <c r="H51" s="80">
        <v>-0.15559999999999999</v>
      </c>
      <c r="I51" s="80">
        <v>-7.9399999999999998E-2</v>
      </c>
    </row>
    <row r="52" spans="1:13" s="80" customFormat="1" ht="17.100000000000001" customHeight="1">
      <c r="A52" s="77" t="s">
        <v>190</v>
      </c>
      <c r="B52" s="80">
        <v>5.6593</v>
      </c>
      <c r="C52" s="80">
        <v>5.0609000000000002</v>
      </c>
      <c r="D52" s="80">
        <v>5.2427000000000001</v>
      </c>
      <c r="E52" s="80">
        <v>5.3738999999999999</v>
      </c>
      <c r="F52" s="80">
        <v>5.7377000000000002</v>
      </c>
      <c r="G52" s="82">
        <v>5.7939999999999996</v>
      </c>
      <c r="H52" s="80">
        <v>6.0392999999999999</v>
      </c>
      <c r="I52" s="80">
        <v>3.8965000000000001</v>
      </c>
    </row>
    <row r="53" spans="1:13" s="80" customFormat="1" ht="17.100000000000001" customHeight="1">
      <c r="A53" s="77" t="s">
        <v>197</v>
      </c>
      <c r="B53" s="80">
        <v>5.3738999999999999</v>
      </c>
      <c r="C53" s="80">
        <v>3</v>
      </c>
      <c r="D53" s="80">
        <v>3.31</v>
      </c>
      <c r="E53" s="80">
        <v>3</v>
      </c>
      <c r="F53" s="80">
        <v>3</v>
      </c>
      <c r="G53" s="80">
        <v>3</v>
      </c>
      <c r="H53" s="80">
        <v>3</v>
      </c>
      <c r="I53" s="80">
        <v>4.7442000000000002</v>
      </c>
      <c r="M53" s="82"/>
    </row>
    <row r="54" spans="1:13" s="80" customFormat="1" ht="17.100000000000001" customHeight="1">
      <c r="A54" s="77" t="s">
        <v>183</v>
      </c>
      <c r="B54" s="80">
        <v>-3.0300000000000001E-5</v>
      </c>
      <c r="C54" s="80">
        <v>-3.0300000000000001E-5</v>
      </c>
      <c r="D54" s="80">
        <v>-3.0300000000000001E-5</v>
      </c>
      <c r="E54" s="82">
        <v>-2.55E-5</v>
      </c>
      <c r="F54" s="82">
        <v>-2.6999999999999999E-5</v>
      </c>
      <c r="G54" s="82">
        <v>-2.65E-5</v>
      </c>
      <c r="H54" s="82">
        <v>-2.7500000000000001E-5</v>
      </c>
      <c r="I54" s="82">
        <v>-2.4199999999999999E-5</v>
      </c>
    </row>
    <row r="55" spans="1:13" s="80" customFormat="1" ht="17.100000000000001" customHeight="1">
      <c r="A55" s="77" t="s">
        <v>184</v>
      </c>
      <c r="B55" s="80">
        <v>5.8999999999999999E-3</v>
      </c>
      <c r="C55" s="80">
        <v>5.8999999999999999E-3</v>
      </c>
      <c r="D55" s="80">
        <v>5.8999999999999999E-3</v>
      </c>
      <c r="E55" s="80">
        <v>5.1000000000000004E-3</v>
      </c>
      <c r="F55" s="80">
        <v>5.4000000000000003E-3</v>
      </c>
      <c r="G55" s="80">
        <v>5.3E-3</v>
      </c>
      <c r="H55" s="80">
        <v>5.4000000000000003E-3</v>
      </c>
      <c r="I55" s="82">
        <v>5.1000000000000004E-3</v>
      </c>
    </row>
    <row r="56" spans="1:13" s="80" customFormat="1" ht="17.100000000000001" customHeight="1">
      <c r="A56" s="77" t="s">
        <v>185</v>
      </c>
      <c r="B56" s="80">
        <v>-0.40920000000000001</v>
      </c>
      <c r="C56" s="80">
        <v>-0.40920000000000001</v>
      </c>
      <c r="D56" s="80">
        <v>-0.40920000000000001</v>
      </c>
      <c r="E56" s="80">
        <v>-0.36</v>
      </c>
      <c r="F56" s="80">
        <v>-0.38019999999999998</v>
      </c>
      <c r="G56" s="80">
        <v>-0.37319999999999998</v>
      </c>
      <c r="H56" s="80">
        <v>-0.373</v>
      </c>
      <c r="I56" s="80">
        <v>-0.37740000000000001</v>
      </c>
    </row>
    <row r="57" spans="1:13" s="80" customFormat="1" ht="17.100000000000001" customHeight="1">
      <c r="A57" s="77" t="s">
        <v>186</v>
      </c>
      <c r="B57" s="80">
        <v>11.7</v>
      </c>
      <c r="C57" s="80">
        <v>11.7</v>
      </c>
      <c r="D57" s="80">
        <v>11.7</v>
      </c>
      <c r="E57" s="80">
        <v>10.377000000000001</v>
      </c>
      <c r="F57" s="80">
        <v>10.95</v>
      </c>
      <c r="G57" s="80">
        <v>10.776999999999999</v>
      </c>
      <c r="H57" s="80">
        <v>10.51</v>
      </c>
      <c r="I57" s="80">
        <v>11.33</v>
      </c>
    </row>
    <row r="58" spans="1:13" s="80" customFormat="1" ht="17.100000000000001" customHeight="1">
      <c r="A58" s="77" t="s">
        <v>191</v>
      </c>
      <c r="B58" s="80">
        <v>65.102999999999994</v>
      </c>
      <c r="C58" s="80">
        <v>65.102999999999994</v>
      </c>
      <c r="D58" s="80">
        <v>65.102999999999994</v>
      </c>
      <c r="E58" s="80">
        <v>71.563999999999993</v>
      </c>
      <c r="F58" s="80">
        <v>69.150000000000006</v>
      </c>
      <c r="G58" s="80">
        <v>71.388000000000005</v>
      </c>
      <c r="H58" s="80">
        <v>71.337999999999994</v>
      </c>
      <c r="I58" s="80">
        <v>57.613999999999997</v>
      </c>
    </row>
    <row r="59" spans="1:13" s="80" customFormat="1" ht="17.100000000000001" customHeight="1">
      <c r="A59" s="77" t="s">
        <v>253</v>
      </c>
      <c r="B59" s="80">
        <v>1.294</v>
      </c>
      <c r="C59" s="80">
        <v>1.294</v>
      </c>
      <c r="D59" s="80">
        <v>0.73760000000000003</v>
      </c>
      <c r="E59" s="80">
        <v>0.80149999999999999</v>
      </c>
      <c r="F59" s="80">
        <v>0.74450000000000005</v>
      </c>
      <c r="G59" s="80">
        <v>0.76849999999999996</v>
      </c>
      <c r="H59" s="80">
        <v>0.68149999999999999</v>
      </c>
      <c r="I59" s="80">
        <v>1.2</v>
      </c>
    </row>
    <row r="60" spans="1:13" s="80" customFormat="1" ht="17.100000000000001" customHeight="1">
      <c r="A60" s="77" t="s">
        <v>254</v>
      </c>
      <c r="B60" s="80">
        <v>0.2</v>
      </c>
      <c r="C60" s="80">
        <v>0.2</v>
      </c>
      <c r="D60" s="80">
        <v>2.0899999999999998E-2</v>
      </c>
      <c r="E60" s="80">
        <v>-2.3599999999999999E-2</v>
      </c>
      <c r="F60" s="80">
        <v>3.8699999999999998E-2</v>
      </c>
      <c r="G60" s="80">
        <v>1.5599999999999999E-2</v>
      </c>
      <c r="H60" s="80">
        <v>-7.4899999999999994E-2</v>
      </c>
      <c r="I60" s="80">
        <v>0.23</v>
      </c>
    </row>
    <row r="61" spans="1:13" s="80" customFormat="1" ht="17.100000000000001" customHeight="1">
      <c r="A61" s="77" t="s">
        <v>255</v>
      </c>
      <c r="B61" s="80">
        <v>-11.4</v>
      </c>
      <c r="C61" s="80">
        <v>-11.4</v>
      </c>
      <c r="D61" s="80">
        <v>-9.9756</v>
      </c>
      <c r="E61" s="80">
        <v>-9.5976999999999997</v>
      </c>
      <c r="F61" s="80">
        <v>-10.001899999999999</v>
      </c>
      <c r="G61" s="80">
        <v>-10.238899999999999</v>
      </c>
      <c r="H61" s="80">
        <v>-9.5168999999999997</v>
      </c>
      <c r="I61" s="80">
        <v>-10.8</v>
      </c>
    </row>
    <row r="62" spans="1:13" s="80" customFormat="1" ht="17.100000000000001" customHeight="1">
      <c r="A62" s="77" t="s">
        <v>221</v>
      </c>
      <c r="B62" s="80">
        <v>-8</v>
      </c>
      <c r="C62" s="80">
        <v>-8</v>
      </c>
      <c r="D62" s="80">
        <v>17.110299999999999</v>
      </c>
      <c r="E62" s="80">
        <v>17.4663</v>
      </c>
      <c r="F62" s="80">
        <v>16.55</v>
      </c>
      <c r="G62" s="80">
        <v>14.715299999999999</v>
      </c>
      <c r="H62" s="80">
        <v>21.782800000000002</v>
      </c>
      <c r="I62" s="80">
        <v>-5.4</v>
      </c>
    </row>
    <row r="63" spans="1:13" s="80" customFormat="1" ht="15.75" hidden="1" customHeight="1">
      <c r="A63" s="77"/>
      <c r="D63" s="81"/>
      <c r="E63" s="81"/>
      <c r="F63" s="81"/>
      <c r="G63" s="262"/>
    </row>
    <row r="64" spans="1:13" s="80" customFormat="1" ht="15.75" hidden="1" customHeight="1">
      <c r="A64" s="77"/>
      <c r="D64" s="81"/>
      <c r="E64" s="81"/>
      <c r="F64" s="81"/>
      <c r="G64" s="262"/>
    </row>
    <row r="65" spans="1:7" s="80" customFormat="1" ht="15.75" hidden="1" customHeight="1">
      <c r="A65" s="77"/>
      <c r="D65" s="81"/>
      <c r="E65" s="81"/>
      <c r="F65" s="81"/>
      <c r="G65" s="262"/>
    </row>
    <row r="66" spans="1:7" s="80" customFormat="1" ht="15.75" hidden="1" customHeight="1">
      <c r="A66" s="77"/>
      <c r="D66" s="81"/>
      <c r="E66" s="81"/>
      <c r="F66" s="81"/>
      <c r="G66" s="262"/>
    </row>
    <row r="67" spans="1:7" s="80" customFormat="1" ht="15.75" hidden="1" customHeight="1">
      <c r="A67" s="77"/>
      <c r="D67" s="81"/>
      <c r="E67" s="81"/>
      <c r="F67" s="81"/>
      <c r="G67" s="262"/>
    </row>
    <row r="68" spans="1:7" s="80" customFormat="1" ht="15.75" hidden="1" customHeight="1">
      <c r="A68" s="77"/>
      <c r="D68" s="81"/>
      <c r="E68" s="81"/>
      <c r="F68" s="81"/>
      <c r="G68" s="262"/>
    </row>
    <row r="69" spans="1:7" s="80" customFormat="1" ht="15.75" hidden="1" customHeight="1">
      <c r="A69" s="77"/>
      <c r="D69" s="81"/>
      <c r="E69" s="81"/>
      <c r="F69" s="81"/>
      <c r="G69" s="262"/>
    </row>
    <row r="70" spans="1:7" s="80" customFormat="1" ht="15.75" hidden="1" customHeight="1">
      <c r="A70" s="77"/>
      <c r="D70" s="81"/>
      <c r="E70" s="81"/>
      <c r="F70" s="81"/>
      <c r="G70" s="262"/>
    </row>
    <row r="71" spans="1:7" s="80" customFormat="1" ht="15.75" hidden="1" customHeight="1">
      <c r="A71" s="77"/>
      <c r="D71" s="81"/>
      <c r="E71" s="81"/>
      <c r="F71" s="81"/>
      <c r="G71" s="262"/>
    </row>
    <row r="72" spans="1:7" s="80" customFormat="1" ht="15.75" hidden="1" customHeight="1">
      <c r="A72" s="77"/>
      <c r="D72" s="81"/>
      <c r="E72" s="81"/>
      <c r="F72" s="81"/>
      <c r="G72" s="262"/>
    </row>
    <row r="73" spans="1:7" s="80" customFormat="1" ht="15.75" hidden="1" customHeight="1">
      <c r="A73" s="77"/>
      <c r="D73" s="81"/>
      <c r="E73" s="81"/>
      <c r="F73" s="81"/>
      <c r="G73" s="262"/>
    </row>
    <row r="74" spans="1:7" s="80" customFormat="1" ht="15.75" hidden="1" customHeight="1">
      <c r="A74" s="77"/>
      <c r="D74" s="81"/>
      <c r="E74" s="81"/>
      <c r="F74" s="81"/>
      <c r="G74" s="262"/>
    </row>
    <row r="75" spans="1:7" s="80" customFormat="1" ht="15.75" hidden="1" customHeight="1">
      <c r="A75" s="77"/>
      <c r="D75" s="81"/>
      <c r="E75" s="81"/>
      <c r="F75" s="81"/>
      <c r="G75" s="262"/>
    </row>
    <row r="76" spans="1:7" s="80" customFormat="1" ht="15.75" hidden="1" customHeight="1">
      <c r="A76" s="77"/>
      <c r="D76" s="81"/>
      <c r="E76" s="81"/>
      <c r="F76" s="81"/>
      <c r="G76" s="262"/>
    </row>
    <row r="77" spans="1:7" s="80" customFormat="1" ht="15.75" hidden="1" customHeight="1">
      <c r="A77" s="77"/>
      <c r="D77" s="81"/>
      <c r="E77" s="81"/>
      <c r="F77" s="81"/>
      <c r="G77" s="262"/>
    </row>
    <row r="78" spans="1:7" s="80" customFormat="1" ht="15.75" hidden="1" customHeight="1">
      <c r="A78" s="77"/>
      <c r="D78" s="81"/>
      <c r="E78" s="81"/>
      <c r="F78" s="81"/>
      <c r="G78" s="262"/>
    </row>
    <row r="79" spans="1:7" s="80" customFormat="1" ht="15.75" hidden="1" customHeight="1">
      <c r="A79" s="77"/>
      <c r="D79" s="81"/>
      <c r="E79" s="81"/>
      <c r="F79" s="81"/>
      <c r="G79" s="262"/>
    </row>
    <row r="80" spans="1:7" s="80" customFormat="1" ht="15.75" hidden="1" customHeight="1">
      <c r="A80" s="77"/>
      <c r="D80" s="81"/>
      <c r="E80" s="81"/>
      <c r="F80" s="81"/>
      <c r="G80" s="262"/>
    </row>
    <row r="81" spans="1:7" s="80" customFormat="1" ht="15.75" hidden="1" customHeight="1">
      <c r="A81" s="77"/>
      <c r="D81" s="81"/>
      <c r="E81" s="81"/>
      <c r="F81" s="81"/>
      <c r="G81" s="262"/>
    </row>
    <row r="82" spans="1:7" s="80" customFormat="1" ht="15.75" hidden="1" customHeight="1">
      <c r="A82" s="77"/>
      <c r="D82" s="81"/>
      <c r="E82" s="81"/>
      <c r="F82" s="81"/>
      <c r="G82" s="262"/>
    </row>
    <row r="83" spans="1:7" s="80" customFormat="1" ht="15.75" hidden="1" customHeight="1">
      <c r="A83" s="77"/>
      <c r="D83" s="81"/>
      <c r="E83" s="81"/>
      <c r="F83" s="81"/>
      <c r="G83" s="262"/>
    </row>
    <row r="84" spans="1:7" s="80" customFormat="1" ht="15.75" hidden="1" customHeight="1">
      <c r="A84" s="77"/>
      <c r="D84" s="81"/>
      <c r="E84" s="81"/>
      <c r="F84" s="81"/>
      <c r="G84" s="262"/>
    </row>
    <row r="85" spans="1:7" s="80" customFormat="1" ht="15.75" hidden="1" customHeight="1">
      <c r="A85" s="77"/>
      <c r="D85" s="81"/>
      <c r="E85" s="81"/>
      <c r="F85" s="81"/>
      <c r="G85" s="262"/>
    </row>
    <row r="86" spans="1:7" s="80" customFormat="1" ht="15.75" hidden="1" customHeight="1">
      <c r="A86" s="77"/>
      <c r="D86" s="81"/>
      <c r="E86" s="81"/>
      <c r="F86" s="81"/>
      <c r="G86" s="262"/>
    </row>
    <row r="87" spans="1:7" s="80" customFormat="1" ht="15.75" hidden="1" customHeight="1">
      <c r="A87" s="77"/>
      <c r="D87" s="81"/>
      <c r="E87" s="81"/>
      <c r="F87" s="81"/>
      <c r="G87" s="262"/>
    </row>
    <row r="88" spans="1:7" s="80" customFormat="1" ht="15.75" hidden="1" customHeight="1">
      <c r="A88" s="77"/>
      <c r="D88" s="81"/>
      <c r="E88" s="81"/>
      <c r="F88" s="81"/>
      <c r="G88" s="262"/>
    </row>
    <row r="89" spans="1:7" s="80" customFormat="1" ht="15.75" hidden="1" customHeight="1">
      <c r="A89" s="77"/>
      <c r="D89" s="81"/>
      <c r="E89" s="81"/>
      <c r="F89" s="81"/>
      <c r="G89" s="262"/>
    </row>
    <row r="90" spans="1:7" s="80" customFormat="1" ht="15.75" hidden="1" customHeight="1">
      <c r="A90" s="77"/>
      <c r="D90" s="81"/>
      <c r="E90" s="81"/>
      <c r="F90" s="81"/>
      <c r="G90" s="262"/>
    </row>
    <row r="91" spans="1:7" s="80" customFormat="1" ht="15.75" hidden="1" customHeight="1">
      <c r="A91" s="77"/>
      <c r="D91" s="81"/>
      <c r="E91" s="81"/>
      <c r="F91" s="81"/>
      <c r="G91" s="262"/>
    </row>
    <row r="92" spans="1:7" s="80" customFormat="1" ht="15.75" hidden="1" customHeight="1">
      <c r="A92" s="77"/>
      <c r="D92" s="81"/>
      <c r="E92" s="81"/>
      <c r="F92" s="81"/>
      <c r="G92" s="262"/>
    </row>
    <row r="93" spans="1:7" s="80" customFormat="1" ht="15.75" hidden="1" customHeight="1">
      <c r="A93" s="77"/>
      <c r="D93" s="81"/>
      <c r="E93" s="81"/>
      <c r="F93" s="81"/>
      <c r="G93" s="262"/>
    </row>
    <row r="94" spans="1:7" s="80" customFormat="1" ht="15.75" hidden="1" customHeight="1">
      <c r="A94" s="77"/>
      <c r="D94" s="81"/>
      <c r="E94" s="81"/>
      <c r="F94" s="81"/>
      <c r="G94" s="262"/>
    </row>
    <row r="95" spans="1:7" s="80" customFormat="1" ht="15.75" hidden="1" customHeight="1">
      <c r="A95" s="77"/>
      <c r="D95" s="81"/>
      <c r="E95" s="81"/>
      <c r="F95" s="81"/>
      <c r="G95" s="262"/>
    </row>
    <row r="96" spans="1:7" s="80" customFormat="1" ht="15.75" hidden="1" customHeight="1">
      <c r="A96" s="77"/>
      <c r="D96" s="81"/>
      <c r="E96" s="81"/>
      <c r="F96" s="81"/>
      <c r="G96" s="262"/>
    </row>
    <row r="97" spans="1:9" s="80" customFormat="1" ht="15.75" hidden="1" customHeight="1">
      <c r="A97" s="77"/>
      <c r="D97" s="81"/>
      <c r="E97" s="81"/>
      <c r="F97" s="81"/>
      <c r="G97" s="262"/>
    </row>
    <row r="98" spans="1:9" s="80" customFormat="1" ht="15.75" hidden="1" customHeight="1">
      <c r="A98" s="77"/>
    </row>
    <row r="99" spans="1:9" s="80" customFormat="1" ht="15.75" hidden="1" customHeight="1">
      <c r="A99" s="77"/>
    </row>
    <row r="100" spans="1:9" s="80" customFormat="1" ht="15.75" hidden="1" customHeight="1">
      <c r="A100" s="77"/>
    </row>
    <row r="101" spans="1:9" s="80" customFormat="1" ht="15.75" customHeight="1">
      <c r="A101" s="77"/>
    </row>
    <row r="102" spans="1:9" s="80" customFormat="1" ht="17.100000000000001" customHeight="1">
      <c r="A102" s="151" t="s">
        <v>106</v>
      </c>
    </row>
    <row r="103" spans="1:9" s="80" customFormat="1" ht="17.100000000000001" customHeight="1">
      <c r="A103" s="77" t="s">
        <v>857</v>
      </c>
      <c r="B103" s="80">
        <v>68.736999999999995</v>
      </c>
      <c r="C103" s="80">
        <v>62.072000000000003</v>
      </c>
      <c r="D103" s="80">
        <v>70.998999999999995</v>
      </c>
      <c r="E103" s="80">
        <v>59.314</v>
      </c>
      <c r="F103" s="80">
        <v>71.408000000000001</v>
      </c>
      <c r="G103" s="80">
        <v>80.634</v>
      </c>
      <c r="H103" s="80">
        <v>71.599000000000004</v>
      </c>
      <c r="I103" s="80">
        <v>56.805</v>
      </c>
    </row>
    <row r="104" spans="1:9" s="80" customFormat="1" ht="17.100000000000001" customHeight="1">
      <c r="A104" s="77" t="s">
        <v>858</v>
      </c>
      <c r="B104" s="80">
        <v>19.309999999999999</v>
      </c>
      <c r="C104" s="80">
        <v>15.566000000000001</v>
      </c>
      <c r="D104" s="80">
        <v>25.516400000000001</v>
      </c>
      <c r="E104" s="80">
        <v>20.408999999999999</v>
      </c>
      <c r="F104" s="80">
        <v>26.053000000000001</v>
      </c>
      <c r="G104" s="80">
        <v>29.893000000000001</v>
      </c>
      <c r="H104" s="80">
        <v>27.523</v>
      </c>
      <c r="I104" s="80">
        <v>14.067</v>
      </c>
    </row>
    <row r="105" spans="1:9" s="80" customFormat="1" ht="17.100000000000001" customHeight="1">
      <c r="A105" s="77" t="s">
        <v>859</v>
      </c>
      <c r="B105" s="80">
        <v>1.6910000000000001</v>
      </c>
      <c r="C105" s="80">
        <v>1.6910000000000001</v>
      </c>
      <c r="D105" s="80">
        <v>1.6913</v>
      </c>
      <c r="E105" s="80">
        <v>1.647</v>
      </c>
      <c r="F105" s="80">
        <v>1.6739999999999999</v>
      </c>
      <c r="G105" s="80">
        <v>1.68</v>
      </c>
      <c r="H105" s="80">
        <v>1.623</v>
      </c>
      <c r="I105" s="80">
        <v>1.671</v>
      </c>
    </row>
    <row r="106" spans="1:9" s="80" customFormat="1" ht="17.100000000000001" customHeight="1">
      <c r="A106" s="77" t="s">
        <v>860</v>
      </c>
      <c r="B106" s="80">
        <v>24.027999999999999</v>
      </c>
      <c r="C106" s="80">
        <v>21.698</v>
      </c>
      <c r="D106" s="80">
        <v>24.818999999999999</v>
      </c>
      <c r="E106" s="80">
        <v>21.875</v>
      </c>
      <c r="F106" s="80">
        <v>25.477</v>
      </c>
      <c r="G106" s="80">
        <v>28.584</v>
      </c>
      <c r="H106" s="80">
        <v>27.19</v>
      </c>
      <c r="I106" s="80">
        <v>20.344000000000001</v>
      </c>
    </row>
    <row r="107" spans="1:9" s="80" customFormat="1" ht="17.100000000000001" customHeight="1">
      <c r="A107" s="77" t="s">
        <v>861</v>
      </c>
      <c r="B107" s="80">
        <v>15.1</v>
      </c>
      <c r="C107" s="80">
        <v>15</v>
      </c>
      <c r="D107" s="80">
        <v>15.7</v>
      </c>
      <c r="E107" s="80">
        <v>15.7</v>
      </c>
      <c r="F107" s="80">
        <v>15.7</v>
      </c>
      <c r="G107" s="80">
        <v>15.7</v>
      </c>
      <c r="H107" s="80">
        <v>15.7</v>
      </c>
      <c r="I107" s="80">
        <v>14.2</v>
      </c>
    </row>
    <row r="108" spans="1:9" s="80" customFormat="1" ht="17.100000000000001" customHeight="1">
      <c r="A108" s="77" t="s">
        <v>862</v>
      </c>
      <c r="B108" s="80">
        <v>1.5299999999999999E-3</v>
      </c>
      <c r="C108" s="80">
        <v>3.0000000000000001E-3</v>
      </c>
      <c r="D108" s="80">
        <v>1E-3</v>
      </c>
      <c r="E108" s="80">
        <v>1E-3</v>
      </c>
      <c r="F108" s="80">
        <v>1E-3</v>
      </c>
      <c r="G108" s="80">
        <v>1E-3</v>
      </c>
      <c r="H108" s="80">
        <v>1E-3</v>
      </c>
      <c r="I108" s="80">
        <v>3.0000000000000001E-3</v>
      </c>
    </row>
    <row r="109" spans="1:9" s="80" customFormat="1" ht="17.100000000000001" customHeight="1">
      <c r="A109" s="77" t="s">
        <v>863</v>
      </c>
      <c r="B109" s="82">
        <v>1.3000000000000001E-8</v>
      </c>
      <c r="C109" s="82">
        <v>1.3000000000000001E-8</v>
      </c>
      <c r="D109" s="82">
        <v>2E-8</v>
      </c>
      <c r="E109" s="82">
        <v>2E-8</v>
      </c>
      <c r="F109" s="82">
        <v>2E-8</v>
      </c>
      <c r="G109" s="82">
        <v>2E-8</v>
      </c>
      <c r="H109" s="82">
        <v>2E-8</v>
      </c>
      <c r="I109" s="82">
        <v>2E-8</v>
      </c>
    </row>
    <row r="110" spans="1:9" s="80" customFormat="1" ht="17.100000000000001" customHeight="1">
      <c r="A110" s="77" t="s">
        <v>864</v>
      </c>
      <c r="B110" s="80">
        <v>20</v>
      </c>
      <c r="C110" s="80">
        <v>30</v>
      </c>
      <c r="D110" s="80">
        <v>20</v>
      </c>
      <c r="E110" s="80">
        <v>20</v>
      </c>
      <c r="F110" s="80">
        <v>20</v>
      </c>
      <c r="G110" s="80">
        <v>20</v>
      </c>
      <c r="H110" s="80">
        <v>20</v>
      </c>
      <c r="I110" s="80">
        <v>20</v>
      </c>
    </row>
    <row r="111" spans="1:9" s="80" customFormat="1" ht="17.100000000000001" customHeight="1">
      <c r="A111" s="77" t="str">
        <f>"Food-"&amp;(ROW(A111)-ROW($A$111)+1)&amp;": "&amp;Input_Foodweb!B11</f>
        <v>Food-1: Zooplankton</v>
      </c>
      <c r="B111" s="80">
        <v>0</v>
      </c>
      <c r="C111" s="80">
        <v>0</v>
      </c>
      <c r="D111" s="80">
        <v>0</v>
      </c>
      <c r="E111" s="80">
        <f>E11*0.8</f>
        <v>0</v>
      </c>
      <c r="F111" s="80">
        <f>F11*0.8</f>
        <v>0</v>
      </c>
      <c r="G111" s="80">
        <f>G11*0.8</f>
        <v>0</v>
      </c>
      <c r="H111" s="80">
        <f>H11*0.8</f>
        <v>0</v>
      </c>
      <c r="I111" s="80">
        <v>0</v>
      </c>
    </row>
    <row r="112" spans="1:9" s="80" customFormat="1" ht="17.100000000000001" customHeight="1">
      <c r="A112" s="77" t="str">
        <f>"Food-"&amp;(ROW(A112)-ROW($A$111)+1)&amp;": "&amp;Input_Foodweb!B12</f>
        <v>Food-2: Planktivorous fish</v>
      </c>
      <c r="B112" s="80">
        <v>1.4E-5</v>
      </c>
      <c r="C112" s="80">
        <f>59.7 / 10 ^ 6 * 0.75</f>
        <v>4.4775000000000004E-5</v>
      </c>
      <c r="D112" s="80">
        <v>1.2544875000000001E-5</v>
      </c>
      <c r="E112" s="82">
        <f t="shared" ref="E112:H115" si="0">$D112/$D12*E12</f>
        <v>2.0071799999999996E-5</v>
      </c>
      <c r="F112" s="82">
        <f t="shared" si="0"/>
        <v>9.3190499999999985E-6</v>
      </c>
      <c r="G112" s="82">
        <f t="shared" si="0"/>
        <v>1.4516212499999999E-5</v>
      </c>
      <c r="H112" s="82">
        <f t="shared" si="0"/>
        <v>1.2544874999999997E-5</v>
      </c>
      <c r="I112" s="82">
        <v>1.43E-5</v>
      </c>
    </row>
    <row r="113" spans="1:9" s="80" customFormat="1" ht="17.100000000000001" customHeight="1">
      <c r="A113" s="77" t="str">
        <f>"Food-"&amp;(ROW(A113)-ROW($A$111)+1)&amp;": "&amp;Input_Foodweb!B13</f>
        <v>Food-3: Piscivorous fish</v>
      </c>
      <c r="B113" s="80">
        <v>4.6999999999999999E-6</v>
      </c>
      <c r="C113" s="80">
        <f>59.7 / 10 ^ 6 * 0.25</f>
        <v>1.4925E-5</v>
      </c>
      <c r="D113" s="80">
        <v>4.181625E-6</v>
      </c>
      <c r="E113" s="82">
        <f t="shared" si="0"/>
        <v>6.6905999999999974E-6</v>
      </c>
      <c r="F113" s="82">
        <f t="shared" si="0"/>
        <v>3.1063499999999995E-6</v>
      </c>
      <c r="G113" s="82">
        <f t="shared" si="0"/>
        <v>4.8387374999999992E-6</v>
      </c>
      <c r="H113" s="82">
        <f t="shared" si="0"/>
        <v>4.1816249999999983E-6</v>
      </c>
      <c r="I113" s="82">
        <v>4.78E-6</v>
      </c>
    </row>
    <row r="114" spans="1:9" s="80" customFormat="1" ht="17.100000000000001" customHeight="1">
      <c r="A114" s="77" t="str">
        <f>"Food-"&amp;(ROW(A114)-ROW($A$111)+1)&amp;": "&amp;Input_Foodweb!B14</f>
        <v>Food-4: Plant foliage and leafy vegetables</v>
      </c>
      <c r="B114" s="80">
        <v>5.1999999999999995E-4</v>
      </c>
      <c r="C114" s="80">
        <f>251 / 10 ^ 6</f>
        <v>2.5099999999999998E-4</v>
      </c>
      <c r="D114" s="80">
        <v>3.0115949999999996E-4</v>
      </c>
      <c r="E114" s="82">
        <f t="shared" si="0"/>
        <v>3.8462346815855999E-4</v>
      </c>
      <c r="F114" s="82">
        <f t="shared" si="0"/>
        <v>2.8554013912473889E-4</v>
      </c>
      <c r="G114" s="82">
        <f t="shared" si="0"/>
        <v>2.5131135273123706E-4</v>
      </c>
      <c r="H114" s="82">
        <f t="shared" si="0"/>
        <v>3.1076135015152968E-4</v>
      </c>
      <c r="I114" s="82">
        <v>1.9799999999999999E-4</v>
      </c>
    </row>
    <row r="115" spans="1:9" s="80" customFormat="1" ht="17.100000000000001" customHeight="1">
      <c r="A115" s="77" t="str">
        <f>"Food-"&amp;(ROW(A115)-ROW($A$111)+1)&amp;": "&amp;Input_Foodweb!B15</f>
        <v>Food-5: Plant root and root vegetables</v>
      </c>
      <c r="B115" s="82">
        <f>B15*0.8</f>
        <v>1.7315068E-4</v>
      </c>
      <c r="D115" s="80">
        <v>4.8727800000000005E-5</v>
      </c>
      <c r="E115" s="82">
        <f t="shared" si="0"/>
        <v>5.6720499630273608E-5</v>
      </c>
      <c r="F115" s="82">
        <f t="shared" si="0"/>
        <v>6.7129717608969372E-5</v>
      </c>
      <c r="G115" s="82">
        <f t="shared" si="0"/>
        <v>3.9570176869116855E-5</v>
      </c>
      <c r="H115" s="82">
        <f t="shared" si="0"/>
        <v>4.7544806443232015E-5</v>
      </c>
      <c r="I115" s="82">
        <v>2.51E-5</v>
      </c>
    </row>
    <row r="116" spans="1:9" s="80" customFormat="1" ht="17.100000000000001" customHeight="1">
      <c r="A116" s="77" t="str">
        <f>"Food-"&amp;(ROW(A116)-ROW($A$111)+1)&amp;": "&amp;Input_Foodweb!B16</f>
        <v>Food-6: Invertebrate/earthworm</v>
      </c>
      <c r="B116" s="80">
        <v>0</v>
      </c>
      <c r="C116" s="80">
        <v>0</v>
      </c>
      <c r="D116" s="80">
        <v>0</v>
      </c>
      <c r="E116" s="80">
        <v>0</v>
      </c>
      <c r="F116" s="80">
        <v>0</v>
      </c>
      <c r="G116" s="80">
        <v>0</v>
      </c>
      <c r="H116" s="80">
        <v>0</v>
      </c>
      <c r="I116" s="80">
        <v>0</v>
      </c>
    </row>
    <row r="117" spans="1:9" s="80" customFormat="1" ht="17.100000000000001" customHeight="1">
      <c r="A117" s="77" t="str">
        <f>"Food-"&amp;(ROW(A117)-ROW($A$111)+1)&amp;": "&amp;Input_Foodweb!B17</f>
        <v>Food-7: Beef cattle</v>
      </c>
      <c r="B117" s="82">
        <v>5.5000000000000002E-5</v>
      </c>
      <c r="C117" s="82">
        <f>50 / 10 ^ 6</f>
        <v>5.0000000000000002E-5</v>
      </c>
      <c r="D117" s="82">
        <v>2.7346410000000007E-5</v>
      </c>
      <c r="E117" s="82">
        <f t="shared" ref="E117:H121" si="1">E17/$D17*$D117</f>
        <v>1.7995702064516141E-5</v>
      </c>
      <c r="F117" s="82">
        <f t="shared" si="1"/>
        <v>2.364141251612904E-5</v>
      </c>
      <c r="G117" s="82">
        <f t="shared" si="1"/>
        <v>2.1083199967741948E-5</v>
      </c>
      <c r="H117" s="82">
        <f t="shared" si="1"/>
        <v>2.2671056032258071E-5</v>
      </c>
      <c r="I117" s="82">
        <v>6.6000000000000003E-6</v>
      </c>
    </row>
    <row r="118" spans="1:9" s="80" customFormat="1" ht="17.100000000000001" customHeight="1">
      <c r="A118" s="77" t="str">
        <f>"Food-"&amp;(ROW(A118)-ROW($A$111)+1)&amp;": "&amp;Input_Foodweb!B18</f>
        <v>Food-8: Dairy cattle</v>
      </c>
      <c r="B118" s="82">
        <f xml:space="preserve"> 0.00025</f>
        <v>2.5000000000000001E-4</v>
      </c>
      <c r="C118" s="82">
        <f>305 / 10 ^ 6</f>
        <v>3.0499999999999999E-4</v>
      </c>
      <c r="D118" s="82">
        <v>1.2984999999999998E-4</v>
      </c>
      <c r="E118" s="82">
        <f t="shared" si="1"/>
        <v>1.2356693548387095E-4</v>
      </c>
      <c r="F118" s="82">
        <f t="shared" si="1"/>
        <v>1.4032177419354835E-4</v>
      </c>
      <c r="G118" s="82">
        <f t="shared" si="1"/>
        <v>8.796290322580644E-5</v>
      </c>
      <c r="H118" s="82">
        <f t="shared" si="1"/>
        <v>1.3403870967741935E-4</v>
      </c>
      <c r="I118" s="82">
        <v>1.1000000000000001E-6</v>
      </c>
    </row>
    <row r="119" spans="1:9" s="80" customFormat="1" ht="17.100000000000001" customHeight="1">
      <c r="A119" s="77" t="str">
        <f>"Food-"&amp;(ROW(A119)-ROW($A$111)+1)&amp;": "&amp;Input_Foodweb!B19</f>
        <v>Food-9: Broiler poultry</v>
      </c>
      <c r="B119" s="82">
        <f>B19*0.8</f>
        <v>8.7671232000000003E-5</v>
      </c>
      <c r="D119" s="82">
        <v>4.84785E-5</v>
      </c>
      <c r="E119" s="82">
        <f t="shared" si="1"/>
        <v>2.8474360594795538E-5</v>
      </c>
      <c r="F119" s="82">
        <f t="shared" si="1"/>
        <v>2.5050228624535315E-5</v>
      </c>
      <c r="G119" s="82">
        <f t="shared" si="1"/>
        <v>3.9467626394052045E-5</v>
      </c>
      <c r="H119" s="82">
        <f t="shared" si="1"/>
        <v>3.3520449814126394E-5</v>
      </c>
      <c r="I119" s="82">
        <v>9.3999999999999998E-6</v>
      </c>
    </row>
    <row r="120" spans="1:9" s="80" customFormat="1" ht="17.100000000000001" customHeight="1">
      <c r="A120" s="77" t="str">
        <f>"Food-"&amp;(ROW(A120)-ROW($A$111)+1)&amp;": "&amp;Input_Foodweb!B20</f>
        <v>Food-10: Egg-laying poultry</v>
      </c>
      <c r="B120" s="82">
        <f>B20*0.8</f>
        <v>3.2876712000000003E-5</v>
      </c>
      <c r="D120" s="82">
        <f>0.0000315</f>
        <v>3.15E-5</v>
      </c>
      <c r="E120" s="82">
        <f t="shared" si="1"/>
        <v>2.4300000000000001E-5</v>
      </c>
      <c r="F120" s="82">
        <f t="shared" si="1"/>
        <v>2.5200000000000003E-5</v>
      </c>
      <c r="G120" s="82">
        <f t="shared" si="1"/>
        <v>2.4300000000000001E-5</v>
      </c>
      <c r="H120" s="82">
        <f t="shared" si="1"/>
        <v>3.5099999999999999E-5</v>
      </c>
      <c r="I120" s="82">
        <v>2.0000000000000002E-5</v>
      </c>
    </row>
    <row r="121" spans="1:9" s="80" customFormat="1" ht="17.100000000000001" customHeight="1">
      <c r="A121" s="77" t="str">
        <f>"Food-"&amp;(ROW(A121)-ROW($A$111)+1)&amp;": "&amp;Input_Foodweb!B21</f>
        <v>Food-11: Swine</v>
      </c>
      <c r="B121" s="82">
        <f>B21*0.8</f>
        <v>4.3835616000000001E-5</v>
      </c>
      <c r="D121" s="82">
        <v>2.4250590000000004E-5</v>
      </c>
      <c r="E121" s="82">
        <f t="shared" si="1"/>
        <v>1.595845277419355E-5</v>
      </c>
      <c r="F121" s="82">
        <f t="shared" si="1"/>
        <v>2.0965026193548392E-5</v>
      </c>
      <c r="G121" s="82">
        <f t="shared" si="1"/>
        <v>1.8696422612903228E-5</v>
      </c>
      <c r="H121" s="82">
        <f t="shared" si="1"/>
        <v>2.0104521387096775E-5</v>
      </c>
      <c r="I121" s="82">
        <v>4.18E-5</v>
      </c>
    </row>
    <row r="122" spans="1:9" s="80" customFormat="1" ht="17.100000000000001" customHeight="1">
      <c r="A122" s="77" t="str">
        <f>"Food-"&amp;(ROW(A122)-ROW($A$111)+1)&amp;": "&amp;Input_Foodweb!B22</f>
        <v>Food-12: Lab mice</v>
      </c>
    </row>
    <row r="123" spans="1:9" s="80" customFormat="1" ht="17.100000000000001" customHeight="1">
      <c r="A123" s="77" t="str">
        <f>"Food-"&amp;(ROW(A123)-ROW($A$111)+1)&amp;": "&amp;Input_Foodweb!B23</f>
        <v>Food-13: Lab rat</v>
      </c>
    </row>
    <row r="124" spans="1:9" s="80" customFormat="1" ht="17.100000000000001" customHeight="1">
      <c r="A124" s="77" t="str">
        <f>"Food-"&amp;(ROW(A124)-ROW($A$111)+1)&amp;": "&amp;Input_Foodweb!B24</f>
        <v>Food-14: Lab zebrafish</v>
      </c>
    </row>
    <row r="125" spans="1:9" s="80" customFormat="1" ht="17.100000000000001" customHeight="1">
      <c r="A125" s="77" t="str">
        <f>"Food-"&amp;(ROW(A125)-ROW($A$111)+1)&amp;": "&amp;Input_Foodweb!B25</f>
        <v>Food-15: Lab zebrafish larva</v>
      </c>
    </row>
    <row r="126" spans="1:9" s="80" customFormat="1" ht="17.100000000000001" customHeight="1">
      <c r="A126" s="77" t="str">
        <f>"Food-"&amp;(ROW(A126)-ROW($A$111)+1)&amp;": "&amp;Input_Foodweb!B26</f>
        <v xml:space="preserve">Food-16: </v>
      </c>
    </row>
    <row r="127" spans="1:9" s="80" customFormat="1" ht="17.100000000000001" customHeight="1">
      <c r="A127" s="77" t="str">
        <f>"Food-"&amp;(ROW(A127)-ROW($A$111)+1)&amp;": "&amp;Input_Foodweb!B27</f>
        <v xml:space="preserve">Food-17: </v>
      </c>
    </row>
    <row r="128" spans="1:9" s="80" customFormat="1" ht="17.100000000000001" customHeight="1">
      <c r="A128" s="77" t="str">
        <f>"Food-"&amp;(ROW(A128)-ROW($A$111)+1)&amp;": "&amp;Input_Foodweb!B28</f>
        <v xml:space="preserve">Food-18: </v>
      </c>
    </row>
    <row r="129" spans="1:9" s="80" customFormat="1" ht="17.100000000000001" customHeight="1">
      <c r="A129" s="77" t="str">
        <f>"Food-"&amp;(ROW(A129)-ROW($A$111)+1)&amp;": "&amp;Input_Foodweb!B29</f>
        <v xml:space="preserve">Food-19: </v>
      </c>
    </row>
    <row r="130" spans="1:9" s="80" customFormat="1" ht="17.100000000000001" customHeight="1">
      <c r="A130" s="77" t="str">
        <f>"Food-"&amp;(ROW(A130)-ROW($A$111)+1)&amp;": "&amp;Input_Foodweb!B30</f>
        <v xml:space="preserve">Food-20: </v>
      </c>
    </row>
    <row r="131" spans="1:9" s="80" customFormat="1" ht="17.100000000000001" customHeight="1">
      <c r="A131" s="77" t="s">
        <v>102</v>
      </c>
      <c r="B131" s="80">
        <v>0.96299999999999997</v>
      </c>
      <c r="C131" s="80">
        <v>0.9</v>
      </c>
      <c r="D131" s="80">
        <v>0.80500000000000005</v>
      </c>
      <c r="E131" s="80">
        <v>0.80500000000000005</v>
      </c>
      <c r="F131" s="80">
        <v>0.80500000000000005</v>
      </c>
      <c r="G131" s="80">
        <v>0.80500000000000005</v>
      </c>
      <c r="H131" s="80">
        <v>0.80500000000000005</v>
      </c>
      <c r="I131" s="80">
        <v>0.82199999999999995</v>
      </c>
    </row>
    <row r="132" spans="1:9" s="80" customFormat="1" ht="17.100000000000001" customHeight="1">
      <c r="A132" s="77" t="s">
        <v>776</v>
      </c>
      <c r="B132" s="150" t="s">
        <v>43</v>
      </c>
      <c r="C132" s="150" t="s">
        <v>43</v>
      </c>
      <c r="D132" s="150" t="s">
        <v>43</v>
      </c>
      <c r="E132" s="150" t="s">
        <v>43</v>
      </c>
      <c r="F132" s="150" t="s">
        <v>43</v>
      </c>
      <c r="G132" s="150" t="s">
        <v>43</v>
      </c>
      <c r="H132" s="150" t="s">
        <v>43</v>
      </c>
      <c r="I132" s="150" t="s">
        <v>43</v>
      </c>
    </row>
    <row r="133" spans="1:9" s="80" customFormat="1" ht="17.100000000000001" customHeight="1">
      <c r="A133" s="77" t="s">
        <v>777</v>
      </c>
      <c r="B133" s="80" t="s">
        <v>865</v>
      </c>
      <c r="C133" s="80" t="s">
        <v>865</v>
      </c>
      <c r="D133" s="80" t="s">
        <v>865</v>
      </c>
      <c r="E133" s="80" t="s">
        <v>865</v>
      </c>
      <c r="F133" s="80" t="s">
        <v>865</v>
      </c>
      <c r="G133" s="80" t="s">
        <v>865</v>
      </c>
      <c r="H133" s="80" t="s">
        <v>865</v>
      </c>
      <c r="I133" s="80" t="s">
        <v>865</v>
      </c>
    </row>
    <row r="134" spans="1:9" s="80" customFormat="1" ht="17.100000000000001" customHeight="1">
      <c r="A134" s="77" t="s">
        <v>778</v>
      </c>
      <c r="B134" s="80">
        <v>29</v>
      </c>
      <c r="C134" s="80">
        <v>29</v>
      </c>
      <c r="D134" s="80">
        <v>29</v>
      </c>
      <c r="E134" s="80">
        <v>29</v>
      </c>
      <c r="F134" s="80">
        <v>29</v>
      </c>
      <c r="G134" s="80">
        <v>29</v>
      </c>
      <c r="H134" s="80">
        <v>29</v>
      </c>
      <c r="I134" s="80">
        <v>29</v>
      </c>
    </row>
    <row r="135" spans="1:9" s="80" customFormat="1" ht="17.100000000000001" customHeight="1">
      <c r="A135" s="77" t="s">
        <v>779</v>
      </c>
      <c r="B135" s="80">
        <v>12</v>
      </c>
      <c r="C135" s="80">
        <v>12</v>
      </c>
      <c r="D135" s="80">
        <v>12</v>
      </c>
      <c r="E135" s="80">
        <v>12</v>
      </c>
      <c r="F135" s="80">
        <v>12</v>
      </c>
      <c r="G135" s="80">
        <v>12</v>
      </c>
      <c r="H135" s="80">
        <v>12</v>
      </c>
      <c r="I135" s="80">
        <v>12</v>
      </c>
    </row>
    <row r="136" spans="1:9" s="80" customFormat="1" ht="17.100000000000001" customHeight="1">
      <c r="A136" s="77" t="s">
        <v>780</v>
      </c>
      <c r="B136" s="80">
        <v>3</v>
      </c>
      <c r="C136" s="80">
        <v>3</v>
      </c>
      <c r="D136" s="80">
        <v>3</v>
      </c>
      <c r="E136" s="80">
        <v>3</v>
      </c>
      <c r="F136" s="80">
        <v>3</v>
      </c>
      <c r="G136" s="80">
        <v>3</v>
      </c>
      <c r="H136" s="80">
        <v>3</v>
      </c>
      <c r="I136" s="80">
        <v>3</v>
      </c>
    </row>
    <row r="137" spans="1:9" s="80" customFormat="1" ht="17.100000000000001" customHeight="1">
      <c r="A137" s="77" t="s">
        <v>237</v>
      </c>
      <c r="B137" s="80">
        <v>116</v>
      </c>
      <c r="C137" s="80">
        <v>116</v>
      </c>
      <c r="D137" s="80">
        <v>116</v>
      </c>
      <c r="E137" s="80">
        <v>116</v>
      </c>
      <c r="F137" s="80">
        <v>116</v>
      </c>
      <c r="G137" s="80">
        <v>116</v>
      </c>
      <c r="H137" s="80">
        <v>116</v>
      </c>
      <c r="I137" s="80">
        <v>116</v>
      </c>
    </row>
    <row r="138" spans="1:9" s="80" customFormat="1" ht="15.75" hidden="1" customHeight="1">
      <c r="A138" s="77"/>
    </row>
    <row r="139" spans="1:9" s="80" customFormat="1" ht="15.75" hidden="1" customHeight="1">
      <c r="A139" s="77"/>
    </row>
    <row r="140" spans="1:9" s="80" customFormat="1" ht="15.75" hidden="1" customHeight="1">
      <c r="A140" s="77"/>
    </row>
    <row r="141" spans="1:9" s="80" customFormat="1" ht="15.75" hidden="1" customHeight="1">
      <c r="A141" s="77"/>
    </row>
    <row r="142" spans="1:9" s="80" customFormat="1" ht="15.75" hidden="1" customHeight="1">
      <c r="A142" s="77"/>
    </row>
    <row r="143" spans="1:9" s="80" customFormat="1" ht="15.75" hidden="1" customHeight="1">
      <c r="A143" s="77"/>
    </row>
    <row r="144" spans="1:9" s="80" customFormat="1" ht="15.75" hidden="1" customHeight="1">
      <c r="A144" s="77"/>
    </row>
    <row r="145" spans="1:13" s="80" customFormat="1" ht="15.75" hidden="1" customHeight="1">
      <c r="A145" s="77"/>
    </row>
    <row r="146" spans="1:13" s="80" customFormat="1" ht="15.75" hidden="1" customHeight="1">
      <c r="A146" s="77"/>
    </row>
    <row r="147" spans="1:13" s="80" customFormat="1" ht="15.75" hidden="1" customHeight="1">
      <c r="A147" s="77"/>
    </row>
    <row r="148" spans="1:13" s="80" customFormat="1" ht="17.100000000000001" customHeight="1">
      <c r="A148" s="151" t="s">
        <v>794</v>
      </c>
    </row>
    <row r="149" spans="1:13" s="80" customFormat="1" ht="17.100000000000001" customHeight="1">
      <c r="A149" s="77" t="s">
        <v>187</v>
      </c>
      <c r="B149" s="82">
        <v>-6.8000000000000001E-6</v>
      </c>
      <c r="C149" s="80">
        <v>-7.9000000000000006E-6</v>
      </c>
      <c r="D149" s="80">
        <v>-5.0000000000000004E-6</v>
      </c>
      <c r="E149" s="82">
        <v>-9.7999999999999993E-6</v>
      </c>
      <c r="F149" s="82">
        <v>-7.7999999999999999E-6</v>
      </c>
      <c r="G149" s="82">
        <v>-6.8000000000000001E-6</v>
      </c>
      <c r="H149" s="82">
        <v>-9.5000000000000005E-6</v>
      </c>
      <c r="I149" s="82">
        <v>-4.1500000000000001E-6</v>
      </c>
    </row>
    <row r="150" spans="1:13" s="80" customFormat="1" ht="17.100000000000001" customHeight="1">
      <c r="A150" s="77" t="s">
        <v>188</v>
      </c>
      <c r="B150" s="80">
        <v>1.6000000000000001E-3</v>
      </c>
      <c r="C150" s="80">
        <v>1.8E-3</v>
      </c>
      <c r="D150" s="80">
        <v>1.1999999999999999E-3</v>
      </c>
      <c r="E150" s="80">
        <v>2.0999999999999999E-3</v>
      </c>
      <c r="F150" s="80">
        <v>1.8E-3</v>
      </c>
      <c r="G150" s="80">
        <v>1.6000000000000001E-3</v>
      </c>
      <c r="H150" s="80">
        <v>2E-3</v>
      </c>
      <c r="I150" s="82">
        <v>1.1000000000000001E-3</v>
      </c>
      <c r="M150" s="82"/>
    </row>
    <row r="151" spans="1:13" s="80" customFormat="1" ht="17.100000000000001" customHeight="1">
      <c r="A151" s="77" t="s">
        <v>189</v>
      </c>
      <c r="B151" s="80">
        <v>-0.13850000000000001</v>
      </c>
      <c r="C151" s="80">
        <v>-0.14430000000000001</v>
      </c>
      <c r="D151" s="80">
        <v>-0.1147</v>
      </c>
      <c r="E151" s="80">
        <v>-0.16020000000000001</v>
      </c>
      <c r="F151" s="80">
        <v>-0.152</v>
      </c>
      <c r="G151" s="80">
        <v>-0.14699999999999999</v>
      </c>
      <c r="H151" s="80">
        <v>-0.15959999999999999</v>
      </c>
      <c r="I151" s="80">
        <v>-0.1041</v>
      </c>
      <c r="K151" s="82"/>
    </row>
    <row r="152" spans="1:13" s="80" customFormat="1" ht="17.100000000000001" customHeight="1">
      <c r="A152" s="77" t="s">
        <v>190</v>
      </c>
      <c r="B152" s="80">
        <v>5.0738000000000003</v>
      </c>
      <c r="C152" s="80">
        <v>4.9687999999999999</v>
      </c>
      <c r="D152" s="80">
        <v>4.8906000000000001</v>
      </c>
      <c r="E152" s="80">
        <v>5.0982000000000003</v>
      </c>
      <c r="F152" s="80">
        <v>5.5331999999999999</v>
      </c>
      <c r="G152" s="80">
        <v>5.8865999999999996</v>
      </c>
      <c r="H152" s="80">
        <v>5.6323999999999996</v>
      </c>
      <c r="I152" s="80">
        <v>4.0643000000000002</v>
      </c>
    </row>
    <row r="153" spans="1:13" s="80" customFormat="1" ht="17.100000000000001" customHeight="1">
      <c r="A153" s="77" t="s">
        <v>197</v>
      </c>
      <c r="B153" s="80">
        <v>6.1105</v>
      </c>
      <c r="C153" s="80">
        <v>3</v>
      </c>
      <c r="D153" s="80">
        <v>3.6242000000000001</v>
      </c>
      <c r="E153" s="80">
        <v>3</v>
      </c>
      <c r="F153" s="80">
        <v>3</v>
      </c>
      <c r="G153" s="80">
        <v>3</v>
      </c>
      <c r="H153" s="80">
        <v>3</v>
      </c>
      <c r="I153" s="80">
        <v>4.694</v>
      </c>
      <c r="L153" s="82"/>
    </row>
    <row r="154" spans="1:13" s="80" customFormat="1" ht="17.100000000000001" customHeight="1">
      <c r="A154" s="77" t="s">
        <v>183</v>
      </c>
      <c r="B154" s="80">
        <v>-3.8600000000000003E-5</v>
      </c>
      <c r="C154" s="80">
        <v>-3.8600000000000003E-5</v>
      </c>
      <c r="D154" s="80">
        <v>-3.8600000000000003E-5</v>
      </c>
      <c r="E154" s="82">
        <v>-2.5999999999999998E-5</v>
      </c>
      <c r="F154" s="82">
        <v>-2.5000000000000001E-5</v>
      </c>
      <c r="G154" s="82">
        <v>-2.6800000000000001E-5</v>
      </c>
      <c r="H154" s="82">
        <v>-2.5000000000000001E-5</v>
      </c>
      <c r="I154" s="82">
        <v>-2.5400000000000001E-5</v>
      </c>
    </row>
    <row r="155" spans="1:13" s="80" customFormat="1" ht="17.100000000000001" customHeight="1">
      <c r="A155" s="77" t="s">
        <v>184</v>
      </c>
      <c r="B155" s="80">
        <v>7.0000000000000001E-3</v>
      </c>
      <c r="C155" s="80">
        <v>7.0000000000000001E-3</v>
      </c>
      <c r="D155" s="80">
        <v>7.0000000000000001E-3</v>
      </c>
      <c r="E155" s="80">
        <v>5.0000000000000001E-3</v>
      </c>
      <c r="F155" s="80">
        <v>5.0000000000000001E-3</v>
      </c>
      <c r="G155" s="80">
        <v>5.1000000000000004E-3</v>
      </c>
      <c r="H155" s="80">
        <v>4.8999999999999998E-3</v>
      </c>
      <c r="I155" s="80">
        <v>5.2500000000000003E-3</v>
      </c>
    </row>
    <row r="156" spans="1:13" s="80" customFormat="1" ht="17.100000000000001" customHeight="1">
      <c r="A156" s="77" t="s">
        <v>185</v>
      </c>
      <c r="B156" s="80">
        <v>-0.44469999999999998</v>
      </c>
      <c r="C156" s="80">
        <v>-0.44469999999999998</v>
      </c>
      <c r="D156" s="80">
        <v>-0.44469999999999998</v>
      </c>
      <c r="E156" s="80">
        <v>-0.33929999999999999</v>
      </c>
      <c r="F156" s="80">
        <v>-0.34739999999999999</v>
      </c>
      <c r="G156" s="80">
        <v>-0.34250000000000003</v>
      </c>
      <c r="H156" s="80">
        <v>-0.33350000000000002</v>
      </c>
      <c r="I156" s="80">
        <v>-0.37740000000000001</v>
      </c>
    </row>
    <row r="157" spans="1:13" s="80" customFormat="1" ht="17.100000000000001" customHeight="1">
      <c r="A157" s="77" t="s">
        <v>186</v>
      </c>
      <c r="B157" s="80">
        <v>11.438000000000001</v>
      </c>
      <c r="C157" s="80">
        <v>11.438000000000001</v>
      </c>
      <c r="D157" s="80">
        <v>11.438000000000001</v>
      </c>
      <c r="E157" s="80">
        <v>9.2959999999999994</v>
      </c>
      <c r="F157" s="80">
        <v>9.6523000000000003</v>
      </c>
      <c r="G157" s="80">
        <v>9.4079999999999995</v>
      </c>
      <c r="H157" s="80">
        <v>9.0719999999999992</v>
      </c>
      <c r="I157" s="80">
        <v>10.93</v>
      </c>
    </row>
    <row r="158" spans="1:13" s="80" customFormat="1" ht="17.100000000000001" customHeight="1">
      <c r="A158" s="77" t="s">
        <v>191</v>
      </c>
      <c r="B158" s="80">
        <v>66.825000000000003</v>
      </c>
      <c r="C158" s="80">
        <v>66.825000000000003</v>
      </c>
      <c r="D158" s="80">
        <v>66.825000000000003</v>
      </c>
      <c r="E158" s="80">
        <v>76.361000000000004</v>
      </c>
      <c r="F158" s="80">
        <v>74.875</v>
      </c>
      <c r="G158" s="80">
        <v>77.599999999999994</v>
      </c>
      <c r="H158" s="80">
        <v>77.114999999999995</v>
      </c>
      <c r="I158" s="80">
        <v>57.613999999999997</v>
      </c>
    </row>
    <row r="159" spans="1:13" s="80" customFormat="1" ht="17.100000000000001" customHeight="1">
      <c r="A159" s="77" t="s">
        <v>253</v>
      </c>
      <c r="B159" s="80">
        <v>1.294</v>
      </c>
      <c r="C159" s="80">
        <v>1.294</v>
      </c>
      <c r="D159" s="80">
        <v>0.73760000000000003</v>
      </c>
      <c r="E159" s="80">
        <v>0.80149999999999999</v>
      </c>
      <c r="F159" s="80">
        <v>0.74450000000000005</v>
      </c>
      <c r="G159" s="80">
        <v>0.76849999999999996</v>
      </c>
      <c r="H159" s="80">
        <v>0.68149999999999999</v>
      </c>
      <c r="I159" s="80">
        <v>1.2</v>
      </c>
    </row>
    <row r="160" spans="1:13" s="80" customFormat="1" ht="17.100000000000001" customHeight="1">
      <c r="A160" s="77" t="s">
        <v>254</v>
      </c>
      <c r="B160" s="80">
        <v>0.2</v>
      </c>
      <c r="C160" s="80">
        <v>0.2</v>
      </c>
      <c r="D160" s="80">
        <v>2.0899999999999998E-2</v>
      </c>
      <c r="E160" s="80">
        <v>-2.3599999999999999E-2</v>
      </c>
      <c r="F160" s="80">
        <v>3.8699999999999998E-2</v>
      </c>
      <c r="G160" s="80">
        <v>1.5599999999999999E-2</v>
      </c>
      <c r="H160" s="80">
        <v>-7.4899999999999994E-2</v>
      </c>
      <c r="I160" s="80">
        <v>0.23</v>
      </c>
    </row>
    <row r="161" spans="1:9" s="80" customFormat="1" ht="17.100000000000001" customHeight="1">
      <c r="A161" s="77" t="s">
        <v>255</v>
      </c>
      <c r="B161" s="80">
        <v>-11.4</v>
      </c>
      <c r="C161" s="80">
        <v>-11.4</v>
      </c>
      <c r="D161" s="80">
        <v>-9.9756</v>
      </c>
      <c r="E161" s="80">
        <v>-9.5976999999999997</v>
      </c>
      <c r="F161" s="80">
        <v>-10.001899999999999</v>
      </c>
      <c r="G161" s="80">
        <v>-10.238899999999999</v>
      </c>
      <c r="H161" s="80">
        <v>-9.5168999999999997</v>
      </c>
      <c r="I161" s="80">
        <v>-10.8</v>
      </c>
    </row>
    <row r="162" spans="1:9" s="80" customFormat="1" ht="17.100000000000001" customHeight="1">
      <c r="A162" s="77" t="s">
        <v>256</v>
      </c>
      <c r="B162" s="80">
        <v>-8</v>
      </c>
      <c r="C162" s="80">
        <v>-8</v>
      </c>
      <c r="D162" s="80">
        <v>17.110299999999999</v>
      </c>
      <c r="E162" s="80">
        <v>17.4663</v>
      </c>
      <c r="F162" s="80">
        <v>16.55</v>
      </c>
      <c r="G162" s="80">
        <v>14.715299999999999</v>
      </c>
      <c r="H162" s="80">
        <v>21.782800000000002</v>
      </c>
      <c r="I162" s="80">
        <v>-5.4</v>
      </c>
    </row>
    <row r="163" spans="1:9" ht="15.75" customHeight="1"/>
    <row r="164" spans="1:9" ht="15.75" customHeight="1"/>
    <row r="165" spans="1:9" ht="15.75" customHeight="1"/>
    <row r="166" spans="1:9" ht="15.75" customHeight="1"/>
    <row r="167" spans="1:9" ht="15.75" customHeight="1"/>
    <row r="168" spans="1:9" ht="15.75" customHeight="1"/>
    <row r="169" spans="1:9" ht="15.75" customHeight="1"/>
    <row r="170" spans="1:9" ht="15.75" customHeight="1"/>
    <row r="171" spans="1:9" ht="15.75" customHeight="1"/>
    <row r="172" spans="1:9" ht="15.75" customHeight="1"/>
    <row r="173" spans="1:9" ht="15.75" customHeight="1"/>
    <row r="174" spans="1:9" ht="15.75" customHeight="1"/>
    <row r="175" spans="1:9" ht="15.75" customHeight="1"/>
    <row r="176" spans="1:9"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sheetData>
  <sheetProtection algorithmName="SHA-512" hashValue="dwhL++Mvfo79QAx9nrSJXYPMGdrS3lppAHfjTzqtL1Cz44hIk3i+BEASG8jfw7QNvvJvFxfajU65iZx1kZoDlQ==" saltValue="GbzQD+K4vzzQbDUeOyix3w==" spinCount="100000" sheet="1" objects="1" scenarios="1"/>
  <phoneticPr fontId="2" type="noConversion"/>
  <pageMargins left="0.7" right="0.7" top="0.75" bottom="0.75"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7" tint="-0.249977111117893"/>
  </sheetPr>
  <dimension ref="A1:AO69"/>
  <sheetViews>
    <sheetView topLeftCell="F1" workbookViewId="0">
      <selection activeCell="M30" sqref="M30"/>
    </sheetView>
  </sheetViews>
  <sheetFormatPr defaultColWidth="0" defaultRowHeight="14.25"/>
  <cols>
    <col min="1" max="1" width="4.265625" customWidth="1"/>
    <col min="2" max="2" width="2.86328125" customWidth="1"/>
    <col min="3" max="3" width="9.86328125" hidden="1" customWidth="1"/>
    <col min="4" max="4" width="38.1328125" bestFit="1" customWidth="1"/>
    <col min="5" max="14" width="9.86328125" customWidth="1"/>
    <col min="15" max="15" width="3.86328125" customWidth="1"/>
    <col min="16" max="16" width="9.86328125" style="156" hidden="1" customWidth="1"/>
    <col min="17" max="17" width="19.73046875" customWidth="1"/>
    <col min="18" max="18" width="47.3984375" bestFit="1" customWidth="1"/>
    <col min="19" max="28" width="10.3984375" customWidth="1"/>
    <col min="29" max="29" width="8.3984375" customWidth="1"/>
    <col min="30" max="16384" width="8.3984375" hidden="1"/>
  </cols>
  <sheetData>
    <row r="1" spans="1:41" s="325" customFormat="1" ht="50.1" customHeight="1">
      <c r="A1" s="63"/>
      <c r="B1" s="63" t="s">
        <v>855</v>
      </c>
      <c r="C1" s="87"/>
      <c r="D1" s="87"/>
      <c r="E1" s="87"/>
      <c r="F1" s="87"/>
      <c r="G1" s="87"/>
      <c r="H1" s="87"/>
      <c r="I1" s="87"/>
      <c r="J1" s="87"/>
      <c r="K1" s="87"/>
      <c r="L1" s="87"/>
      <c r="M1" s="87"/>
      <c r="N1" s="87"/>
      <c r="O1" s="324"/>
      <c r="P1" s="87"/>
      <c r="Q1" s="87"/>
      <c r="R1" s="87"/>
      <c r="S1" s="87"/>
      <c r="T1" s="87"/>
      <c r="U1" s="87"/>
      <c r="V1" s="87"/>
      <c r="W1" s="87"/>
      <c r="X1" s="87"/>
      <c r="Y1" s="87"/>
      <c r="Z1" s="87"/>
      <c r="AA1" s="87"/>
      <c r="AB1" s="87"/>
      <c r="AC1" s="87"/>
      <c r="AO1" s="325" t="s">
        <v>14</v>
      </c>
    </row>
    <row r="2" spans="1:41" s="19" customFormat="1" ht="14.45" hidden="1" customHeight="1">
      <c r="A2" s="23"/>
      <c r="B2" s="23"/>
      <c r="C2" s="23"/>
      <c r="D2" s="23"/>
      <c r="E2" s="23"/>
      <c r="F2" s="23"/>
      <c r="G2" s="23"/>
      <c r="H2" s="23"/>
      <c r="I2" s="23"/>
      <c r="J2" s="23"/>
      <c r="K2" s="23"/>
      <c r="L2" s="23"/>
      <c r="M2" s="23"/>
      <c r="N2" s="23"/>
      <c r="O2" s="23"/>
      <c r="P2" s="21"/>
      <c r="Q2" s="87"/>
      <c r="R2" s="87"/>
      <c r="S2" s="87"/>
      <c r="T2" s="87"/>
      <c r="U2" s="87"/>
      <c r="V2" s="87"/>
      <c r="W2" s="87"/>
      <c r="X2" s="87"/>
      <c r="Y2" s="87"/>
      <c r="Z2" s="87"/>
      <c r="AA2" s="87"/>
      <c r="AB2" s="87"/>
      <c r="AC2" s="87"/>
      <c r="AO2" s="19">
        <f>COUNTA(S14:AA14)</f>
        <v>7</v>
      </c>
    </row>
    <row r="3" spans="1:41" s="325" customFormat="1" ht="14.45" hidden="1" customHeight="1">
      <c r="A3" s="23"/>
      <c r="B3" s="23"/>
      <c r="C3" s="23"/>
      <c r="D3" s="23"/>
      <c r="E3" s="23"/>
      <c r="F3" s="23"/>
      <c r="G3" s="23"/>
      <c r="H3" s="23"/>
      <c r="I3" s="23"/>
      <c r="J3" s="23"/>
      <c r="K3" s="23"/>
      <c r="L3" s="23"/>
      <c r="M3" s="23"/>
      <c r="N3" s="23"/>
      <c r="O3" s="23"/>
      <c r="P3" s="87"/>
      <c r="Q3" s="87"/>
      <c r="R3" s="87"/>
      <c r="S3" s="87"/>
      <c r="T3" s="87"/>
      <c r="U3" s="87"/>
      <c r="V3" s="87"/>
      <c r="W3" s="87"/>
      <c r="X3" s="87"/>
      <c r="Y3" s="87"/>
      <c r="Z3" s="87"/>
      <c r="AA3" s="87"/>
      <c r="AB3" s="87"/>
      <c r="AC3" s="87"/>
    </row>
    <row r="4" spans="1:41" s="325" customFormat="1" ht="17.100000000000001" hidden="1" customHeight="1">
      <c r="A4" s="23"/>
      <c r="B4" s="23"/>
      <c r="C4" s="23"/>
      <c r="D4" s="23"/>
      <c r="E4" s="23"/>
      <c r="F4" s="23"/>
      <c r="G4" s="23"/>
      <c r="H4" s="23"/>
      <c r="I4" s="23"/>
      <c r="J4" s="23"/>
      <c r="K4" s="23"/>
      <c r="L4" s="23"/>
      <c r="M4" s="23"/>
      <c r="N4" s="23"/>
      <c r="O4" s="23"/>
      <c r="P4" s="91"/>
      <c r="Q4" s="91"/>
      <c r="R4" s="91"/>
      <c r="S4" s="91"/>
      <c r="T4" s="91"/>
      <c r="U4" s="91"/>
      <c r="V4" s="91"/>
      <c r="W4" s="87"/>
      <c r="X4" s="87"/>
      <c r="Y4" s="87"/>
      <c r="Z4" s="87"/>
      <c r="AA4" s="87"/>
      <c r="AB4" s="87"/>
      <c r="AC4" s="87"/>
    </row>
    <row r="5" spans="1:41" s="325" customFormat="1" ht="17.100000000000001" hidden="1" customHeight="1">
      <c r="A5" s="23"/>
      <c r="B5" s="23"/>
      <c r="C5" s="23"/>
      <c r="D5" s="23"/>
      <c r="E5" s="23"/>
      <c r="F5" s="23"/>
      <c r="G5" s="23"/>
      <c r="H5" s="23"/>
      <c r="I5" s="23"/>
      <c r="J5" s="23"/>
      <c r="K5" s="23"/>
      <c r="L5" s="23"/>
      <c r="M5" s="23"/>
      <c r="N5" s="23"/>
      <c r="O5" s="23"/>
      <c r="P5" s="49"/>
      <c r="Q5" s="49"/>
      <c r="R5" s="49"/>
      <c r="S5" s="49"/>
      <c r="T5" s="49"/>
      <c r="U5" s="49"/>
      <c r="V5" s="91"/>
      <c r="W5" s="87"/>
      <c r="X5" s="87"/>
      <c r="Y5" s="87"/>
      <c r="Z5" s="87"/>
      <c r="AA5" s="87"/>
      <c r="AB5" s="87"/>
      <c r="AC5" s="87"/>
    </row>
    <row r="6" spans="1:41" s="325" customFormat="1" ht="17.100000000000001" customHeight="1">
      <c r="A6" s="23"/>
      <c r="B6" s="23"/>
      <c r="C6" s="23"/>
      <c r="D6" s="23"/>
      <c r="E6" s="23"/>
      <c r="F6" s="23"/>
      <c r="G6" s="23"/>
      <c r="H6" s="23"/>
      <c r="I6" s="23"/>
      <c r="J6" s="23"/>
      <c r="K6" s="23"/>
      <c r="L6" s="23"/>
      <c r="M6" s="23"/>
      <c r="N6" s="23"/>
      <c r="O6" s="23"/>
      <c r="P6" s="49"/>
      <c r="Q6" s="114" t="s">
        <v>825</v>
      </c>
      <c r="R6" s="99" t="str">
        <f>Start!AM22</f>
        <v>Soft porous carpet</v>
      </c>
      <c r="S6" s="46">
        <v>2</v>
      </c>
      <c r="T6" s="49" t="s">
        <v>826</v>
      </c>
      <c r="U6" s="49"/>
      <c r="V6" s="91"/>
      <c r="W6" s="87"/>
      <c r="X6" s="87"/>
      <c r="Y6" s="87"/>
      <c r="Z6" s="87"/>
      <c r="AA6" s="87"/>
      <c r="AB6" s="87"/>
      <c r="AC6" s="87"/>
    </row>
    <row r="7" spans="1:41" s="325" customFormat="1" ht="17.100000000000001" customHeight="1">
      <c r="A7" s="23"/>
      <c r="B7" s="23"/>
      <c r="C7" s="23"/>
      <c r="D7" s="23"/>
      <c r="E7" s="23"/>
      <c r="F7" s="23"/>
      <c r="G7" s="23"/>
      <c r="H7" s="23"/>
      <c r="I7" s="23"/>
      <c r="J7" s="23"/>
      <c r="K7" s="23"/>
      <c r="L7" s="23"/>
      <c r="M7" s="23"/>
      <c r="N7" s="23"/>
      <c r="O7" s="23"/>
      <c r="P7" s="49"/>
      <c r="Q7" s="49"/>
      <c r="R7" s="99" t="str">
        <f>Start!AM23</f>
        <v>Rigid impermeable floor</v>
      </c>
      <c r="S7" s="46">
        <v>2</v>
      </c>
      <c r="T7" s="49" t="s">
        <v>826</v>
      </c>
      <c r="U7" s="49"/>
      <c r="V7" s="91"/>
      <c r="W7" s="87"/>
      <c r="X7" s="87"/>
      <c r="Y7" s="87"/>
      <c r="Z7" s="87"/>
      <c r="AA7" s="87"/>
      <c r="AB7" s="87"/>
      <c r="AC7" s="87"/>
    </row>
    <row r="8" spans="1:41" s="325" customFormat="1" ht="17.100000000000001" customHeight="1">
      <c r="A8" s="23"/>
      <c r="B8" s="23"/>
      <c r="C8" s="23"/>
      <c r="D8" s="23"/>
      <c r="E8" s="23"/>
      <c r="F8" s="23"/>
      <c r="G8" s="23"/>
      <c r="H8" s="23"/>
      <c r="I8" s="23"/>
      <c r="J8" s="23"/>
      <c r="K8" s="23"/>
      <c r="L8" s="23"/>
      <c r="M8" s="23"/>
      <c r="N8" s="23"/>
      <c r="O8" s="23"/>
      <c r="P8" s="49"/>
      <c r="Q8" s="49"/>
      <c r="R8" s="99" t="str">
        <f>Start!AM24</f>
        <v>Hard contact surfaces</v>
      </c>
      <c r="S8" s="46">
        <v>10</v>
      </c>
      <c r="T8" s="49" t="s">
        <v>826</v>
      </c>
      <c r="U8" s="49"/>
      <c r="V8" s="91"/>
      <c r="W8" s="87"/>
      <c r="X8" s="87"/>
      <c r="Y8" s="87"/>
      <c r="Z8" s="87"/>
      <c r="AA8" s="87"/>
      <c r="AB8" s="87"/>
      <c r="AC8" s="87"/>
    </row>
    <row r="9" spans="1:41" s="325" customFormat="1" ht="17.100000000000001" customHeight="1">
      <c r="A9" s="23"/>
      <c r="B9" s="23"/>
      <c r="C9" s="23"/>
      <c r="D9" s="23"/>
      <c r="E9" s="23"/>
      <c r="F9" s="23"/>
      <c r="G9" s="23"/>
      <c r="H9" s="23"/>
      <c r="I9" s="23"/>
      <c r="J9" s="23"/>
      <c r="K9" s="23"/>
      <c r="L9" s="23"/>
      <c r="M9" s="23"/>
      <c r="N9" s="23"/>
      <c r="O9" s="23"/>
      <c r="P9" s="49"/>
      <c r="Q9" s="49"/>
      <c r="R9" s="99" t="str">
        <f>Start!AM25</f>
        <v>Walls and ceiling</v>
      </c>
      <c r="S9" s="46">
        <v>0</v>
      </c>
      <c r="T9" s="49" t="s">
        <v>826</v>
      </c>
      <c r="U9" s="49"/>
      <c r="V9" s="91"/>
      <c r="W9" s="87"/>
      <c r="X9" s="87"/>
      <c r="Y9" s="87"/>
      <c r="Z9" s="87"/>
      <c r="AA9" s="87"/>
      <c r="AB9" s="87"/>
      <c r="AC9" s="87"/>
    </row>
    <row r="10" spans="1:41" s="325" customFormat="1" ht="17.100000000000001" customHeight="1">
      <c r="A10" s="23"/>
      <c r="B10" s="23"/>
      <c r="C10" s="23"/>
      <c r="D10" s="87"/>
      <c r="E10" s="87"/>
      <c r="F10" s="87"/>
      <c r="G10" s="87"/>
      <c r="H10" s="87"/>
      <c r="I10" s="87"/>
      <c r="J10" s="87"/>
      <c r="K10" s="87"/>
      <c r="L10" s="87"/>
      <c r="M10" s="87"/>
      <c r="N10" s="87"/>
      <c r="O10" s="87"/>
      <c r="P10" s="49"/>
      <c r="Q10" s="114" t="s">
        <v>827</v>
      </c>
      <c r="R10" s="99" t="s">
        <v>795</v>
      </c>
      <c r="S10" s="145">
        <f>12/1000000/153/3</f>
        <v>2.6143790849673203E-8</v>
      </c>
      <c r="T10" s="181" t="s">
        <v>782</v>
      </c>
      <c r="U10" s="49"/>
      <c r="V10" s="91"/>
      <c r="W10" s="87"/>
      <c r="X10" s="87"/>
      <c r="Y10" s="87"/>
      <c r="Z10" s="87"/>
      <c r="AA10" s="87"/>
      <c r="AB10" s="87"/>
      <c r="AC10" s="87"/>
    </row>
    <row r="11" spans="1:41" s="325" customFormat="1" ht="17.100000000000001" customHeight="1" thickBot="1">
      <c r="A11" s="23"/>
      <c r="B11" s="23"/>
      <c r="C11" s="23"/>
      <c r="D11" s="23"/>
      <c r="E11" s="23"/>
      <c r="F11" s="23"/>
      <c r="G11" s="23"/>
      <c r="H11" s="23"/>
      <c r="I11" s="23"/>
      <c r="J11" s="23"/>
      <c r="K11" s="23"/>
      <c r="L11" s="23"/>
      <c r="M11" s="23"/>
      <c r="N11" s="23"/>
      <c r="O11" s="23"/>
      <c r="P11" s="87"/>
      <c r="Q11" s="87"/>
      <c r="R11" s="87"/>
      <c r="S11" s="87"/>
      <c r="T11" s="87"/>
      <c r="U11" s="87"/>
      <c r="V11" s="87"/>
      <c r="W11" s="87"/>
      <c r="X11" s="87"/>
      <c r="Y11" s="87"/>
      <c r="Z11" s="87"/>
      <c r="AA11" s="87"/>
      <c r="AB11" s="87"/>
      <c r="AC11" s="87"/>
    </row>
    <row r="12" spans="1:41" s="325" customFormat="1" ht="17.100000000000001" customHeight="1">
      <c r="A12" s="23"/>
      <c r="B12" s="23"/>
      <c r="C12" s="23"/>
      <c r="D12" s="326" t="s">
        <v>853</v>
      </c>
      <c r="E12" s="327"/>
      <c r="F12" s="327"/>
      <c r="G12" s="327"/>
      <c r="H12" s="327"/>
      <c r="I12" s="327"/>
      <c r="J12" s="327"/>
      <c r="K12" s="327"/>
      <c r="L12" s="327"/>
      <c r="M12" s="327"/>
      <c r="N12" s="328"/>
      <c r="O12" s="23"/>
      <c r="P12" s="87"/>
      <c r="Q12" s="87"/>
      <c r="R12" s="326" t="s">
        <v>854</v>
      </c>
      <c r="S12" s="327"/>
      <c r="T12" s="327"/>
      <c r="U12" s="327"/>
      <c r="V12" s="327"/>
      <c r="W12" s="327"/>
      <c r="X12" s="327"/>
      <c r="Y12" s="327"/>
      <c r="Z12" s="327"/>
      <c r="AA12" s="327"/>
      <c r="AB12" s="328"/>
      <c r="AC12" s="87"/>
    </row>
    <row r="13" spans="1:41" s="325" customFormat="1" ht="17.100000000000001" customHeight="1">
      <c r="A13" s="23"/>
      <c r="B13" s="23"/>
      <c r="C13" s="23"/>
      <c r="D13" s="329" t="s">
        <v>45</v>
      </c>
      <c r="E13" s="330">
        <v>1</v>
      </c>
      <c r="F13" s="330">
        <v>2</v>
      </c>
      <c r="G13" s="330">
        <v>3</v>
      </c>
      <c r="H13" s="330">
        <v>4</v>
      </c>
      <c r="I13" s="330">
        <v>5</v>
      </c>
      <c r="J13" s="330">
        <v>6</v>
      </c>
      <c r="K13" s="330">
        <v>7</v>
      </c>
      <c r="L13" s="330">
        <v>8</v>
      </c>
      <c r="M13" s="330">
        <v>9</v>
      </c>
      <c r="N13" s="331">
        <v>10</v>
      </c>
      <c r="O13" s="23"/>
      <c r="P13" s="87"/>
      <c r="Q13" s="324"/>
      <c r="R13" s="329" t="s">
        <v>45</v>
      </c>
      <c r="S13" s="330">
        <v>1</v>
      </c>
      <c r="T13" s="330">
        <v>2</v>
      </c>
      <c r="U13" s="330">
        <v>3</v>
      </c>
      <c r="V13" s="330">
        <v>4</v>
      </c>
      <c r="W13" s="330">
        <v>5</v>
      </c>
      <c r="X13" s="330">
        <v>6</v>
      </c>
      <c r="Y13" s="330">
        <v>7</v>
      </c>
      <c r="Z13" s="330">
        <v>8</v>
      </c>
      <c r="AA13" s="330">
        <v>9</v>
      </c>
      <c r="AB13" s="331">
        <v>10</v>
      </c>
      <c r="AC13" s="332"/>
    </row>
    <row r="14" spans="1:41" s="325" customFormat="1" ht="17.100000000000001" customHeight="1">
      <c r="A14" s="23"/>
      <c r="B14" s="23"/>
      <c r="C14" s="23"/>
      <c r="D14" s="99" t="s">
        <v>11</v>
      </c>
      <c r="E14" s="145" t="s">
        <v>132</v>
      </c>
      <c r="F14" s="145" t="s">
        <v>133</v>
      </c>
      <c r="G14" s="145" t="s">
        <v>134</v>
      </c>
      <c r="H14" s="145" t="s">
        <v>12</v>
      </c>
      <c r="I14" s="145" t="s">
        <v>13</v>
      </c>
      <c r="J14" s="145" t="s">
        <v>224</v>
      </c>
      <c r="K14" s="145" t="s">
        <v>225</v>
      </c>
      <c r="L14" s="145"/>
      <c r="M14" s="145"/>
      <c r="N14" s="145"/>
      <c r="O14" s="23"/>
      <c r="P14" s="87"/>
      <c r="Q14" s="324"/>
      <c r="R14" s="99" t="s">
        <v>11</v>
      </c>
      <c r="S14" s="145" t="s">
        <v>132</v>
      </c>
      <c r="T14" s="145" t="s">
        <v>133</v>
      </c>
      <c r="U14" s="145" t="s">
        <v>134</v>
      </c>
      <c r="V14" s="145" t="s">
        <v>12</v>
      </c>
      <c r="W14" s="145" t="s">
        <v>13</v>
      </c>
      <c r="X14" s="145" t="s">
        <v>224</v>
      </c>
      <c r="Y14" s="145" t="s">
        <v>225</v>
      </c>
      <c r="Z14" s="145"/>
      <c r="AA14" s="145"/>
      <c r="AB14" s="145"/>
      <c r="AC14" s="332"/>
    </row>
    <row r="15" spans="1:41" s="17" customFormat="1" ht="17.100000000000001" customHeight="1">
      <c r="A15" s="20"/>
      <c r="B15" s="20"/>
      <c r="C15" s="20"/>
      <c r="D15" s="203" t="s">
        <v>418</v>
      </c>
      <c r="E15" s="204">
        <v>2E-8</v>
      </c>
      <c r="F15" s="204">
        <v>9.9999999999999995E-8</v>
      </c>
      <c r="G15" s="204">
        <v>9.9999999999999995E-7</v>
      </c>
      <c r="H15" s="204">
        <v>2.5000000000000002E-6</v>
      </c>
      <c r="I15" s="204">
        <v>1.0000000000000001E-5</v>
      </c>
      <c r="J15" s="204">
        <v>1.4999999999999999E-4</v>
      </c>
      <c r="K15" s="204">
        <v>1E-3</v>
      </c>
      <c r="L15" s="204"/>
      <c r="M15" s="204"/>
      <c r="N15" s="204"/>
      <c r="O15" s="20"/>
      <c r="P15" s="16"/>
      <c r="Q15" s="20"/>
      <c r="R15" s="203" t="s">
        <v>418</v>
      </c>
      <c r="S15" s="204">
        <v>2E-8</v>
      </c>
      <c r="T15" s="204">
        <v>9.9999999999999995E-8</v>
      </c>
      <c r="U15" s="204">
        <v>9.9999999999999995E-7</v>
      </c>
      <c r="V15" s="204">
        <v>2.5000000000000002E-6</v>
      </c>
      <c r="W15" s="204">
        <v>1.0000000000000001E-5</v>
      </c>
      <c r="X15" s="204">
        <v>1.4999999999999999E-4</v>
      </c>
      <c r="Y15" s="204">
        <v>1E-3</v>
      </c>
      <c r="Z15" s="204"/>
      <c r="AA15" s="204"/>
      <c r="AB15" s="204"/>
      <c r="AC15" s="18"/>
    </row>
    <row r="16" spans="1:41" s="17" customFormat="1" ht="17.100000000000001" hidden="1" customHeight="1">
      <c r="A16" s="20"/>
      <c r="B16" s="20"/>
      <c r="C16" s="20"/>
      <c r="D16" s="333"/>
      <c r="E16" s="186"/>
      <c r="F16" s="186"/>
      <c r="G16" s="186"/>
      <c r="H16" s="186"/>
      <c r="I16" s="186"/>
      <c r="J16" s="186"/>
      <c r="K16" s="186"/>
      <c r="L16" s="186"/>
      <c r="M16" s="186"/>
      <c r="N16" s="186"/>
      <c r="O16" s="20"/>
      <c r="P16" s="16"/>
      <c r="Q16" s="20"/>
      <c r="S16" s="48"/>
      <c r="T16" s="48"/>
      <c r="U16" s="48"/>
      <c r="V16" s="48"/>
      <c r="W16" s="48"/>
      <c r="X16" s="48"/>
      <c r="Y16" s="48"/>
      <c r="Z16" s="186"/>
      <c r="AA16" s="186"/>
      <c r="AB16" s="186"/>
      <c r="AC16" s="18"/>
    </row>
    <row r="17" spans="1:35" s="17" customFormat="1" ht="17.100000000000001" customHeight="1">
      <c r="A17" s="20"/>
      <c r="B17" s="20"/>
      <c r="C17" s="20"/>
      <c r="D17" s="52" t="s">
        <v>267</v>
      </c>
      <c r="E17" s="307">
        <v>0.4</v>
      </c>
      <c r="F17" s="307">
        <v>0.35</v>
      </c>
      <c r="G17" s="307">
        <v>0.35</v>
      </c>
      <c r="H17" s="307">
        <v>0.2</v>
      </c>
      <c r="I17" s="307">
        <v>0.1</v>
      </c>
      <c r="J17" s="307">
        <v>0.05</v>
      </c>
      <c r="K17" s="307">
        <v>0.02</v>
      </c>
      <c r="L17" s="145"/>
      <c r="M17" s="145"/>
      <c r="N17" s="145"/>
      <c r="O17" s="20"/>
      <c r="P17" s="16"/>
      <c r="Q17" s="20"/>
      <c r="R17" s="52" t="s">
        <v>267</v>
      </c>
      <c r="S17" s="307">
        <v>0.4</v>
      </c>
      <c r="T17" s="307">
        <v>0.35</v>
      </c>
      <c r="U17" s="307">
        <v>0.35</v>
      </c>
      <c r="V17" s="307">
        <v>0.2</v>
      </c>
      <c r="W17" s="307">
        <v>0.1</v>
      </c>
      <c r="X17" s="307">
        <v>0.05</v>
      </c>
      <c r="Y17" s="307">
        <v>0.02</v>
      </c>
      <c r="Z17" s="145"/>
      <c r="AA17" s="145"/>
      <c r="AB17" s="145"/>
      <c r="AC17" s="18"/>
    </row>
    <row r="18" spans="1:35" s="17" customFormat="1" ht="17.100000000000001" customHeight="1">
      <c r="A18" s="20"/>
      <c r="B18" s="20"/>
      <c r="C18" s="20"/>
      <c r="D18" s="207" t="s">
        <v>131</v>
      </c>
      <c r="E18" s="320">
        <v>0.1</v>
      </c>
      <c r="F18" s="320">
        <v>0.85</v>
      </c>
      <c r="G18" s="320">
        <v>0.85</v>
      </c>
      <c r="H18" s="320">
        <v>0.75</v>
      </c>
      <c r="I18" s="320">
        <v>0.5</v>
      </c>
      <c r="J18" s="320">
        <v>0.1</v>
      </c>
      <c r="K18" s="320">
        <v>0.1</v>
      </c>
      <c r="L18" s="204"/>
      <c r="M18" s="204"/>
      <c r="N18" s="204"/>
      <c r="O18" s="20"/>
      <c r="P18" s="16"/>
      <c r="Q18" s="20"/>
      <c r="R18" s="207"/>
      <c r="S18" s="204"/>
      <c r="T18" s="204"/>
      <c r="U18" s="204"/>
      <c r="V18" s="204"/>
      <c r="W18" s="204"/>
      <c r="X18" s="204"/>
      <c r="Y18" s="204"/>
      <c r="Z18" s="204"/>
      <c r="AA18" s="204"/>
      <c r="AB18" s="204"/>
      <c r="AC18" s="18"/>
      <c r="AD18" s="334"/>
      <c r="AE18" s="334"/>
      <c r="AF18" s="334"/>
      <c r="AG18" s="334"/>
      <c r="AH18" s="334"/>
      <c r="AI18" s="334"/>
    </row>
    <row r="19" spans="1:35" s="17" customFormat="1" ht="17.100000000000001" customHeight="1">
      <c r="A19" s="20"/>
      <c r="B19" s="20"/>
      <c r="C19" s="20"/>
      <c r="D19" s="335" t="s">
        <v>823</v>
      </c>
      <c r="E19" s="186">
        <v>3.3333333333333335E-3</v>
      </c>
      <c r="F19" s="186">
        <v>1.6666666666666669E-4</v>
      </c>
      <c r="G19" s="186">
        <v>1.6666666666666669E-4</v>
      </c>
      <c r="H19" s="186">
        <v>3.3333333333333335E-3</v>
      </c>
      <c r="I19" s="186">
        <v>2.0833333333333332E-2</v>
      </c>
      <c r="J19" s="186">
        <v>2.3333333333333334E-2</v>
      </c>
      <c r="K19" s="186">
        <v>2.5000000000000001E-2</v>
      </c>
      <c r="L19" s="186"/>
      <c r="M19" s="186"/>
      <c r="N19" s="186"/>
      <c r="O19" s="20"/>
      <c r="P19" s="16"/>
      <c r="Q19" s="20"/>
      <c r="R19" s="335" t="s">
        <v>268</v>
      </c>
      <c r="S19" s="48">
        <v>6</v>
      </c>
      <c r="T19" s="48">
        <v>2</v>
      </c>
      <c r="U19" s="48">
        <v>0.4</v>
      </c>
      <c r="V19" s="48">
        <v>0.8</v>
      </c>
      <c r="W19" s="48">
        <v>1.1000000000000001</v>
      </c>
      <c r="X19" s="48">
        <v>100</v>
      </c>
      <c r="Y19" s="48">
        <v>1000</v>
      </c>
      <c r="Z19" s="186"/>
      <c r="AA19" s="186"/>
      <c r="AB19" s="186"/>
      <c r="AC19" s="18"/>
    </row>
    <row r="20" spans="1:35" s="17" customFormat="1" ht="17.100000000000001" customHeight="1">
      <c r="A20" s="20"/>
      <c r="B20" s="20"/>
      <c r="C20" s="20"/>
      <c r="D20" s="335" t="s">
        <v>824</v>
      </c>
      <c r="E20" s="145">
        <v>3.7037037037037038E-3</v>
      </c>
      <c r="F20" s="145">
        <v>1.851851851851852E-4</v>
      </c>
      <c r="G20" s="145">
        <v>1.851851851851852E-4</v>
      </c>
      <c r="H20" s="145">
        <v>3.7037037037037038E-3</v>
      </c>
      <c r="I20" s="145">
        <v>2.3148148148148147E-2</v>
      </c>
      <c r="J20" s="145">
        <v>4.6296296296296294E-2</v>
      </c>
      <c r="K20" s="145">
        <v>4.6296296296296294E-2</v>
      </c>
      <c r="L20" s="145"/>
      <c r="M20" s="145"/>
      <c r="N20" s="145"/>
      <c r="O20" s="20"/>
      <c r="P20" s="16"/>
      <c r="Q20" s="20"/>
      <c r="R20" s="52" t="s">
        <v>269</v>
      </c>
      <c r="S20" s="145">
        <v>5.3480824833808498E-3</v>
      </c>
      <c r="T20" s="145">
        <v>5.3480824833808498E-3</v>
      </c>
      <c r="U20" s="145">
        <v>5.3480824833808498E-3</v>
      </c>
      <c r="V20" s="145">
        <v>2.622113167602184E-3</v>
      </c>
      <c r="W20" s="145">
        <v>1.2111021945286264E-3</v>
      </c>
      <c r="X20" s="145">
        <v>5.2442263352043671E-4</v>
      </c>
      <c r="Y20" s="145">
        <v>5.2442263352043671E-4</v>
      </c>
      <c r="Z20" s="145"/>
      <c r="AA20" s="145"/>
      <c r="AB20" s="145"/>
      <c r="AC20" s="18"/>
    </row>
    <row r="21" spans="1:35" s="17" customFormat="1" ht="17.100000000000001" customHeight="1">
      <c r="A21" s="20"/>
      <c r="B21" s="20"/>
      <c r="C21" s="20"/>
      <c r="D21" s="207"/>
      <c r="E21" s="204"/>
      <c r="F21" s="204"/>
      <c r="G21" s="204"/>
      <c r="H21" s="204"/>
      <c r="I21" s="204"/>
      <c r="J21" s="204"/>
      <c r="K21" s="204"/>
      <c r="L21" s="204"/>
      <c r="M21" s="204"/>
      <c r="N21" s="204"/>
      <c r="O21" s="20"/>
      <c r="P21" s="16"/>
      <c r="Q21" s="20"/>
      <c r="R21" s="207" t="s">
        <v>270</v>
      </c>
      <c r="S21" s="204">
        <v>1E-10</v>
      </c>
      <c r="T21" s="204">
        <v>1E-10</v>
      </c>
      <c r="U21" s="204">
        <v>1E-10</v>
      </c>
      <c r="V21" s="204">
        <v>1E-10</v>
      </c>
      <c r="W21" s="204">
        <v>1E-10</v>
      </c>
      <c r="X21" s="204">
        <v>1E-10</v>
      </c>
      <c r="Y21" s="204">
        <v>1E-10</v>
      </c>
      <c r="Z21" s="204"/>
      <c r="AA21" s="204"/>
      <c r="AB21" s="204"/>
      <c r="AC21" s="18"/>
    </row>
    <row r="22" spans="1:35" s="17" customFormat="1" ht="17.100000000000001" customHeight="1">
      <c r="A22" s="20"/>
      <c r="B22" s="20"/>
      <c r="C22" s="20"/>
      <c r="D22" s="335" t="s">
        <v>851</v>
      </c>
      <c r="E22" s="186">
        <v>0</v>
      </c>
      <c r="F22" s="186">
        <v>0</v>
      </c>
      <c r="G22" s="186">
        <v>0</v>
      </c>
      <c r="H22" s="186">
        <v>0</v>
      </c>
      <c r="I22" s="186">
        <v>0</v>
      </c>
      <c r="J22" s="186">
        <v>0</v>
      </c>
      <c r="K22" s="186">
        <v>0</v>
      </c>
      <c r="L22" s="186"/>
      <c r="M22" s="186"/>
      <c r="N22" s="186"/>
      <c r="O22" s="20"/>
      <c r="P22" s="16"/>
      <c r="Q22" s="20"/>
      <c r="R22" s="335" t="s">
        <v>138</v>
      </c>
      <c r="S22" s="186">
        <v>9.9000000000000005E-7</v>
      </c>
      <c r="T22" s="186">
        <v>9.9000000000000005E-7</v>
      </c>
      <c r="U22" s="186">
        <v>4.4000000000000002E-7</v>
      </c>
      <c r="V22" s="186">
        <v>1.8E-5</v>
      </c>
      <c r="W22" s="186">
        <v>4.6999999999999997E-5</v>
      </c>
      <c r="X22" s="186">
        <v>1.2999999999999999E-4</v>
      </c>
      <c r="Y22" s="186">
        <v>1.2999999999999999E-4</v>
      </c>
      <c r="Z22" s="186"/>
      <c r="AA22" s="186"/>
      <c r="AB22" s="186"/>
      <c r="AC22" s="18"/>
    </row>
    <row r="23" spans="1:35" s="17" customFormat="1" ht="17.100000000000001" customHeight="1">
      <c r="A23" s="20"/>
      <c r="B23" s="20"/>
      <c r="C23" s="20"/>
      <c r="D23" s="52" t="s">
        <v>852</v>
      </c>
      <c r="E23" s="145">
        <v>0</v>
      </c>
      <c r="F23" s="145">
        <v>0</v>
      </c>
      <c r="G23" s="145">
        <v>0</v>
      </c>
      <c r="H23" s="145">
        <v>0</v>
      </c>
      <c r="I23" s="145">
        <v>0</v>
      </c>
      <c r="J23" s="145">
        <v>0</v>
      </c>
      <c r="K23" s="145">
        <v>0</v>
      </c>
      <c r="L23" s="145"/>
      <c r="M23" s="145"/>
      <c r="N23" s="145"/>
      <c r="O23" s="20"/>
      <c r="P23" s="16"/>
      <c r="Q23" s="20"/>
      <c r="R23" s="52" t="s">
        <v>139</v>
      </c>
      <c r="S23" s="145">
        <v>9.9000000000000005E-7</v>
      </c>
      <c r="T23" s="145">
        <v>9.9000000000000005E-7</v>
      </c>
      <c r="U23" s="145">
        <v>4.4000000000000002E-7</v>
      </c>
      <c r="V23" s="145">
        <v>1.8E-5</v>
      </c>
      <c r="W23" s="145">
        <v>1.3999999999999999E-4</v>
      </c>
      <c r="X23" s="145">
        <v>3.8000000000000002E-4</v>
      </c>
      <c r="Y23" s="145">
        <v>3.8000000000000002E-4</v>
      </c>
      <c r="Z23" s="145"/>
      <c r="AA23" s="145"/>
      <c r="AB23" s="145"/>
      <c r="AC23" s="18"/>
    </row>
    <row r="24" spans="1:35" s="17" customFormat="1" ht="17.100000000000001" customHeight="1">
      <c r="A24" s="20"/>
      <c r="B24" s="20"/>
      <c r="C24" s="20"/>
      <c r="D24" s="20"/>
      <c r="E24" s="145"/>
      <c r="F24" s="145"/>
      <c r="G24" s="145"/>
      <c r="H24" s="145"/>
      <c r="I24" s="145"/>
      <c r="J24" s="145"/>
      <c r="K24" s="145"/>
      <c r="L24" s="145"/>
      <c r="M24" s="145"/>
      <c r="N24" s="145"/>
      <c r="O24" s="20"/>
      <c r="P24" s="16"/>
      <c r="Q24" s="20"/>
      <c r="R24" s="52" t="s">
        <v>140</v>
      </c>
      <c r="S24" s="145">
        <v>9.9000000000000005E-7</v>
      </c>
      <c r="T24" s="145">
        <v>9.9000000000000005E-7</v>
      </c>
      <c r="U24" s="145">
        <v>4.4000000000000002E-7</v>
      </c>
      <c r="V24" s="145">
        <v>1.8E-5</v>
      </c>
      <c r="W24" s="145">
        <v>4.6999999999999997E-5</v>
      </c>
      <c r="X24" s="145">
        <v>1.2999999999999999E-4</v>
      </c>
      <c r="Y24" s="145">
        <v>1.2999999999999999E-4</v>
      </c>
      <c r="Z24" s="145"/>
      <c r="AA24" s="145"/>
      <c r="AB24" s="145"/>
      <c r="AC24" s="18"/>
    </row>
    <row r="25" spans="1:35" s="17" customFormat="1" ht="17.100000000000001" customHeight="1">
      <c r="A25" s="20"/>
      <c r="B25" s="20"/>
      <c r="C25" s="20"/>
      <c r="D25" s="20"/>
      <c r="E25" s="145"/>
      <c r="F25" s="145"/>
      <c r="G25" s="145"/>
      <c r="H25" s="145"/>
      <c r="I25" s="145"/>
      <c r="J25" s="145"/>
      <c r="K25" s="145"/>
      <c r="L25" s="145"/>
      <c r="M25" s="145"/>
      <c r="N25" s="145"/>
      <c r="O25" s="20"/>
      <c r="P25" s="16"/>
      <c r="Q25" s="20"/>
      <c r="R25" s="52" t="s">
        <v>141</v>
      </c>
      <c r="S25" s="145">
        <f t="shared" ref="S25:X26" si="0">S$22/10</f>
        <v>9.9E-8</v>
      </c>
      <c r="T25" s="145">
        <f t="shared" si="0"/>
        <v>9.9E-8</v>
      </c>
      <c r="U25" s="145">
        <f t="shared" si="0"/>
        <v>4.4000000000000004E-8</v>
      </c>
      <c r="V25" s="145">
        <f t="shared" si="0"/>
        <v>1.8000000000000001E-6</v>
      </c>
      <c r="W25" s="145">
        <f t="shared" si="0"/>
        <v>4.6999999999999999E-6</v>
      </c>
      <c r="X25" s="145">
        <f t="shared" si="0"/>
        <v>1.2999999999999999E-5</v>
      </c>
      <c r="Y25" s="145">
        <v>1.2999999999999999E-5</v>
      </c>
      <c r="Z25" s="145"/>
      <c r="AA25" s="145"/>
      <c r="AB25" s="145"/>
      <c r="AC25" s="18"/>
    </row>
    <row r="26" spans="1:35" s="17" customFormat="1" ht="17.100000000000001" customHeight="1">
      <c r="A26" s="20"/>
      <c r="B26" s="20"/>
      <c r="C26" s="20"/>
      <c r="D26" s="336"/>
      <c r="E26" s="204"/>
      <c r="F26" s="204"/>
      <c r="G26" s="204"/>
      <c r="H26" s="204"/>
      <c r="I26" s="204"/>
      <c r="J26" s="204"/>
      <c r="K26" s="204"/>
      <c r="L26" s="204"/>
      <c r="M26" s="204"/>
      <c r="N26" s="204"/>
      <c r="O26" s="20"/>
      <c r="P26" s="16"/>
      <c r="Q26" s="20"/>
      <c r="R26" s="207" t="s">
        <v>142</v>
      </c>
      <c r="S26" s="204">
        <f t="shared" si="0"/>
        <v>9.9E-8</v>
      </c>
      <c r="T26" s="204">
        <f t="shared" si="0"/>
        <v>9.9E-8</v>
      </c>
      <c r="U26" s="204">
        <f t="shared" si="0"/>
        <v>4.4000000000000004E-8</v>
      </c>
      <c r="V26" s="204">
        <f t="shared" si="0"/>
        <v>1.8000000000000001E-6</v>
      </c>
      <c r="W26" s="204">
        <f t="shared" si="0"/>
        <v>4.6999999999999999E-6</v>
      </c>
      <c r="X26" s="204">
        <f t="shared" si="0"/>
        <v>1.2999999999999999E-5</v>
      </c>
      <c r="Y26" s="204">
        <v>1.2999999999999999E-5</v>
      </c>
      <c r="Z26" s="204"/>
      <c r="AA26" s="204"/>
      <c r="AB26" s="204"/>
      <c r="AC26" s="18"/>
    </row>
    <row r="27" spans="1:35" s="157" customFormat="1" ht="17.100000000000001" customHeight="1">
      <c r="A27" s="20"/>
      <c r="B27" s="20"/>
      <c r="C27" s="20"/>
      <c r="D27" s="333"/>
      <c r="E27" s="337"/>
      <c r="F27" s="337"/>
      <c r="G27" s="337"/>
      <c r="H27" s="337"/>
      <c r="I27" s="337"/>
      <c r="J27" s="337"/>
      <c r="K27" s="337"/>
      <c r="L27" s="333"/>
      <c r="M27" s="333"/>
      <c r="N27" s="333"/>
      <c r="O27" s="20"/>
      <c r="P27" s="16"/>
      <c r="Q27" s="20"/>
      <c r="R27" s="335" t="s">
        <v>143</v>
      </c>
      <c r="S27" s="48">
        <v>0</v>
      </c>
      <c r="T27" s="48">
        <v>0</v>
      </c>
      <c r="U27" s="48">
        <v>0</v>
      </c>
      <c r="V27" s="48">
        <v>0</v>
      </c>
      <c r="W27" s="48">
        <v>0</v>
      </c>
      <c r="X27" s="48">
        <v>0</v>
      </c>
      <c r="Y27" s="48">
        <v>0</v>
      </c>
      <c r="Z27" s="186"/>
      <c r="AA27" s="186"/>
      <c r="AB27" s="186"/>
      <c r="AC27" s="18"/>
    </row>
    <row r="28" spans="1:35" s="157" customFormat="1" ht="17.100000000000001" customHeight="1">
      <c r="A28" s="20"/>
      <c r="B28" s="20"/>
      <c r="C28" s="20"/>
      <c r="D28" s="20"/>
      <c r="E28" s="20"/>
      <c r="F28" s="20"/>
      <c r="G28" s="20"/>
      <c r="H28" s="20"/>
      <c r="I28" s="20"/>
      <c r="J28" s="20"/>
      <c r="K28" s="20"/>
      <c r="L28" s="20"/>
      <c r="M28" s="20"/>
      <c r="N28" s="20"/>
      <c r="O28" s="20"/>
      <c r="P28" s="16"/>
      <c r="Q28" s="20"/>
      <c r="R28" s="52" t="s">
        <v>144</v>
      </c>
      <c r="S28" s="145">
        <f>$S$6/730*0.05</f>
        <v>1.3698630136986303E-4</v>
      </c>
      <c r="T28" s="145">
        <f>$S$6/730*0.05</f>
        <v>1.3698630136986303E-4</v>
      </c>
      <c r="U28" s="145">
        <f>$S$6/730*0.05</f>
        <v>1.3698630136986303E-4</v>
      </c>
      <c r="V28" s="145">
        <f>$S$6/730*0.1</f>
        <v>2.7397260273972606E-4</v>
      </c>
      <c r="W28" s="145">
        <f>$S$6/730*0.4</f>
        <v>1.0958904109589042E-3</v>
      </c>
      <c r="X28" s="145">
        <f>$S$6/730*0.8</f>
        <v>2.1917808219178085E-3</v>
      </c>
      <c r="Y28" s="145">
        <f>$S$6/730*0.8</f>
        <v>2.1917808219178085E-3</v>
      </c>
      <c r="Z28" s="145"/>
      <c r="AA28" s="145"/>
      <c r="AB28" s="145"/>
      <c r="AC28" s="18"/>
    </row>
    <row r="29" spans="1:35" s="157" customFormat="1" ht="17.100000000000001" customHeight="1">
      <c r="A29" s="16"/>
      <c r="B29" s="16"/>
      <c r="C29" s="16"/>
      <c r="D29" s="16"/>
      <c r="E29" s="16"/>
      <c r="F29" s="16"/>
      <c r="G29" s="16"/>
      <c r="H29" s="16"/>
      <c r="I29" s="16"/>
      <c r="J29" s="16"/>
      <c r="K29" s="16"/>
      <c r="L29" s="16"/>
      <c r="M29" s="16"/>
      <c r="N29" s="16"/>
      <c r="O29" s="16"/>
      <c r="P29" s="16"/>
      <c r="Q29" s="20"/>
      <c r="R29" s="52" t="s">
        <v>145</v>
      </c>
      <c r="S29" s="145">
        <f>$S$7/730*0.01</f>
        <v>2.7397260273972603E-5</v>
      </c>
      <c r="T29" s="145">
        <f>$S$7/730*0.01</f>
        <v>2.7397260273972603E-5</v>
      </c>
      <c r="U29" s="145">
        <f>$S$7/730*0.01</f>
        <v>2.7397260273972603E-5</v>
      </c>
      <c r="V29" s="145">
        <f>$S$7/730*0.05</f>
        <v>1.3698630136986303E-4</v>
      </c>
      <c r="W29" s="145">
        <f>2/730*0.2</f>
        <v>5.4794520547945212E-4</v>
      </c>
      <c r="X29" s="145">
        <f>2/730*0.8</f>
        <v>2.1917808219178085E-3</v>
      </c>
      <c r="Y29" s="145">
        <f>2/730*0.8</f>
        <v>2.1917808219178085E-3</v>
      </c>
      <c r="Z29" s="145"/>
      <c r="AA29" s="145"/>
      <c r="AB29" s="145"/>
      <c r="AC29" s="18"/>
    </row>
    <row r="30" spans="1:35" s="157" customFormat="1" ht="17.100000000000001" customHeight="1">
      <c r="A30" s="16"/>
      <c r="B30" s="16"/>
      <c r="C30" s="16"/>
      <c r="D30" s="16"/>
      <c r="E30" s="16"/>
      <c r="F30" s="16"/>
      <c r="G30" s="16"/>
      <c r="H30" s="16"/>
      <c r="I30" s="16"/>
      <c r="J30" s="16"/>
      <c r="K30" s="16"/>
      <c r="L30" s="16"/>
      <c r="M30" s="16"/>
      <c r="N30" s="16"/>
      <c r="O30" s="16"/>
      <c r="P30" s="16"/>
      <c r="Q30" s="20"/>
      <c r="R30" s="52" t="s">
        <v>146</v>
      </c>
      <c r="S30" s="145">
        <f>$S$8/730*0.03</f>
        <v>4.1095890410958901E-4</v>
      </c>
      <c r="T30" s="145">
        <f>$S$8/730*0.03</f>
        <v>4.1095890410958901E-4</v>
      </c>
      <c r="U30" s="145">
        <f>$S$8/730*0.03</f>
        <v>4.1095890410958901E-4</v>
      </c>
      <c r="V30" s="145">
        <f>$S$8/730*0.075</f>
        <v>1.0273972602739725E-3</v>
      </c>
      <c r="W30" s="145">
        <f>$S$8/730*0.3</f>
        <v>4.10958904109589E-3</v>
      </c>
      <c r="X30" s="145">
        <f>$S$8/730*0.8</f>
        <v>1.0958904109589041E-2</v>
      </c>
      <c r="Y30" s="145">
        <f>$S$8/730*0.8</f>
        <v>1.0958904109589041E-2</v>
      </c>
      <c r="Z30" s="145"/>
      <c r="AA30" s="145"/>
      <c r="AB30" s="145"/>
      <c r="AC30" s="18"/>
    </row>
    <row r="31" spans="1:35" s="157" customFormat="1" ht="17.100000000000001" customHeight="1">
      <c r="A31" s="16"/>
      <c r="B31" s="16"/>
      <c r="C31" s="16"/>
      <c r="D31" s="16"/>
      <c r="E31" s="16"/>
      <c r="F31" s="16"/>
      <c r="G31" s="16"/>
      <c r="H31" s="16"/>
      <c r="I31" s="16"/>
      <c r="J31" s="16"/>
      <c r="K31" s="16"/>
      <c r="L31" s="16"/>
      <c r="M31" s="16"/>
      <c r="N31" s="16"/>
      <c r="O31" s="16"/>
      <c r="P31" s="16"/>
      <c r="Q31" s="20"/>
      <c r="R31" s="52" t="s">
        <v>147</v>
      </c>
      <c r="S31" s="145">
        <v>7.5000000000000007E-5</v>
      </c>
      <c r="T31" s="145">
        <v>7.5000000000000007E-5</v>
      </c>
      <c r="U31" s="145">
        <v>7.5000000000000007E-5</v>
      </c>
      <c r="V31" s="145">
        <v>7.5000000000000007E-5</v>
      </c>
      <c r="W31" s="145">
        <v>7.5000000000000007E-5</v>
      </c>
      <c r="X31" s="145">
        <v>7.5000000000000007E-5</v>
      </c>
      <c r="Y31" s="145">
        <v>7.5000000000000007E-5</v>
      </c>
      <c r="Z31" s="145"/>
      <c r="AA31" s="145"/>
      <c r="AB31" s="145"/>
      <c r="AC31" s="18"/>
    </row>
    <row r="32" spans="1:35" s="157" customFormat="1" ht="17.100000000000001" customHeight="1">
      <c r="A32" s="16"/>
      <c r="B32" s="16"/>
      <c r="C32" s="16"/>
      <c r="D32" s="16"/>
      <c r="E32" s="16"/>
      <c r="F32" s="16"/>
      <c r="G32" s="16"/>
      <c r="H32" s="16"/>
      <c r="I32" s="16"/>
      <c r="J32" s="16"/>
      <c r="K32" s="16"/>
      <c r="L32" s="16"/>
      <c r="M32" s="16"/>
      <c r="N32" s="16"/>
      <c r="O32" s="16"/>
      <c r="P32" s="16"/>
      <c r="Q32" s="20"/>
      <c r="R32" s="207" t="s">
        <v>148</v>
      </c>
      <c r="S32" s="204">
        <v>7.5000000000000007E-5</v>
      </c>
      <c r="T32" s="204">
        <v>7.5000000000000007E-5</v>
      </c>
      <c r="U32" s="204">
        <v>7.5000000000000007E-5</v>
      </c>
      <c r="V32" s="204">
        <v>7.5000000000000007E-5</v>
      </c>
      <c r="W32" s="204">
        <v>7.5000000000000007E-5</v>
      </c>
      <c r="X32" s="204">
        <v>7.5000000000000007E-5</v>
      </c>
      <c r="Y32" s="204">
        <v>7.5000000000000007E-5</v>
      </c>
      <c r="Z32" s="204"/>
      <c r="AA32" s="204"/>
      <c r="AB32" s="204"/>
      <c r="AC32" s="18"/>
    </row>
    <row r="33" spans="1:31" s="157" customFormat="1" ht="17.100000000000001" customHeight="1">
      <c r="A33" s="16"/>
      <c r="B33" s="16"/>
      <c r="C33" s="16"/>
      <c r="D33" s="16"/>
      <c r="E33" s="16"/>
      <c r="F33" s="16"/>
      <c r="G33" s="16"/>
      <c r="H33" s="16"/>
      <c r="I33" s="16"/>
      <c r="J33" s="16"/>
      <c r="K33" s="16"/>
      <c r="L33" s="16"/>
      <c r="M33" s="22"/>
      <c r="N33" s="16"/>
      <c r="O33" s="16"/>
      <c r="P33" s="16"/>
      <c r="Q33" s="20"/>
      <c r="R33" s="335" t="s">
        <v>271</v>
      </c>
      <c r="S33" s="186">
        <f>$S$10*0.1</f>
        <v>2.6143790849673203E-9</v>
      </c>
      <c r="T33" s="186">
        <f>$S$10*0.2</f>
        <v>5.2287581699346407E-9</v>
      </c>
      <c r="U33" s="186">
        <f>$S$10*0.5</f>
        <v>1.3071895424836602E-8</v>
      </c>
      <c r="V33" s="186">
        <f>$S$10*0.15</f>
        <v>3.9215686274509805E-9</v>
      </c>
      <c r="W33" s="186">
        <f>$S$10*0.05</f>
        <v>1.3071895424836602E-9</v>
      </c>
      <c r="X33" s="186">
        <f>$S$10*0</f>
        <v>0</v>
      </c>
      <c r="Y33" s="186">
        <f>$S$10*0</f>
        <v>0</v>
      </c>
      <c r="Z33" s="186"/>
      <c r="AA33" s="186"/>
      <c r="AB33" s="186"/>
      <c r="AC33" s="18"/>
    </row>
    <row r="34" spans="1:31" s="157" customFormat="1" ht="17.100000000000001" customHeight="1">
      <c r="A34" s="16"/>
      <c r="B34" s="16"/>
      <c r="C34" s="16"/>
      <c r="D34" s="16"/>
      <c r="E34" s="16"/>
      <c r="F34" s="16"/>
      <c r="G34" s="16"/>
      <c r="H34" s="16"/>
      <c r="I34" s="16"/>
      <c r="J34" s="16"/>
      <c r="K34" s="16"/>
      <c r="L34" s="16"/>
      <c r="M34" s="16"/>
      <c r="N34" s="16"/>
      <c r="O34" s="16"/>
      <c r="P34" s="16"/>
      <c r="Q34" s="20"/>
      <c r="R34" s="52" t="s">
        <v>272</v>
      </c>
      <c r="S34" s="145">
        <v>1.1333333333333334E-10</v>
      </c>
      <c r="T34" s="145">
        <v>1.9833333333333335E-10</v>
      </c>
      <c r="U34" s="145">
        <v>3.1166666666666668E-10</v>
      </c>
      <c r="V34" s="145">
        <v>6.2333333333333335E-10</v>
      </c>
      <c r="W34" s="145">
        <v>2.3800000000000005E-9</v>
      </c>
      <c r="X34" s="145">
        <v>2.4100000000000001E-8</v>
      </c>
      <c r="Y34" s="145">
        <v>6.2300000000000002E-10</v>
      </c>
      <c r="Z34" s="145"/>
      <c r="AA34" s="145"/>
      <c r="AB34" s="145"/>
      <c r="AC34" s="18"/>
    </row>
    <row r="35" spans="1:31" s="157" customFormat="1" ht="17.100000000000001" customHeight="1">
      <c r="A35" s="16"/>
      <c r="B35" s="16"/>
      <c r="C35" s="16"/>
      <c r="D35" s="16"/>
      <c r="E35" s="16"/>
      <c r="F35" s="16"/>
      <c r="G35" s="16"/>
      <c r="H35" s="16"/>
      <c r="I35" s="16"/>
      <c r="J35" s="16"/>
      <c r="K35" s="16"/>
      <c r="L35" s="16"/>
      <c r="M35" s="16"/>
      <c r="N35" s="16"/>
      <c r="O35" s="16"/>
      <c r="P35" s="16"/>
      <c r="Q35" s="20"/>
      <c r="R35" s="207" t="s">
        <v>273</v>
      </c>
      <c r="S35" s="204">
        <v>1.4166666666666667E-10</v>
      </c>
      <c r="T35" s="204">
        <v>2.4791666666666666E-10</v>
      </c>
      <c r="U35" s="204">
        <v>3.8958333333333331E-10</v>
      </c>
      <c r="V35" s="204">
        <v>7.7916666666666661E-10</v>
      </c>
      <c r="W35" s="204">
        <v>2.9750000000000002E-9</v>
      </c>
      <c r="X35" s="204">
        <v>3.0099999999999998E-8</v>
      </c>
      <c r="Y35" s="204">
        <v>7.79E-10</v>
      </c>
      <c r="Z35" s="204"/>
      <c r="AA35" s="204"/>
      <c r="AB35" s="204"/>
      <c r="AC35" s="18"/>
    </row>
    <row r="36" spans="1:31" s="157" customFormat="1" ht="17.100000000000001" customHeight="1">
      <c r="A36" s="16"/>
      <c r="B36" s="16"/>
      <c r="C36" s="16"/>
      <c r="D36" s="16"/>
      <c r="E36" s="16"/>
      <c r="F36" s="16"/>
      <c r="G36" s="16"/>
      <c r="H36" s="16"/>
      <c r="I36" s="16"/>
      <c r="J36" s="16"/>
      <c r="K36" s="16"/>
      <c r="L36" s="16"/>
      <c r="M36" s="16"/>
      <c r="N36" s="16"/>
      <c r="O36" s="16"/>
      <c r="P36" s="16"/>
      <c r="Q36" s="20"/>
      <c r="R36" s="181" t="s">
        <v>415</v>
      </c>
      <c r="S36" s="48">
        <v>0.2</v>
      </c>
      <c r="T36" s="48">
        <v>0.02</v>
      </c>
      <c r="U36" s="48">
        <v>2E-3</v>
      </c>
      <c r="V36" s="48">
        <v>0.2</v>
      </c>
      <c r="W36" s="48">
        <v>0.6</v>
      </c>
      <c r="X36" s="48">
        <v>0.99</v>
      </c>
      <c r="Y36" s="48">
        <v>0.99</v>
      </c>
      <c r="Z36" s="186"/>
      <c r="AA36" s="186"/>
      <c r="AB36" s="186"/>
      <c r="AC36" s="18"/>
    </row>
    <row r="37" spans="1:31" s="157" customFormat="1" ht="17.100000000000001" customHeight="1">
      <c r="A37" s="16"/>
      <c r="B37" s="16"/>
      <c r="C37" s="16"/>
      <c r="D37" s="16"/>
      <c r="E37" s="16"/>
      <c r="F37" s="16"/>
      <c r="G37" s="16"/>
      <c r="H37" s="16"/>
      <c r="I37" s="16"/>
      <c r="J37" s="16"/>
      <c r="K37" s="16"/>
      <c r="L37" s="16"/>
      <c r="M37" s="16"/>
      <c r="N37" s="16"/>
      <c r="O37" s="16"/>
      <c r="P37" s="16"/>
      <c r="Q37" s="20"/>
      <c r="R37" s="181" t="s">
        <v>416</v>
      </c>
      <c r="S37" s="46">
        <v>0.3</v>
      </c>
      <c r="T37" s="46">
        <v>0.15</v>
      </c>
      <c r="U37" s="46">
        <v>0.05</v>
      </c>
      <c r="V37" s="46">
        <v>0.05</v>
      </c>
      <c r="W37" s="46">
        <v>0.1</v>
      </c>
      <c r="X37" s="46">
        <v>1.0000000000000001E-5</v>
      </c>
      <c r="Y37" s="46">
        <v>1.0000000000000001E-5</v>
      </c>
      <c r="Z37" s="145"/>
      <c r="AA37" s="145"/>
      <c r="AB37" s="145"/>
      <c r="AC37" s="18"/>
    </row>
    <row r="38" spans="1:31" s="157" customFormat="1" ht="17.100000000000001" customHeight="1">
      <c r="A38" s="16"/>
      <c r="B38" s="16"/>
      <c r="C38" s="16"/>
      <c r="D38" s="338"/>
      <c r="E38" s="338"/>
      <c r="F38" s="338"/>
      <c r="G38" s="338"/>
      <c r="H38" s="338"/>
      <c r="I38" s="338"/>
      <c r="J38" s="338"/>
      <c r="K38" s="338"/>
      <c r="L38" s="338"/>
      <c r="M38" s="338"/>
      <c r="N38" s="338"/>
      <c r="O38" s="16"/>
      <c r="P38" s="16"/>
      <c r="Q38" s="20"/>
      <c r="R38" s="259" t="s">
        <v>417</v>
      </c>
      <c r="S38" s="206">
        <v>0.31</v>
      </c>
      <c r="T38" s="206">
        <v>0.31</v>
      </c>
      <c r="U38" s="206">
        <v>0.3</v>
      </c>
      <c r="V38" s="206">
        <v>0.13</v>
      </c>
      <c r="W38" s="206">
        <v>5.8000000000000003E-2</v>
      </c>
      <c r="X38" s="206">
        <v>1.0000000000000001E-5</v>
      </c>
      <c r="Y38" s="206">
        <v>1.0000000000000001E-5</v>
      </c>
      <c r="Z38" s="204"/>
      <c r="AA38" s="204"/>
      <c r="AB38" s="204"/>
      <c r="AC38" s="18"/>
    </row>
    <row r="39" spans="1:31" s="157" customFormat="1" ht="17.100000000000001" hidden="1" customHeight="1">
      <c r="A39" s="16"/>
      <c r="B39" s="16"/>
      <c r="C39" s="16"/>
      <c r="D39" s="339"/>
      <c r="E39" s="339"/>
      <c r="F39" s="339"/>
      <c r="G39" s="339"/>
      <c r="H39" s="339"/>
      <c r="I39" s="339"/>
      <c r="J39" s="339"/>
      <c r="K39" s="339"/>
      <c r="L39" s="339"/>
      <c r="M39" s="339"/>
      <c r="N39" s="339"/>
      <c r="O39" s="16"/>
      <c r="P39" s="16"/>
      <c r="Q39" s="20"/>
      <c r="R39" s="333"/>
      <c r="S39" s="333"/>
      <c r="T39" s="333"/>
      <c r="U39" s="333"/>
      <c r="V39" s="333"/>
      <c r="W39" s="333"/>
      <c r="X39" s="333"/>
      <c r="Y39" s="333"/>
      <c r="Z39" s="333"/>
      <c r="AA39" s="333"/>
      <c r="AB39" s="333"/>
      <c r="AC39" s="20"/>
    </row>
    <row r="40" spans="1:31" s="157" customFormat="1" ht="17.100000000000001" hidden="1" customHeight="1">
      <c r="A40" s="16"/>
      <c r="B40" s="16"/>
      <c r="C40" s="16"/>
      <c r="D40" s="16"/>
      <c r="E40" s="16"/>
      <c r="F40" s="16"/>
      <c r="G40" s="16"/>
      <c r="H40" s="16"/>
      <c r="I40" s="16"/>
      <c r="J40" s="16"/>
      <c r="K40" s="16"/>
      <c r="L40" s="16"/>
      <c r="M40" s="16"/>
      <c r="N40" s="16"/>
      <c r="O40" s="16"/>
      <c r="P40" s="16"/>
      <c r="Q40" s="20"/>
      <c r="R40" s="20"/>
      <c r="S40" s="20"/>
      <c r="T40" s="20"/>
      <c r="U40" s="20"/>
      <c r="V40" s="20"/>
      <c r="W40" s="20"/>
      <c r="X40" s="20"/>
      <c r="Y40" s="20"/>
      <c r="Z40" s="20"/>
      <c r="AA40" s="20"/>
      <c r="AB40" s="20"/>
      <c r="AC40" s="20"/>
    </row>
    <row r="41" spans="1:31" s="157" customFormat="1" ht="17.100000000000001" hidden="1" customHeight="1">
      <c r="A41" s="16"/>
      <c r="B41" s="16"/>
      <c r="C41" s="16"/>
      <c r="D41" s="16"/>
      <c r="E41" s="16"/>
      <c r="F41" s="16"/>
      <c r="G41" s="16"/>
      <c r="H41" s="16"/>
      <c r="I41" s="16"/>
      <c r="J41" s="16"/>
      <c r="K41" s="16"/>
      <c r="L41" s="16"/>
      <c r="M41" s="16"/>
      <c r="N41" s="16"/>
      <c r="O41" s="16"/>
      <c r="P41" s="16"/>
      <c r="Q41" s="20"/>
      <c r="R41" s="20"/>
      <c r="S41" s="20"/>
      <c r="T41" s="20"/>
      <c r="U41" s="20"/>
      <c r="V41" s="20"/>
      <c r="W41" s="20"/>
      <c r="X41" s="20"/>
      <c r="Y41" s="20"/>
      <c r="Z41" s="20"/>
      <c r="AA41" s="20"/>
      <c r="AB41" s="20"/>
      <c r="AC41" s="20"/>
    </row>
    <row r="42" spans="1:31" s="157" customFormat="1" ht="17.100000000000001" hidden="1" customHeight="1">
      <c r="A42" s="16"/>
      <c r="B42" s="16"/>
      <c r="C42" s="16"/>
      <c r="D42" s="16"/>
      <c r="E42" s="16"/>
      <c r="F42" s="16"/>
      <c r="G42" s="16"/>
      <c r="H42" s="16"/>
      <c r="I42" s="16"/>
      <c r="J42" s="16"/>
      <c r="K42" s="16"/>
      <c r="L42" s="16"/>
      <c r="M42" s="16"/>
      <c r="N42" s="16"/>
      <c r="O42" s="16"/>
      <c r="P42" s="16"/>
      <c r="Q42" s="20"/>
      <c r="R42" s="20"/>
      <c r="S42" s="20"/>
      <c r="T42" s="20"/>
      <c r="U42" s="20"/>
      <c r="V42" s="20"/>
      <c r="W42" s="20"/>
      <c r="X42" s="20"/>
      <c r="Y42" s="20"/>
      <c r="Z42" s="20"/>
      <c r="AA42" s="20"/>
      <c r="AB42" s="20"/>
      <c r="AC42" s="20"/>
    </row>
    <row r="43" spans="1:31" s="157" customFormat="1" ht="17.100000000000001" hidden="1" customHeight="1">
      <c r="A43" s="16"/>
      <c r="B43" s="16"/>
      <c r="C43" s="16"/>
      <c r="D43" s="16"/>
      <c r="E43" s="16"/>
      <c r="F43" s="16"/>
      <c r="G43" s="16"/>
      <c r="H43" s="16"/>
      <c r="I43" s="16"/>
      <c r="J43" s="16"/>
      <c r="K43" s="16"/>
      <c r="L43" s="16"/>
      <c r="M43" s="16"/>
      <c r="N43" s="16"/>
      <c r="O43" s="16"/>
      <c r="P43" s="16"/>
      <c r="Q43" s="20"/>
      <c r="R43" s="20"/>
      <c r="S43" s="20"/>
      <c r="T43" s="20"/>
      <c r="U43" s="20"/>
      <c r="V43" s="20"/>
      <c r="W43" s="20"/>
      <c r="X43" s="20"/>
      <c r="Y43" s="20"/>
      <c r="Z43" s="20"/>
      <c r="AA43" s="20"/>
      <c r="AB43" s="20"/>
      <c r="AC43" s="20"/>
    </row>
    <row r="44" spans="1:31" s="157" customFormat="1" ht="17.100000000000001" hidden="1" customHeight="1">
      <c r="A44" s="16"/>
      <c r="B44" s="16"/>
      <c r="C44" s="16"/>
      <c r="D44" s="16"/>
      <c r="E44" s="16"/>
      <c r="F44" s="16"/>
      <c r="G44" s="16"/>
      <c r="H44" s="16"/>
      <c r="I44" s="16"/>
      <c r="J44" s="16"/>
      <c r="K44" s="16"/>
      <c r="L44" s="16"/>
      <c r="M44" s="16"/>
      <c r="N44" s="16"/>
      <c r="O44" s="16"/>
      <c r="P44" s="16"/>
      <c r="Q44" s="20"/>
      <c r="R44" s="20"/>
      <c r="S44" s="20"/>
      <c r="T44" s="20"/>
      <c r="U44" s="20"/>
      <c r="V44" s="20"/>
      <c r="W44" s="20"/>
      <c r="X44" s="20"/>
      <c r="Y44" s="20"/>
      <c r="Z44" s="20"/>
      <c r="AA44" s="20"/>
      <c r="AB44" s="20"/>
      <c r="AC44" s="20"/>
    </row>
    <row r="45" spans="1:31" s="157" customFormat="1" ht="17.100000000000001" hidden="1" customHeight="1">
      <c r="A45" s="16"/>
      <c r="B45" s="16"/>
      <c r="C45" s="16"/>
      <c r="D45" s="16"/>
      <c r="E45" s="16"/>
      <c r="F45" s="16"/>
      <c r="G45" s="16"/>
      <c r="H45" s="16"/>
      <c r="I45" s="16"/>
      <c r="J45" s="16"/>
      <c r="K45" s="16"/>
      <c r="L45" s="16"/>
      <c r="M45" s="16"/>
      <c r="N45" s="16"/>
      <c r="O45" s="16"/>
      <c r="P45" s="16"/>
      <c r="Q45" s="20"/>
      <c r="R45" s="20"/>
      <c r="S45" s="20"/>
      <c r="T45" s="20"/>
      <c r="U45" s="20"/>
      <c r="V45" s="20"/>
      <c r="W45" s="20"/>
      <c r="X45" s="20"/>
      <c r="Y45" s="20"/>
      <c r="Z45" s="20"/>
      <c r="AA45" s="20"/>
      <c r="AB45" s="20"/>
      <c r="AC45" s="20"/>
    </row>
    <row r="46" spans="1:31" s="157" customFormat="1" ht="17.100000000000001" hidden="1" customHeight="1">
      <c r="A46" s="16"/>
      <c r="B46" s="16"/>
      <c r="C46" s="16"/>
      <c r="D46" s="338"/>
      <c r="E46" s="338"/>
      <c r="F46" s="338"/>
      <c r="G46" s="338"/>
      <c r="H46" s="338"/>
      <c r="I46" s="338"/>
      <c r="J46" s="338"/>
      <c r="K46" s="338"/>
      <c r="L46" s="338"/>
      <c r="M46" s="338"/>
      <c r="N46" s="338"/>
      <c r="O46" s="16"/>
      <c r="P46" s="16"/>
      <c r="Q46" s="20"/>
      <c r="R46" s="336"/>
      <c r="S46" s="336"/>
      <c r="T46" s="336"/>
      <c r="U46" s="336"/>
      <c r="V46" s="336"/>
      <c r="W46" s="336"/>
      <c r="X46" s="336"/>
      <c r="Y46" s="336"/>
      <c r="Z46" s="336"/>
      <c r="AA46" s="336"/>
      <c r="AB46" s="338"/>
      <c r="AC46" s="20"/>
      <c r="AD46" s="340"/>
      <c r="AE46" s="340"/>
    </row>
    <row r="47" spans="1:31" ht="17.100000000000001" customHeight="1">
      <c r="A47" s="87"/>
      <c r="B47" s="87"/>
      <c r="C47" s="87"/>
      <c r="D47" s="371" t="s">
        <v>46</v>
      </c>
      <c r="E47" s="372">
        <v>1</v>
      </c>
      <c r="F47" s="372">
        <v>2</v>
      </c>
      <c r="G47" s="372">
        <v>3</v>
      </c>
      <c r="H47" s="372">
        <v>4</v>
      </c>
      <c r="I47" s="372">
        <v>5</v>
      </c>
      <c r="J47" s="372">
        <v>6</v>
      </c>
      <c r="K47" s="372">
        <v>7</v>
      </c>
      <c r="L47" s="372">
        <v>8</v>
      </c>
      <c r="M47" s="372">
        <v>9</v>
      </c>
      <c r="N47" s="372">
        <v>10</v>
      </c>
      <c r="O47" s="87"/>
      <c r="P47" s="87"/>
      <c r="Q47" s="324"/>
      <c r="R47" s="371" t="s">
        <v>46</v>
      </c>
      <c r="S47" s="372">
        <v>1</v>
      </c>
      <c r="T47" s="372">
        <v>2</v>
      </c>
      <c r="U47" s="372">
        <v>3</v>
      </c>
      <c r="V47" s="372">
        <v>4</v>
      </c>
      <c r="W47" s="372">
        <v>5</v>
      </c>
      <c r="X47" s="372">
        <v>6</v>
      </c>
      <c r="Y47" s="372">
        <v>7</v>
      </c>
      <c r="Z47" s="372">
        <v>8</v>
      </c>
      <c r="AA47" s="372">
        <v>9</v>
      </c>
      <c r="AB47" s="372">
        <v>10</v>
      </c>
      <c r="AC47" s="332"/>
      <c r="AD47" s="341"/>
    </row>
    <row r="48" spans="1:31" s="157" customFormat="1" ht="16.5" customHeight="1">
      <c r="A48" s="16"/>
      <c r="B48" s="16"/>
      <c r="C48" s="16"/>
      <c r="D48" s="373" t="s">
        <v>11</v>
      </c>
      <c r="E48" s="374" t="str">
        <f t="shared" ref="E48:N48" si="1">IF(ISBLANK(E14),"",E14)</f>
        <v>&lt;0.02</v>
      </c>
      <c r="F48" s="374" t="str">
        <f t="shared" si="1"/>
        <v>0.02-0.1</v>
      </c>
      <c r="G48" s="374" t="str">
        <f t="shared" si="1"/>
        <v>0.1-1</v>
      </c>
      <c r="H48" s="374" t="str">
        <f t="shared" si="1"/>
        <v>1-2.5</v>
      </c>
      <c r="I48" s="374" t="str">
        <f t="shared" si="1"/>
        <v>2.5-10</v>
      </c>
      <c r="J48" s="374" t="str">
        <f t="shared" si="1"/>
        <v>10-150</v>
      </c>
      <c r="K48" s="374" t="str">
        <f t="shared" si="1"/>
        <v>&gt;150</v>
      </c>
      <c r="L48" s="374" t="str">
        <f t="shared" si="1"/>
        <v/>
      </c>
      <c r="M48" s="374" t="str">
        <f t="shared" si="1"/>
        <v/>
      </c>
      <c r="N48" s="374" t="str">
        <f t="shared" si="1"/>
        <v/>
      </c>
      <c r="O48" s="16"/>
      <c r="P48" s="16"/>
      <c r="Q48" s="20"/>
      <c r="R48" s="373" t="s">
        <v>11</v>
      </c>
      <c r="S48" s="374" t="str">
        <f t="shared" ref="S48:AB48" si="2">IF(ISBLANK(S14),"",S14)</f>
        <v>&lt;0.02</v>
      </c>
      <c r="T48" s="374" t="str">
        <f t="shared" si="2"/>
        <v>0.02-0.1</v>
      </c>
      <c r="U48" s="374" t="str">
        <f t="shared" si="2"/>
        <v>0.1-1</v>
      </c>
      <c r="V48" s="374" t="str">
        <f t="shared" si="2"/>
        <v>1-2.5</v>
      </c>
      <c r="W48" s="374" t="str">
        <f t="shared" si="2"/>
        <v>2.5-10</v>
      </c>
      <c r="X48" s="374" t="str">
        <f t="shared" si="2"/>
        <v>10-150</v>
      </c>
      <c r="Y48" s="374" t="str">
        <f t="shared" si="2"/>
        <v>&gt;150</v>
      </c>
      <c r="Z48" s="374" t="str">
        <f t="shared" si="2"/>
        <v/>
      </c>
      <c r="AA48" s="374" t="str">
        <f t="shared" si="2"/>
        <v/>
      </c>
      <c r="AB48" s="374" t="str">
        <f t="shared" si="2"/>
        <v/>
      </c>
      <c r="AC48" s="18"/>
      <c r="AD48" s="340"/>
    </row>
    <row r="49" spans="1:29" s="157" customFormat="1" ht="17.100000000000001" hidden="1" customHeight="1">
      <c r="A49" s="16"/>
      <c r="B49" s="16"/>
      <c r="C49" s="16"/>
      <c r="D49" s="375"/>
      <c r="E49" s="375"/>
      <c r="F49" s="375"/>
      <c r="G49" s="375"/>
      <c r="H49" s="375"/>
      <c r="I49" s="375"/>
      <c r="J49" s="375"/>
      <c r="K49" s="375"/>
      <c r="L49" s="375"/>
      <c r="M49" s="375"/>
      <c r="N49" s="375"/>
      <c r="O49" s="16"/>
      <c r="P49" s="16"/>
      <c r="Q49" s="20"/>
      <c r="R49" s="377"/>
      <c r="S49" s="378"/>
      <c r="T49" s="378"/>
      <c r="U49" s="378"/>
      <c r="V49" s="378"/>
      <c r="W49" s="378"/>
      <c r="X49" s="378"/>
      <c r="Y49" s="379"/>
      <c r="Z49" s="380"/>
      <c r="AA49" s="380"/>
      <c r="AB49" s="380"/>
      <c r="AC49" s="18"/>
    </row>
    <row r="50" spans="1:29" s="157" customFormat="1" ht="17.100000000000001" customHeight="1">
      <c r="A50" s="16"/>
      <c r="B50" s="16"/>
      <c r="C50" s="16"/>
      <c r="D50" s="376" t="s">
        <v>822</v>
      </c>
      <c r="E50" s="323">
        <v>0.01</v>
      </c>
      <c r="F50" s="323">
        <v>0.05</v>
      </c>
      <c r="G50" s="323">
        <v>0.44</v>
      </c>
      <c r="H50" s="323">
        <v>0.1</v>
      </c>
      <c r="I50" s="323">
        <v>0.15</v>
      </c>
      <c r="J50" s="323">
        <v>0.24999999989999999</v>
      </c>
      <c r="K50" s="323">
        <v>1E-10</v>
      </c>
      <c r="L50" s="53"/>
      <c r="M50" s="53"/>
      <c r="N50" s="53"/>
      <c r="O50" s="16"/>
      <c r="P50" s="16"/>
      <c r="Q50" s="20"/>
      <c r="R50" s="376" t="s">
        <v>822</v>
      </c>
      <c r="S50" s="54">
        <v>1.534809272139372E-2</v>
      </c>
      <c r="T50" s="54">
        <v>8.7523425743885927E-2</v>
      </c>
      <c r="U50" s="54">
        <v>0.67593376587076059</v>
      </c>
      <c r="V50" s="54">
        <v>0.14093091039105643</v>
      </c>
      <c r="W50" s="54">
        <v>7.9353044202789172E-2</v>
      </c>
      <c r="X50" s="54">
        <v>9.0948185494114453E-4</v>
      </c>
      <c r="Y50" s="54">
        <v>1.2792151728473548E-6</v>
      </c>
      <c r="Z50" s="119"/>
      <c r="AA50" s="119"/>
      <c r="AB50" s="119"/>
      <c r="AC50" s="18"/>
    </row>
    <row r="51" spans="1:29" s="157" customFormat="1" ht="17.100000000000001" customHeight="1">
      <c r="A51" s="16"/>
      <c r="B51" s="16"/>
      <c r="C51" s="16"/>
      <c r="D51" s="158" t="s">
        <v>820</v>
      </c>
      <c r="E51" s="53">
        <v>2.0000000000000003E-13</v>
      </c>
      <c r="F51" s="53">
        <v>1.0000000000000002E-12</v>
      </c>
      <c r="G51" s="53">
        <v>8.8000000000000013E-12</v>
      </c>
      <c r="H51" s="53">
        <v>2.0000000000000004E-12</v>
      </c>
      <c r="I51" s="53">
        <v>3.0000000000000001E-12</v>
      </c>
      <c r="J51" s="53">
        <v>4.9999999980000006E-12</v>
      </c>
      <c r="K51" s="53">
        <v>2.0000000000000002E-21</v>
      </c>
      <c r="L51" s="53"/>
      <c r="M51" s="53"/>
      <c r="N51" s="53"/>
      <c r="O51" s="16"/>
      <c r="P51" s="16"/>
      <c r="Q51" s="20"/>
      <c r="R51" s="158" t="s">
        <v>820</v>
      </c>
      <c r="S51" s="53">
        <v>2.4943190675540071E-13</v>
      </c>
      <c r="T51" s="53">
        <v>1.4224005135590404E-12</v>
      </c>
      <c r="U51" s="53">
        <v>1.0985042319068836E-11</v>
      </c>
      <c r="V51" s="53">
        <v>2.2903605247716798E-12</v>
      </c>
      <c r="W51" s="53">
        <v>1.2896182920994196E-12</v>
      </c>
      <c r="X51" s="53">
        <v>1.4780585272409564E-14</v>
      </c>
      <c r="Y51" s="53">
        <v>2.078936357147448E-17</v>
      </c>
      <c r="Z51" s="120"/>
      <c r="AA51" s="120"/>
      <c r="AB51" s="120"/>
      <c r="AC51" s="18"/>
    </row>
    <row r="52" spans="1:29" s="157" customFormat="1" ht="17.100000000000001" customHeight="1">
      <c r="A52" s="16"/>
      <c r="B52" s="16"/>
      <c r="C52" s="16"/>
      <c r="D52" s="373" t="s">
        <v>821</v>
      </c>
      <c r="E52" s="321">
        <v>3.0000000000000005E-10</v>
      </c>
      <c r="F52" s="321">
        <v>1.5000000000000002E-9</v>
      </c>
      <c r="G52" s="321">
        <v>1.3200000000000002E-8</v>
      </c>
      <c r="H52" s="321">
        <v>3.0000000000000004E-9</v>
      </c>
      <c r="I52" s="321">
        <v>4.5000000000000006E-9</v>
      </c>
      <c r="J52" s="321">
        <v>7.4999999970000005E-9</v>
      </c>
      <c r="K52" s="321">
        <v>3.0000000000000002E-18</v>
      </c>
      <c r="L52" s="321"/>
      <c r="M52" s="321"/>
      <c r="N52" s="321"/>
      <c r="O52" s="16"/>
      <c r="P52" s="16"/>
      <c r="Q52" s="20"/>
      <c r="R52" s="373" t="s">
        <v>821</v>
      </c>
      <c r="S52" s="321">
        <v>3.7414786013310104E-10</v>
      </c>
      <c r="T52" s="321">
        <v>2.1336007703385605E-9</v>
      </c>
      <c r="U52" s="321">
        <v>1.6477563478603255E-8</v>
      </c>
      <c r="V52" s="321">
        <v>3.4355407871575199E-9</v>
      </c>
      <c r="W52" s="321">
        <v>1.9344274381491293E-9</v>
      </c>
      <c r="X52" s="321">
        <v>2.2170877908614345E-11</v>
      </c>
      <c r="Y52" s="321">
        <v>3.1184045357211721E-14</v>
      </c>
      <c r="Z52" s="322"/>
      <c r="AA52" s="322"/>
      <c r="AB52" s="322"/>
      <c r="AC52" s="18"/>
    </row>
    <row r="53" spans="1:29" s="157" customFormat="1" ht="17.100000000000001" customHeight="1">
      <c r="A53" s="16"/>
      <c r="B53" s="16"/>
      <c r="C53" s="16"/>
      <c r="D53" s="339"/>
      <c r="E53" s="339"/>
      <c r="F53" s="339"/>
      <c r="G53" s="339"/>
      <c r="H53" s="339"/>
      <c r="I53" s="339"/>
      <c r="J53" s="339"/>
      <c r="K53" s="339"/>
      <c r="L53" s="339"/>
      <c r="M53" s="339"/>
      <c r="N53" s="339"/>
      <c r="O53" s="16"/>
      <c r="P53" s="16"/>
      <c r="Q53" s="20"/>
      <c r="R53" s="376" t="s">
        <v>419</v>
      </c>
      <c r="S53" s="55">
        <v>2.4223289189225365E-4</v>
      </c>
      <c r="T53" s="55">
        <v>4.5969639770636279E-4</v>
      </c>
      <c r="U53" s="55">
        <v>7.2430473793827466E-4</v>
      </c>
      <c r="V53" s="55">
        <v>5.8227498018089282E-5</v>
      </c>
      <c r="W53" s="55">
        <v>1.3603715050779069E-5</v>
      </c>
      <c r="X53" s="55">
        <v>1.429020041652633E-5</v>
      </c>
      <c r="Y53" s="55">
        <v>3.3927935407067949E-7</v>
      </c>
      <c r="Z53" s="119"/>
      <c r="AA53" s="119"/>
      <c r="AB53" s="119"/>
      <c r="AC53" s="18"/>
    </row>
    <row r="54" spans="1:29" s="157" customFormat="1" ht="17.100000000000001" customHeight="1">
      <c r="A54" s="16"/>
      <c r="B54" s="16"/>
      <c r="C54" s="16"/>
      <c r="D54" s="16"/>
      <c r="E54" s="16"/>
      <c r="F54" s="16"/>
      <c r="G54" s="16"/>
      <c r="H54" s="16"/>
      <c r="I54" s="16"/>
      <c r="J54" s="16"/>
      <c r="K54" s="16"/>
      <c r="L54" s="16"/>
      <c r="M54" s="16"/>
      <c r="N54" s="16"/>
      <c r="O54" s="16"/>
      <c r="P54" s="16"/>
      <c r="Q54" s="20"/>
      <c r="R54" s="158" t="s">
        <v>420</v>
      </c>
      <c r="S54" s="53">
        <v>4.9631674046487279E-5</v>
      </c>
      <c r="T54" s="53">
        <v>9.4218629042079193E-5</v>
      </c>
      <c r="U54" s="53">
        <v>1.4614919153601693E-4</v>
      </c>
      <c r="V54" s="53">
        <v>3.0374874694723435E-5</v>
      </c>
      <c r="W54" s="53">
        <v>7.6679360171893648E-6</v>
      </c>
      <c r="X54" s="53">
        <v>1.3244688336767085E-5</v>
      </c>
      <c r="Y54" s="53">
        <v>3.0862178260209667E-7</v>
      </c>
      <c r="Z54" s="120"/>
      <c r="AA54" s="120"/>
      <c r="AB54" s="120"/>
      <c r="AC54" s="18"/>
    </row>
    <row r="55" spans="1:29" s="157" customFormat="1" ht="17.100000000000001" customHeight="1">
      <c r="A55" s="16"/>
      <c r="B55" s="16"/>
      <c r="C55" s="16"/>
      <c r="D55" s="16"/>
      <c r="E55" s="16"/>
      <c r="F55" s="16"/>
      <c r="G55" s="16"/>
      <c r="H55" s="16"/>
      <c r="I55" s="16"/>
      <c r="J55" s="16"/>
      <c r="K55" s="16"/>
      <c r="L55" s="16"/>
      <c r="M55" s="16"/>
      <c r="N55" s="16"/>
      <c r="O55" s="16"/>
      <c r="P55" s="16"/>
      <c r="Q55" s="20"/>
      <c r="R55" s="158" t="s">
        <v>421</v>
      </c>
      <c r="S55" s="53">
        <v>1.6348293235424217E-5</v>
      </c>
      <c r="T55" s="53">
        <v>3.1075709861894556E-5</v>
      </c>
      <c r="U55" s="53">
        <v>4.8063025877696969E-5</v>
      </c>
      <c r="V55" s="53">
        <v>7.8872388540763128E-6</v>
      </c>
      <c r="W55" s="53">
        <v>1.5357810172661696E-6</v>
      </c>
      <c r="X55" s="53">
        <v>5.9981250688541085E-7</v>
      </c>
      <c r="Y55" s="53">
        <v>8.4365537971181786E-9</v>
      </c>
      <c r="Z55" s="120"/>
      <c r="AA55" s="120"/>
      <c r="AB55" s="120"/>
      <c r="AC55" s="18"/>
    </row>
    <row r="56" spans="1:29" s="157" customFormat="1" ht="17.100000000000001" customHeight="1">
      <c r="A56" s="16"/>
      <c r="B56" s="16"/>
      <c r="C56" s="16"/>
      <c r="D56" s="16"/>
      <c r="E56" s="16"/>
      <c r="F56" s="16"/>
      <c r="G56" s="16"/>
      <c r="H56" s="16"/>
      <c r="I56" s="16"/>
      <c r="J56" s="16"/>
      <c r="K56" s="16"/>
      <c r="L56" s="16"/>
      <c r="M56" s="16"/>
      <c r="N56" s="16"/>
      <c r="O56" s="16"/>
      <c r="P56" s="16"/>
      <c r="Q56" s="20"/>
      <c r="R56" s="373" t="s">
        <v>422</v>
      </c>
      <c r="S56" s="321">
        <v>7.9933432555775888E-8</v>
      </c>
      <c r="T56" s="321">
        <v>4.558252269188692E-7</v>
      </c>
      <c r="U56" s="321">
        <v>3.5228679953456685E-6</v>
      </c>
      <c r="V56" s="321">
        <v>3.5188971624412139E-7</v>
      </c>
      <c r="W56" s="321">
        <v>8.818529418422547E-8</v>
      </c>
      <c r="X56" s="321">
        <v>3.9637193792960105E-10</v>
      </c>
      <c r="Y56" s="321">
        <v>5.5750974463325095E-13</v>
      </c>
      <c r="Z56" s="321"/>
      <c r="AA56" s="321"/>
      <c r="AB56" s="321"/>
      <c r="AC56" s="18"/>
    </row>
    <row r="57" spans="1:29" s="157" customFormat="1" ht="17.100000000000001" customHeight="1">
      <c r="A57" s="16"/>
      <c r="B57" s="16"/>
      <c r="C57" s="16"/>
      <c r="D57" s="16"/>
      <c r="E57" s="16"/>
      <c r="F57" s="16"/>
      <c r="G57" s="16"/>
      <c r="H57" s="16"/>
      <c r="I57" s="16"/>
      <c r="J57" s="16"/>
      <c r="K57" s="16"/>
      <c r="L57" s="16"/>
      <c r="M57" s="16"/>
      <c r="N57" s="16"/>
      <c r="O57" s="16"/>
      <c r="P57" s="16"/>
      <c r="Q57" s="20"/>
      <c r="R57" s="376" t="s">
        <v>423</v>
      </c>
      <c r="S57" s="55">
        <v>1.6148859459483578E-7</v>
      </c>
      <c r="T57" s="55">
        <v>3.0646426513757522E-7</v>
      </c>
      <c r="U57" s="55">
        <v>4.8286982529218315E-7</v>
      </c>
      <c r="V57" s="55">
        <v>3.8818332012059523E-8</v>
      </c>
      <c r="W57" s="55">
        <v>9.0691433671860456E-9</v>
      </c>
      <c r="X57" s="55">
        <v>9.5268002776842196E-9</v>
      </c>
      <c r="Y57" s="55">
        <v>2.2618623604711967E-10</v>
      </c>
      <c r="Z57" s="55"/>
      <c r="AA57" s="55"/>
      <c r="AB57" s="55"/>
      <c r="AC57" s="18"/>
    </row>
    <row r="58" spans="1:29" s="157" customFormat="1" ht="17.100000000000001" customHeight="1">
      <c r="A58" s="16"/>
      <c r="B58" s="16"/>
      <c r="C58" s="16"/>
      <c r="D58" s="16"/>
      <c r="E58" s="16"/>
      <c r="F58" s="16"/>
      <c r="G58" s="16"/>
      <c r="H58" s="16"/>
      <c r="I58" s="16"/>
      <c r="J58" s="16"/>
      <c r="K58" s="16"/>
      <c r="L58" s="16"/>
      <c r="M58" s="16"/>
      <c r="N58" s="16"/>
      <c r="O58" s="16"/>
      <c r="P58" s="16"/>
      <c r="Q58" s="20"/>
      <c r="R58" s="158" t="s">
        <v>424</v>
      </c>
      <c r="S58" s="53">
        <v>3.3087782697658186E-8</v>
      </c>
      <c r="T58" s="53">
        <v>6.2812419361386122E-8</v>
      </c>
      <c r="U58" s="53">
        <v>9.7432794357344622E-8</v>
      </c>
      <c r="V58" s="53">
        <v>2.0249916463148956E-8</v>
      </c>
      <c r="W58" s="53">
        <v>5.1119573447929098E-9</v>
      </c>
      <c r="X58" s="53">
        <v>8.8297922245113901E-9</v>
      </c>
      <c r="Y58" s="53">
        <v>2.0574785506806445E-10</v>
      </c>
      <c r="Z58" s="53"/>
      <c r="AA58" s="53"/>
      <c r="AB58" s="53"/>
      <c r="AC58" s="18"/>
    </row>
    <row r="59" spans="1:29" s="157" customFormat="1" ht="17.100000000000001" customHeight="1">
      <c r="A59" s="16"/>
      <c r="B59" s="16"/>
      <c r="C59" s="16"/>
      <c r="D59" s="16"/>
      <c r="E59" s="16"/>
      <c r="F59" s="16"/>
      <c r="G59" s="16"/>
      <c r="H59" s="16"/>
      <c r="I59" s="16"/>
      <c r="J59" s="16"/>
      <c r="K59" s="16"/>
      <c r="L59" s="16"/>
      <c r="M59" s="16"/>
      <c r="N59" s="16"/>
      <c r="O59" s="16"/>
      <c r="P59" s="16"/>
      <c r="Q59" s="20"/>
      <c r="R59" s="158" t="s">
        <v>425</v>
      </c>
      <c r="S59" s="53">
        <v>1.0898862156949477E-8</v>
      </c>
      <c r="T59" s="53">
        <v>2.0717139907929703E-8</v>
      </c>
      <c r="U59" s="53">
        <v>3.2042017251797979E-8</v>
      </c>
      <c r="V59" s="53">
        <v>5.2581592360508754E-9</v>
      </c>
      <c r="W59" s="53">
        <v>1.0238540115107796E-9</v>
      </c>
      <c r="X59" s="53">
        <v>3.9987500459027392E-10</v>
      </c>
      <c r="Y59" s="53">
        <v>5.6243691980787859E-12</v>
      </c>
      <c r="Z59" s="53"/>
      <c r="AA59" s="53"/>
      <c r="AB59" s="53"/>
      <c r="AC59" s="18"/>
    </row>
    <row r="60" spans="1:29" s="157" customFormat="1" ht="17.100000000000001" customHeight="1">
      <c r="A60" s="16"/>
      <c r="B60" s="16"/>
      <c r="C60" s="16"/>
      <c r="D60" s="16"/>
      <c r="E60" s="16"/>
      <c r="F60" s="16"/>
      <c r="G60" s="16"/>
      <c r="H60" s="16"/>
      <c r="I60" s="16"/>
      <c r="J60" s="16"/>
      <c r="K60" s="16"/>
      <c r="L60" s="16"/>
      <c r="M60" s="16"/>
      <c r="N60" s="16"/>
      <c r="O60" s="16"/>
      <c r="P60" s="16"/>
      <c r="Q60" s="16"/>
      <c r="R60" s="381" t="s">
        <v>426</v>
      </c>
      <c r="S60" s="56">
        <v>5.3288955037183922E-11</v>
      </c>
      <c r="T60" s="56">
        <v>3.0388348461257947E-10</v>
      </c>
      <c r="U60" s="56">
        <v>2.348578663563779E-9</v>
      </c>
      <c r="V60" s="56">
        <v>2.345931441627476E-10</v>
      </c>
      <c r="W60" s="56">
        <v>5.8790196122816981E-11</v>
      </c>
      <c r="X60" s="56">
        <v>2.6424795861973401E-13</v>
      </c>
      <c r="Y60" s="56">
        <v>3.7167316308883399E-16</v>
      </c>
      <c r="Z60" s="56"/>
      <c r="AA60" s="56"/>
      <c r="AB60" s="56"/>
      <c r="AC60" s="16"/>
    </row>
    <row r="61" spans="1:29" s="157" customFormat="1" ht="17.100000000000001" customHeight="1" thickBot="1">
      <c r="A61" s="16"/>
      <c r="B61" s="16"/>
      <c r="C61" s="16"/>
      <c r="D61" s="16"/>
      <c r="E61" s="16"/>
      <c r="F61" s="16"/>
      <c r="G61" s="16"/>
      <c r="H61" s="16"/>
      <c r="I61" s="16"/>
      <c r="J61" s="16"/>
      <c r="K61" s="16"/>
      <c r="L61" s="16"/>
      <c r="M61" s="16"/>
      <c r="N61" s="16"/>
      <c r="O61" s="16"/>
      <c r="P61" s="16"/>
      <c r="Q61" s="16"/>
      <c r="R61" s="382" t="s">
        <v>427</v>
      </c>
      <c r="S61" s="57">
        <v>1.2471595337770032</v>
      </c>
      <c r="T61" s="57">
        <v>1.4224005135590401</v>
      </c>
      <c r="U61" s="57">
        <v>1.2483002635305493</v>
      </c>
      <c r="V61" s="57">
        <v>1.1451802623858398</v>
      </c>
      <c r="W61" s="57">
        <v>0.42987276403313979</v>
      </c>
      <c r="X61" s="57">
        <v>2.9561170556643593E-3</v>
      </c>
      <c r="Y61" s="58">
        <v>10394.681785737239</v>
      </c>
      <c r="Z61" s="58"/>
      <c r="AA61" s="58"/>
      <c r="AB61" s="58"/>
      <c r="AC61" s="16"/>
    </row>
    <row r="62" spans="1:29" s="157" customFormat="1" ht="17.100000000000001" customHeight="1">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row>
    <row r="63" spans="1:29" ht="17.100000000000001" customHeight="1">
      <c r="A63" s="87"/>
      <c r="B63" s="87"/>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row>
    <row r="64" spans="1:29" ht="17.100000000000001" customHeight="1">
      <c r="A64" s="87"/>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row>
    <row r="65" spans="1:29" ht="17.100000000000001" customHeight="1">
      <c r="A65" s="87"/>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row>
    <row r="66" spans="1:29" ht="17.100000000000001" customHeight="1">
      <c r="A66" s="87"/>
      <c r="B66" s="87"/>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row>
    <row r="67" spans="1:29" ht="17.100000000000001" customHeight="1">
      <c r="A67" s="87"/>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row>
    <row r="68" spans="1:29" ht="17.100000000000001" customHeight="1">
      <c r="A68" s="87"/>
      <c r="B68" s="87"/>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row>
    <row r="69" spans="1:29">
      <c r="A69" s="87"/>
      <c r="B69" s="87"/>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row>
  </sheetData>
  <sheetProtection algorithmName="SHA-512" hashValue="23rpKqMLsuAsFl3C6kS9U/+AQJ3g4hvauomQFZ9eG48KzOSrDlrG0marUqOy/yqrW0YA8m1IJh5vLbOYKIz+5g==" saltValue="Y5VnRCcS2R+mqM/3viQmWg==" spinCount="100000" sheet="1" objects="1" scenarios="1"/>
  <phoneticPr fontId="2" type="noConversion"/>
  <pageMargins left="0.7" right="0.7" top="0.75" bottom="0.75" header="0.3" footer="0.3"/>
  <pageSetup paperSize="9" orientation="portrait"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O50"/>
  <sheetViews>
    <sheetView tabSelected="1" zoomScaleNormal="100" workbookViewId="0">
      <selection activeCell="R6" sqref="R6"/>
    </sheetView>
  </sheetViews>
  <sheetFormatPr defaultColWidth="9" defaultRowHeight="13.9"/>
  <cols>
    <col min="1" max="2" width="2" style="14" customWidth="1"/>
    <col min="3" max="3" width="50.3984375" style="14" customWidth="1"/>
    <col min="4" max="4" width="27.1328125" style="14" customWidth="1"/>
    <col min="5" max="5" width="2.3984375" style="14" customWidth="1"/>
    <col min="6" max="6" width="4.3984375" style="14" customWidth="1"/>
    <col min="7" max="7" width="23.3984375" style="14" customWidth="1"/>
    <col min="8" max="8" width="4.3984375" style="14" customWidth="1"/>
    <col min="9" max="9" width="7.86328125" style="14" customWidth="1"/>
    <col min="10" max="10" width="14.1328125" style="14" customWidth="1"/>
    <col min="11" max="13" width="7.86328125" style="14" customWidth="1"/>
    <col min="14" max="14" width="4.86328125" style="14" customWidth="1"/>
    <col min="15" max="15" width="3" style="14" customWidth="1"/>
    <col min="16" max="16" width="1.86328125" style="14" customWidth="1"/>
    <col min="17" max="38" width="9" style="14"/>
    <col min="39" max="39" width="16" style="19" customWidth="1"/>
    <col min="40" max="41" width="9" style="19"/>
    <col min="42" max="16384" width="9" style="14"/>
  </cols>
  <sheetData>
    <row r="1" spans="1:40" ht="20.25" customHeight="1">
      <c r="A1" s="11"/>
      <c r="B1" s="11"/>
      <c r="C1" s="64" t="s">
        <v>1133</v>
      </c>
      <c r="E1" s="12"/>
      <c r="F1" s="37"/>
      <c r="G1" s="12"/>
      <c r="H1" s="12"/>
      <c r="I1" s="12"/>
      <c r="J1" s="12"/>
      <c r="K1" s="12"/>
      <c r="L1" s="12"/>
      <c r="M1" s="12"/>
      <c r="N1" s="12"/>
      <c r="O1" s="12"/>
      <c r="P1" s="12"/>
      <c r="Q1" s="13"/>
      <c r="R1" s="13"/>
      <c r="S1" s="13"/>
      <c r="T1" s="13"/>
      <c r="U1" s="13"/>
      <c r="V1" s="13"/>
      <c r="W1" s="13"/>
      <c r="X1" s="13"/>
      <c r="Y1" s="13"/>
      <c r="Z1" s="13"/>
      <c r="AA1" s="13"/>
      <c r="AB1" s="13"/>
      <c r="AC1" s="13"/>
      <c r="AD1" s="13"/>
      <c r="AE1" s="13"/>
      <c r="AF1" s="13"/>
      <c r="AG1" s="13"/>
      <c r="AH1" s="13"/>
      <c r="AM1" s="35" t="s">
        <v>7</v>
      </c>
      <c r="AN1" s="35">
        <f>SimulationEnds-EmissionStartYear</f>
        <v>5</v>
      </c>
    </row>
    <row r="2" spans="1:40" ht="90" customHeight="1">
      <c r="A2" s="11"/>
      <c r="B2" s="11"/>
      <c r="C2" s="65" t="s">
        <v>542</v>
      </c>
      <c r="D2" s="29"/>
      <c r="E2" s="11"/>
      <c r="F2" s="11"/>
      <c r="G2" s="11"/>
      <c r="H2" s="11"/>
      <c r="I2" s="11"/>
      <c r="J2" s="11"/>
      <c r="K2" s="11"/>
      <c r="L2" s="11"/>
      <c r="M2" s="11"/>
      <c r="N2" s="11"/>
      <c r="O2" s="11"/>
      <c r="P2" s="11"/>
      <c r="Q2" s="13"/>
      <c r="R2" s="13"/>
      <c r="S2" s="13"/>
      <c r="T2" s="13"/>
      <c r="U2" s="13"/>
      <c r="V2" s="13"/>
      <c r="W2" s="13"/>
      <c r="X2" s="13"/>
      <c r="Y2" s="13"/>
      <c r="Z2" s="13"/>
      <c r="AA2" s="13"/>
      <c r="AB2" s="13"/>
      <c r="AC2" s="13"/>
      <c r="AD2" s="13"/>
      <c r="AE2" s="13"/>
      <c r="AF2" s="13"/>
      <c r="AG2" s="13"/>
      <c r="AH2" s="13"/>
      <c r="AM2" s="35" t="s">
        <v>8</v>
      </c>
      <c r="AN2" s="35">
        <f>IFERROR(MATCH($D$4, DB_chem!3:3, 0),0)-3</f>
        <v>159</v>
      </c>
    </row>
    <row r="3" spans="1:40" ht="20.25" customHeight="1">
      <c r="A3" s="11"/>
      <c r="B3" s="15"/>
      <c r="C3" s="66" t="s">
        <v>537</v>
      </c>
      <c r="D3" s="67"/>
      <c r="E3" s="24"/>
      <c r="F3" s="21"/>
      <c r="G3" s="21"/>
      <c r="H3" s="21"/>
      <c r="I3" s="21"/>
      <c r="J3" s="21"/>
      <c r="K3" s="11"/>
      <c r="L3" s="11"/>
      <c r="M3" s="11"/>
      <c r="N3" s="11"/>
      <c r="O3" s="11"/>
      <c r="P3" s="11"/>
      <c r="Q3" s="13"/>
      <c r="R3" s="13"/>
      <c r="S3" s="13"/>
      <c r="T3" s="13"/>
      <c r="U3" s="13"/>
      <c r="V3" s="13"/>
      <c r="W3" s="13"/>
      <c r="X3" s="13"/>
      <c r="Y3" s="13"/>
      <c r="Z3" s="13"/>
      <c r="AA3" s="13"/>
      <c r="AB3" s="13"/>
      <c r="AC3" s="13"/>
      <c r="AD3" s="13"/>
      <c r="AE3" s="13"/>
      <c r="AF3" s="13"/>
      <c r="AG3" s="13"/>
      <c r="AH3" s="13"/>
      <c r="AM3" s="35" t="s">
        <v>877</v>
      </c>
      <c r="AN3" s="35">
        <f>IFERROR(MATCH($D$5,DB_pop!2:2,0),0)-1</f>
        <v>3</v>
      </c>
    </row>
    <row r="4" spans="1:40" ht="17.850000000000001" customHeight="1">
      <c r="A4" s="11"/>
      <c r="B4" s="11"/>
      <c r="C4" s="68" t="s">
        <v>535</v>
      </c>
      <c r="D4" s="362" t="s">
        <v>937</v>
      </c>
      <c r="E4" s="26" t="s">
        <v>151</v>
      </c>
      <c r="F4" s="26"/>
      <c r="G4" s="26"/>
      <c r="H4" s="26"/>
      <c r="I4" s="26"/>
      <c r="J4" s="26"/>
      <c r="K4" s="11"/>
      <c r="L4" s="11"/>
      <c r="M4" s="11"/>
      <c r="N4" s="11"/>
      <c r="O4" s="11"/>
      <c r="P4" s="11"/>
      <c r="Q4" s="13"/>
      <c r="R4" s="13"/>
      <c r="S4" s="13"/>
      <c r="T4" s="13"/>
      <c r="U4" s="13"/>
      <c r="V4" s="13"/>
      <c r="W4" s="13"/>
      <c r="X4" s="13"/>
      <c r="Y4" s="13"/>
      <c r="Z4" s="13"/>
      <c r="AA4" s="13"/>
      <c r="AB4" s="13"/>
      <c r="AC4" s="13"/>
      <c r="AD4" s="13"/>
      <c r="AE4" s="13"/>
      <c r="AF4" s="13"/>
      <c r="AG4" s="13"/>
      <c r="AH4" s="13"/>
      <c r="AM4" s="35" t="s">
        <v>9</v>
      </c>
      <c r="AN4" s="35">
        <f>IFERROR(MATCH($D$6,DB_env!5:5,0),0)-1</f>
        <v>2</v>
      </c>
    </row>
    <row r="5" spans="1:40" ht="17.850000000000001" customHeight="1">
      <c r="A5" s="11"/>
      <c r="B5" s="11"/>
      <c r="C5" s="69" t="s">
        <v>536</v>
      </c>
      <c r="D5" s="360" t="s">
        <v>228</v>
      </c>
      <c r="E5" s="26"/>
      <c r="F5" s="26"/>
      <c r="G5" s="26"/>
      <c r="H5" s="26"/>
      <c r="I5" s="26"/>
      <c r="J5" s="26"/>
      <c r="K5" s="11"/>
      <c r="L5" s="11"/>
      <c r="M5" s="11"/>
      <c r="N5" s="11"/>
      <c r="O5" s="11"/>
      <c r="P5" s="11"/>
      <c r="Q5" s="13"/>
      <c r="R5" s="13"/>
      <c r="S5" s="13"/>
      <c r="T5" s="13"/>
      <c r="U5" s="13"/>
      <c r="V5" s="13"/>
      <c r="W5" s="13"/>
      <c r="X5" s="13"/>
      <c r="Y5" s="13"/>
      <c r="Z5" s="13"/>
      <c r="AA5" s="13"/>
      <c r="AB5" s="13"/>
      <c r="AC5" s="13"/>
      <c r="AD5" s="13"/>
      <c r="AE5" s="13"/>
      <c r="AF5" s="13"/>
      <c r="AG5" s="13"/>
      <c r="AH5" s="13"/>
      <c r="AM5" s="35" t="s">
        <v>108</v>
      </c>
      <c r="AN5" s="35" t="b">
        <v>1</v>
      </c>
    </row>
    <row r="6" spans="1:40" ht="17.850000000000001" customHeight="1">
      <c r="A6" s="11"/>
      <c r="B6" s="11"/>
      <c r="C6" s="69" t="s">
        <v>226</v>
      </c>
      <c r="D6" s="360" t="s">
        <v>1130</v>
      </c>
      <c r="E6" s="26" t="s">
        <v>151</v>
      </c>
      <c r="F6" s="26"/>
      <c r="G6" s="26"/>
      <c r="H6" s="26"/>
      <c r="I6" s="26"/>
      <c r="J6" s="26"/>
      <c r="K6" s="11"/>
      <c r="L6" s="11"/>
      <c r="M6" s="11"/>
      <c r="N6" s="11"/>
      <c r="O6" s="11"/>
      <c r="P6" s="11"/>
      <c r="Q6" s="13"/>
      <c r="R6" s="13"/>
      <c r="S6" s="13"/>
      <c r="T6" s="13"/>
      <c r="U6" s="13"/>
      <c r="V6" s="13"/>
      <c r="W6" s="13"/>
      <c r="X6" s="13"/>
      <c r="Y6" s="13"/>
      <c r="Z6" s="13"/>
      <c r="AA6" s="13"/>
      <c r="AB6" s="13"/>
      <c r="AC6" s="13"/>
      <c r="AD6" s="13"/>
      <c r="AE6" s="13"/>
      <c r="AF6" s="13"/>
      <c r="AG6" s="13"/>
      <c r="AH6" s="13"/>
      <c r="AM6" s="35"/>
      <c r="AN6" s="35"/>
    </row>
    <row r="7" spans="1:40" ht="17.850000000000001" customHeight="1">
      <c r="A7" s="11"/>
      <c r="B7" s="11"/>
      <c r="C7" s="77" t="s">
        <v>534</v>
      </c>
      <c r="D7" s="360" t="s">
        <v>759</v>
      </c>
      <c r="E7" s="26"/>
      <c r="F7" s="26"/>
      <c r="G7" s="26"/>
      <c r="H7" s="26"/>
      <c r="I7" s="26"/>
      <c r="J7" s="26"/>
      <c r="K7" s="11"/>
      <c r="L7" s="11"/>
      <c r="M7" s="11"/>
      <c r="N7" s="11"/>
      <c r="O7" s="11"/>
      <c r="P7" s="11"/>
      <c r="Q7" s="13"/>
      <c r="R7" s="13"/>
      <c r="S7" s="13"/>
      <c r="T7" s="13"/>
      <c r="U7" s="13"/>
      <c r="V7" s="13"/>
      <c r="W7" s="13"/>
      <c r="X7" s="13"/>
      <c r="Y7" s="13"/>
      <c r="Z7" s="13"/>
      <c r="AA7" s="13"/>
      <c r="AB7" s="13"/>
      <c r="AC7" s="13"/>
      <c r="AD7" s="13"/>
      <c r="AE7" s="13"/>
      <c r="AF7" s="13"/>
      <c r="AG7" s="13"/>
      <c r="AH7" s="13"/>
      <c r="AM7" s="35"/>
      <c r="AN7" s="35"/>
    </row>
    <row r="8" spans="1:40" ht="18" customHeight="1">
      <c r="A8" s="11"/>
      <c r="B8" s="11"/>
      <c r="C8" s="66" t="s">
        <v>230</v>
      </c>
      <c r="D8" s="67"/>
      <c r="E8" s="26"/>
      <c r="F8" s="26"/>
      <c r="G8" s="26"/>
      <c r="H8" s="26"/>
      <c r="I8" s="26"/>
      <c r="J8" s="26"/>
      <c r="K8" s="11"/>
      <c r="L8" s="11"/>
      <c r="M8" s="11"/>
      <c r="N8" s="11"/>
      <c r="O8" s="11"/>
      <c r="P8" s="11"/>
      <c r="Q8" s="13"/>
      <c r="R8" s="13"/>
      <c r="S8" s="13"/>
      <c r="T8" s="13"/>
      <c r="U8" s="13"/>
      <c r="V8" s="13"/>
      <c r="W8" s="13"/>
      <c r="X8" s="13"/>
      <c r="Y8" s="13"/>
      <c r="Z8" s="13"/>
      <c r="AA8" s="13"/>
      <c r="AB8" s="13"/>
      <c r="AC8" s="13"/>
      <c r="AD8" s="13"/>
      <c r="AE8" s="13"/>
      <c r="AF8" s="13"/>
      <c r="AG8" s="13"/>
      <c r="AH8" s="13"/>
      <c r="AM8" s="35"/>
      <c r="AN8" s="35"/>
    </row>
    <row r="9" spans="1:40" ht="18" customHeight="1">
      <c r="A9" s="11"/>
      <c r="B9" s="11"/>
      <c r="C9" s="69" t="s">
        <v>805</v>
      </c>
      <c r="D9" s="361">
        <v>2025</v>
      </c>
      <c r="E9" s="26"/>
      <c r="F9" s="26"/>
      <c r="G9" s="26"/>
      <c r="H9" s="26"/>
      <c r="I9" s="26"/>
      <c r="J9" s="26"/>
      <c r="K9" s="11"/>
      <c r="L9" s="11"/>
      <c r="M9" s="11"/>
      <c r="N9" s="11"/>
      <c r="O9" s="11"/>
      <c r="P9" s="11"/>
      <c r="Q9" s="13"/>
      <c r="R9" s="13"/>
      <c r="S9" s="13"/>
      <c r="T9" s="13"/>
      <c r="U9" s="13"/>
      <c r="V9" s="13"/>
      <c r="W9" s="13"/>
      <c r="X9" s="13"/>
      <c r="Y9" s="13"/>
      <c r="Z9" s="13"/>
      <c r="AA9" s="13"/>
      <c r="AB9" s="13"/>
      <c r="AC9" s="13"/>
      <c r="AD9" s="13"/>
      <c r="AE9" s="13"/>
      <c r="AF9" s="13"/>
      <c r="AG9" s="13"/>
      <c r="AH9" s="13"/>
      <c r="AM9" s="35"/>
      <c r="AN9" s="35"/>
    </row>
    <row r="10" spans="1:40" ht="18" customHeight="1">
      <c r="A10" s="11"/>
      <c r="B10" s="11"/>
      <c r="C10" s="69" t="s">
        <v>806</v>
      </c>
      <c r="D10" s="361">
        <v>2030</v>
      </c>
      <c r="E10" s="26"/>
      <c r="F10" s="26"/>
      <c r="G10" s="26"/>
      <c r="H10" s="26"/>
      <c r="I10" s="26"/>
      <c r="J10" s="26"/>
      <c r="K10" s="11"/>
      <c r="L10" s="11"/>
      <c r="M10" s="11"/>
      <c r="N10" s="11"/>
      <c r="O10" s="11"/>
      <c r="P10" s="11"/>
      <c r="Q10" s="13"/>
      <c r="R10" s="13"/>
      <c r="S10" s="13"/>
      <c r="T10" s="13"/>
      <c r="U10" s="13"/>
      <c r="V10" s="13"/>
      <c r="W10" s="13"/>
      <c r="X10" s="13"/>
      <c r="Y10" s="13"/>
      <c r="Z10" s="13"/>
      <c r="AA10" s="13"/>
      <c r="AB10" s="13"/>
      <c r="AC10" s="13"/>
      <c r="AD10" s="13"/>
      <c r="AE10" s="13"/>
      <c r="AF10" s="13"/>
      <c r="AG10" s="13"/>
      <c r="AH10" s="13"/>
      <c r="AM10" s="35" t="s">
        <v>42</v>
      </c>
      <c r="AN10" s="35">
        <v>1</v>
      </c>
    </row>
    <row r="11" spans="1:40" ht="18" customHeight="1">
      <c r="A11" s="11"/>
      <c r="B11" s="11"/>
      <c r="C11" s="69" t="s">
        <v>531</v>
      </c>
      <c r="D11" s="361">
        <v>2000</v>
      </c>
      <c r="E11" s="26"/>
      <c r="F11" s="27"/>
      <c r="G11" s="27"/>
      <c r="H11" s="27"/>
      <c r="I11" s="27"/>
      <c r="J11" s="27"/>
      <c r="K11" s="11"/>
      <c r="L11" s="11"/>
      <c r="M11" s="11"/>
      <c r="N11" s="11"/>
      <c r="O11" s="11"/>
      <c r="P11" s="11"/>
      <c r="Q11" s="13"/>
      <c r="R11" s="13"/>
      <c r="S11" s="13"/>
      <c r="T11" s="13"/>
      <c r="U11" s="13"/>
      <c r="V11" s="13"/>
      <c r="W11" s="13"/>
      <c r="X11" s="13"/>
      <c r="Y11" s="13"/>
      <c r="Z11" s="13"/>
      <c r="AA11" s="13"/>
      <c r="AB11" s="13"/>
      <c r="AC11" s="13"/>
      <c r="AD11" s="13"/>
      <c r="AE11" s="13"/>
      <c r="AF11" s="13"/>
      <c r="AG11" s="13"/>
      <c r="AH11" s="13"/>
      <c r="AM11" s="35" t="s">
        <v>57</v>
      </c>
      <c r="AN11" s="35">
        <v>1</v>
      </c>
    </row>
    <row r="12" spans="1:40" ht="20.25" customHeight="1">
      <c r="A12" s="11"/>
      <c r="B12" s="11"/>
      <c r="C12" s="66" t="s">
        <v>124</v>
      </c>
      <c r="D12" s="67"/>
      <c r="E12" s="28"/>
      <c r="F12" s="66" t="s">
        <v>56</v>
      </c>
      <c r="G12" s="71"/>
      <c r="H12" s="71"/>
      <c r="I12" s="71"/>
      <c r="J12" s="72"/>
      <c r="K12" s="25"/>
      <c r="L12" s="11"/>
      <c r="M12" s="11"/>
      <c r="N12" s="11"/>
      <c r="O12" s="11"/>
      <c r="P12" s="11"/>
      <c r="Q12" s="13"/>
      <c r="R12" s="13"/>
      <c r="S12" s="13"/>
      <c r="T12" s="13"/>
      <c r="U12" s="13"/>
      <c r="V12" s="13"/>
      <c r="W12" s="13"/>
      <c r="X12" s="13"/>
      <c r="Y12" s="13"/>
      <c r="Z12" s="13"/>
      <c r="AA12" s="13"/>
      <c r="AB12" s="13"/>
      <c r="AC12" s="13"/>
      <c r="AD12" s="13"/>
      <c r="AE12" s="13"/>
      <c r="AF12" s="13"/>
      <c r="AG12" s="13"/>
      <c r="AH12" s="13"/>
      <c r="AM12" s="35" t="s">
        <v>58</v>
      </c>
      <c r="AN12" s="35">
        <v>1</v>
      </c>
    </row>
    <row r="13" spans="1:40" ht="18" customHeight="1">
      <c r="A13" s="11"/>
      <c r="B13" s="11"/>
      <c r="C13" s="69" t="s">
        <v>123</v>
      </c>
      <c r="D13" s="360" t="s">
        <v>30</v>
      </c>
      <c r="E13" s="26"/>
      <c r="F13" s="73" t="s">
        <v>54</v>
      </c>
      <c r="G13" s="73"/>
      <c r="H13" s="73" t="s">
        <v>55</v>
      </c>
      <c r="I13" s="73"/>
      <c r="J13" s="68"/>
      <c r="K13" s="16"/>
      <c r="L13" s="16"/>
      <c r="M13" s="11"/>
      <c r="N13" s="11"/>
      <c r="O13" s="11"/>
      <c r="P13" s="11"/>
      <c r="Q13" s="13"/>
      <c r="R13" s="13"/>
      <c r="S13" s="13"/>
      <c r="T13" s="13"/>
      <c r="U13" s="13"/>
      <c r="V13" s="13"/>
      <c r="W13" s="13"/>
      <c r="X13" s="13"/>
      <c r="Y13" s="13"/>
      <c r="Z13" s="13"/>
      <c r="AA13" s="13"/>
      <c r="AB13" s="13"/>
      <c r="AC13" s="13"/>
      <c r="AD13" s="13"/>
      <c r="AE13" s="13"/>
      <c r="AF13" s="13"/>
      <c r="AG13" s="13"/>
      <c r="AH13" s="13"/>
      <c r="AM13" s="35" t="s">
        <v>59</v>
      </c>
      <c r="AN13" s="35">
        <v>1</v>
      </c>
    </row>
    <row r="14" spans="1:40" ht="18" customHeight="1">
      <c r="A14" s="11"/>
      <c r="B14" s="11"/>
      <c r="C14" s="69" t="s">
        <v>532</v>
      </c>
      <c r="D14" s="360" t="s">
        <v>30</v>
      </c>
      <c r="E14" s="26"/>
      <c r="F14" s="363">
        <v>1</v>
      </c>
      <c r="G14" s="74" t="s">
        <v>83</v>
      </c>
      <c r="H14" s="363">
        <v>1</v>
      </c>
      <c r="I14" s="69" t="s">
        <v>135</v>
      </c>
      <c r="J14" s="69"/>
      <c r="K14" s="17"/>
      <c r="L14" s="17"/>
      <c r="M14" s="11"/>
      <c r="N14" s="11"/>
      <c r="O14" s="11"/>
      <c r="P14" s="11"/>
      <c r="Q14" s="13"/>
      <c r="R14" s="13"/>
      <c r="S14" s="13"/>
      <c r="T14" s="13"/>
      <c r="U14" s="13"/>
      <c r="V14" s="13"/>
      <c r="W14" s="13"/>
      <c r="X14" s="13"/>
      <c r="Y14" s="13"/>
      <c r="Z14" s="13"/>
      <c r="AA14" s="13"/>
      <c r="AB14" s="13"/>
      <c r="AC14" s="13"/>
      <c r="AD14" s="13"/>
      <c r="AE14" s="13"/>
      <c r="AF14" s="13"/>
      <c r="AG14" s="13"/>
      <c r="AH14" s="13"/>
      <c r="AM14" s="35"/>
      <c r="AN14" s="35"/>
    </row>
    <row r="15" spans="1:40" ht="18" customHeight="1">
      <c r="A15" s="11"/>
      <c r="B15" s="11"/>
      <c r="C15" s="69" t="s">
        <v>966</v>
      </c>
      <c r="D15" s="360" t="s">
        <v>30</v>
      </c>
      <c r="E15" s="26"/>
      <c r="F15" s="363">
        <v>1</v>
      </c>
      <c r="G15" s="69" t="s">
        <v>37</v>
      </c>
      <c r="H15" s="363">
        <v>1</v>
      </c>
      <c r="I15" s="69" t="s">
        <v>40</v>
      </c>
      <c r="J15" s="69"/>
      <c r="K15" s="16"/>
      <c r="L15" s="16"/>
      <c r="M15" s="11"/>
      <c r="N15" s="11"/>
      <c r="O15" s="11"/>
      <c r="P15" s="11"/>
      <c r="Q15" s="13"/>
      <c r="R15" s="13"/>
      <c r="S15" s="13"/>
      <c r="T15" s="13"/>
      <c r="U15" s="13"/>
      <c r="V15" s="13"/>
      <c r="W15" s="13"/>
      <c r="X15" s="13"/>
      <c r="Y15" s="13"/>
      <c r="Z15" s="13"/>
      <c r="AA15" s="13"/>
      <c r="AB15" s="13"/>
      <c r="AC15" s="13"/>
      <c r="AD15" s="13"/>
      <c r="AE15" s="13"/>
      <c r="AF15" s="13"/>
      <c r="AG15" s="13"/>
      <c r="AH15" s="13"/>
      <c r="AM15" s="35" t="s">
        <v>150</v>
      </c>
      <c r="AN15" s="35">
        <v>0</v>
      </c>
    </row>
    <row r="16" spans="1:40" ht="18" customHeight="1">
      <c r="A16" s="11"/>
      <c r="B16" s="11"/>
      <c r="C16" s="69" t="s">
        <v>533</v>
      </c>
      <c r="D16" s="360" t="s">
        <v>30</v>
      </c>
      <c r="E16" s="26"/>
      <c r="F16" s="363">
        <v>1</v>
      </c>
      <c r="G16" s="69" t="s">
        <v>38</v>
      </c>
      <c r="H16" s="363">
        <v>1</v>
      </c>
      <c r="I16" s="69" t="s">
        <v>41</v>
      </c>
      <c r="J16" s="1"/>
      <c r="K16" s="16"/>
      <c r="L16" s="16"/>
      <c r="M16" s="11"/>
      <c r="N16" s="11"/>
      <c r="O16" s="11"/>
      <c r="P16" s="11"/>
      <c r="Q16" s="13"/>
      <c r="R16" s="13"/>
      <c r="S16" s="13"/>
      <c r="T16" s="13"/>
      <c r="U16" s="13"/>
      <c r="V16" s="13"/>
      <c r="W16" s="13"/>
      <c r="X16" s="13"/>
      <c r="Y16" s="13"/>
      <c r="Z16" s="13"/>
      <c r="AA16" s="13"/>
      <c r="AB16" s="13"/>
      <c r="AC16" s="13"/>
      <c r="AD16" s="13"/>
      <c r="AE16" s="13"/>
      <c r="AF16" s="13"/>
      <c r="AG16" s="13"/>
      <c r="AH16" s="13"/>
      <c r="AM16" s="35"/>
      <c r="AN16" s="35"/>
    </row>
    <row r="17" spans="1:41" ht="18" customHeight="1">
      <c r="A17" s="11"/>
      <c r="B17" s="11"/>
      <c r="C17" s="69" t="s">
        <v>149</v>
      </c>
      <c r="D17" s="360" t="s">
        <v>30</v>
      </c>
      <c r="E17" s="26"/>
      <c r="F17" s="363">
        <v>1</v>
      </c>
      <c r="G17" s="69" t="s">
        <v>39</v>
      </c>
      <c r="H17" s="69"/>
      <c r="I17" s="69"/>
      <c r="J17" s="69"/>
      <c r="K17" s="16"/>
      <c r="L17" s="16"/>
      <c r="M17" s="11"/>
      <c r="N17" s="11"/>
      <c r="O17" s="11"/>
      <c r="P17" s="11"/>
      <c r="Q17" s="13"/>
      <c r="R17" s="13"/>
      <c r="S17" s="13"/>
      <c r="T17" s="13"/>
      <c r="U17" s="13"/>
      <c r="V17" s="13"/>
      <c r="W17" s="13"/>
      <c r="X17" s="13"/>
      <c r="Y17" s="13"/>
      <c r="Z17" s="13"/>
      <c r="AA17" s="13"/>
      <c r="AB17" s="13"/>
      <c r="AC17" s="13"/>
      <c r="AD17" s="13"/>
      <c r="AE17" s="13"/>
      <c r="AF17" s="13"/>
      <c r="AG17" s="13"/>
      <c r="AH17" s="13"/>
      <c r="AM17" s="35"/>
      <c r="AN17" s="35"/>
    </row>
    <row r="18" spans="1:41" ht="18" customHeight="1">
      <c r="A18" s="11"/>
      <c r="B18" s="11"/>
      <c r="C18" s="27"/>
      <c r="D18" s="359"/>
      <c r="E18" s="27"/>
      <c r="F18" s="27"/>
      <c r="G18" s="27"/>
      <c r="H18" s="27"/>
      <c r="I18" s="27"/>
      <c r="J18" s="27"/>
      <c r="K18" s="27"/>
      <c r="L18" s="27"/>
      <c r="M18" s="27"/>
      <c r="N18" s="27"/>
      <c r="O18" s="11"/>
      <c r="P18" s="11"/>
      <c r="Q18" s="13"/>
      <c r="R18" s="13"/>
      <c r="S18" s="13"/>
      <c r="T18" s="13"/>
      <c r="U18" s="13"/>
      <c r="V18" s="13"/>
      <c r="W18" s="13"/>
      <c r="X18" s="13"/>
      <c r="Y18" s="13"/>
      <c r="Z18" s="13"/>
      <c r="AA18" s="13"/>
      <c r="AB18" s="13"/>
      <c r="AC18" s="13"/>
      <c r="AD18" s="13"/>
      <c r="AE18" s="13"/>
      <c r="AF18" s="13"/>
      <c r="AG18" s="13"/>
      <c r="AH18" s="13"/>
      <c r="AM18" s="35"/>
      <c r="AN18" s="35"/>
    </row>
    <row r="19" spans="1:41" s="355" customFormat="1" ht="18" customHeight="1">
      <c r="A19" s="114"/>
      <c r="B19" s="11"/>
      <c r="C19" s="27"/>
      <c r="D19" s="359"/>
      <c r="E19" s="27"/>
      <c r="F19" s="27"/>
      <c r="G19" s="27"/>
      <c r="H19" s="27"/>
      <c r="I19" s="27"/>
      <c r="J19" s="27"/>
      <c r="K19" s="27"/>
      <c r="L19" s="27"/>
      <c r="M19" s="27"/>
      <c r="N19" s="364" t="s">
        <v>1134</v>
      </c>
      <c r="O19" s="358"/>
      <c r="P19" s="114"/>
      <c r="Q19" s="354"/>
      <c r="R19" s="354"/>
      <c r="S19" s="354"/>
      <c r="T19" s="354"/>
      <c r="U19" s="354"/>
      <c r="V19" s="354"/>
      <c r="W19" s="354"/>
      <c r="X19" s="354"/>
      <c r="Y19" s="354"/>
      <c r="Z19" s="354"/>
      <c r="AA19" s="354"/>
      <c r="AB19" s="354"/>
      <c r="AC19" s="354"/>
      <c r="AD19" s="354"/>
      <c r="AE19" s="354"/>
      <c r="AF19" s="354"/>
      <c r="AG19" s="354"/>
      <c r="AH19" s="354"/>
      <c r="AM19" s="356"/>
      <c r="AN19" s="356"/>
      <c r="AO19" s="357"/>
    </row>
    <row r="20" spans="1:41" ht="14.45" customHeight="1">
      <c r="A20" s="11"/>
      <c r="B20" s="11"/>
      <c r="C20" s="27"/>
      <c r="D20" s="359"/>
      <c r="E20" s="27"/>
      <c r="F20" s="27"/>
      <c r="G20" s="27"/>
      <c r="H20" s="27"/>
      <c r="I20" s="27"/>
      <c r="J20" s="27"/>
      <c r="K20" s="27"/>
      <c r="L20" s="27"/>
      <c r="M20" s="27"/>
      <c r="N20" s="27"/>
      <c r="O20" s="11"/>
      <c r="P20" s="11"/>
      <c r="Q20" s="13"/>
      <c r="R20" s="13"/>
      <c r="S20" s="13"/>
      <c r="T20" s="13"/>
      <c r="U20" s="13"/>
      <c r="V20" s="13"/>
      <c r="W20" s="13"/>
      <c r="X20" s="13"/>
      <c r="Y20" s="13"/>
      <c r="Z20" s="13"/>
      <c r="AA20" s="13"/>
      <c r="AB20" s="13"/>
      <c r="AC20" s="13"/>
      <c r="AD20" s="13"/>
      <c r="AE20" s="13"/>
      <c r="AF20" s="13"/>
      <c r="AG20" s="13"/>
      <c r="AH20" s="13"/>
      <c r="AM20" s="35" t="s">
        <v>121</v>
      </c>
      <c r="AN20" s="35" t="s">
        <v>122</v>
      </c>
    </row>
    <row r="21" spans="1:41" ht="14.45" customHeight="1">
      <c r="A21" s="11"/>
      <c r="B21" s="11"/>
      <c r="D21" s="11"/>
      <c r="E21" s="21"/>
      <c r="F21" s="21"/>
      <c r="G21" s="21"/>
      <c r="H21" s="21"/>
      <c r="I21" s="21"/>
      <c r="J21" s="21"/>
      <c r="K21" s="11"/>
      <c r="L21" s="11"/>
      <c r="M21" s="11"/>
      <c r="N21" s="11"/>
      <c r="O21" s="11"/>
      <c r="P21" s="11"/>
      <c r="Q21" s="13"/>
      <c r="R21" s="13"/>
      <c r="S21" s="13"/>
      <c r="T21" s="13"/>
      <c r="U21" s="13"/>
      <c r="V21" s="13"/>
      <c r="W21" s="13"/>
      <c r="X21" s="13"/>
      <c r="Y21" s="13"/>
      <c r="Z21" s="13"/>
      <c r="AA21" s="13"/>
      <c r="AB21" s="13"/>
      <c r="AC21" s="13"/>
      <c r="AD21" s="13"/>
      <c r="AE21" s="13"/>
      <c r="AF21" s="13"/>
      <c r="AG21" s="13"/>
      <c r="AH21" s="13"/>
      <c r="AM21" s="36" t="s">
        <v>31</v>
      </c>
      <c r="AN21" s="35">
        <v>1</v>
      </c>
    </row>
    <row r="22" spans="1:41" ht="14.45" customHeight="1">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M22" s="36" t="s">
        <v>168</v>
      </c>
      <c r="AN22" s="35">
        <v>2</v>
      </c>
    </row>
    <row r="23" spans="1:41" ht="14.45" customHeight="1">
      <c r="A23" s="13"/>
      <c r="B23" s="13"/>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M23" s="36" t="s">
        <v>169</v>
      </c>
      <c r="AN23" s="35">
        <v>3</v>
      </c>
    </row>
    <row r="24" spans="1:41" ht="14.45" customHeight="1">
      <c r="A24" s="13"/>
      <c r="B24" s="13"/>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M24" s="36" t="s">
        <v>170</v>
      </c>
      <c r="AN24" s="35">
        <v>4</v>
      </c>
    </row>
    <row r="25" spans="1:41" ht="14.45" customHeight="1">
      <c r="A25" s="13"/>
      <c r="B25" s="13"/>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M25" s="36" t="s">
        <v>206</v>
      </c>
      <c r="AN25" s="35">
        <v>5</v>
      </c>
    </row>
    <row r="26" spans="1:41" ht="14.45" customHeight="1">
      <c r="A26" s="13"/>
      <c r="B26" s="13"/>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M26" s="36"/>
      <c r="AN26" s="35">
        <v>6</v>
      </c>
    </row>
    <row r="27" spans="1:41" ht="14.45" customHeight="1">
      <c r="A27" s="13"/>
      <c r="B27" s="13"/>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M27" s="36"/>
      <c r="AN27" s="35">
        <v>7</v>
      </c>
    </row>
    <row r="28" spans="1:41" ht="14.45" customHeight="1">
      <c r="A28" s="13"/>
      <c r="B28" s="13"/>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M28" s="36"/>
      <c r="AN28" s="35">
        <v>8</v>
      </c>
    </row>
    <row r="29" spans="1:41" ht="14.45" customHeight="1">
      <c r="A29" s="13"/>
      <c r="B29" s="13"/>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M29" s="36"/>
      <c r="AN29" s="35">
        <v>9</v>
      </c>
    </row>
    <row r="30" spans="1:41" ht="14.45" customHeight="1">
      <c r="A30" s="13"/>
      <c r="B30" s="13"/>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M30" s="36"/>
      <c r="AN30" s="35">
        <v>10</v>
      </c>
    </row>
    <row r="31" spans="1:41" ht="14.45" customHeight="1">
      <c r="A31" s="13"/>
      <c r="B31" s="13"/>
      <c r="C31" s="13"/>
      <c r="D31" s="13"/>
      <c r="E31" s="13"/>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M31" s="36" t="s">
        <v>111</v>
      </c>
      <c r="AN31" s="35">
        <v>11</v>
      </c>
    </row>
    <row r="32" spans="1:41" ht="14.45" customHeight="1">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M32" s="36" t="s">
        <v>112</v>
      </c>
      <c r="AN32" s="35">
        <v>12</v>
      </c>
    </row>
    <row r="33" spans="1:40" ht="14.45" customHeight="1">
      <c r="A33" s="13"/>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M33" s="36" t="s">
        <v>113</v>
      </c>
      <c r="AN33" s="35">
        <v>13</v>
      </c>
    </row>
    <row r="34" spans="1:40" ht="14.45" customHeight="1">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M34" s="36" t="s">
        <v>527</v>
      </c>
      <c r="AN34" s="35">
        <v>14</v>
      </c>
    </row>
    <row r="35" spans="1:40" ht="14.45" customHeight="1">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M35" s="36" t="s">
        <v>114</v>
      </c>
      <c r="AN35" s="35">
        <v>15</v>
      </c>
    </row>
    <row r="36" spans="1:40" ht="14.45" customHeight="1">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M36" s="36" t="s">
        <v>441</v>
      </c>
      <c r="AN36" s="35">
        <v>16</v>
      </c>
    </row>
    <row r="37" spans="1:40" ht="14.45" customHeight="1">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M37" s="36" t="s">
        <v>433</v>
      </c>
      <c r="AN37" s="35">
        <v>17</v>
      </c>
    </row>
    <row r="38" spans="1:40" ht="14.25">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M38" s="36" t="s">
        <v>434</v>
      </c>
      <c r="AN38" s="35">
        <v>18</v>
      </c>
    </row>
    <row r="39" spans="1:40" ht="14.25">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M39" s="36"/>
      <c r="AN39" s="35">
        <v>19</v>
      </c>
    </row>
    <row r="40" spans="1:40" ht="14.25">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M40" s="36"/>
      <c r="AN40" s="35">
        <v>20</v>
      </c>
    </row>
    <row r="41" spans="1:40" ht="14.25">
      <c r="A41" s="13"/>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M41" s="36" t="s">
        <v>115</v>
      </c>
      <c r="AN41" s="35">
        <v>21</v>
      </c>
    </row>
    <row r="42" spans="1:40" ht="14.25">
      <c r="A42" s="13"/>
      <c r="B42" s="13"/>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M42" s="36" t="s">
        <v>116</v>
      </c>
      <c r="AN42" s="35">
        <v>22</v>
      </c>
    </row>
    <row r="43" spans="1:40" ht="14.25">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M43" s="36" t="s">
        <v>117</v>
      </c>
      <c r="AN43" s="35">
        <v>23</v>
      </c>
    </row>
    <row r="44" spans="1:40" ht="14.25">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M44" s="36" t="s">
        <v>528</v>
      </c>
      <c r="AN44" s="35">
        <v>24</v>
      </c>
    </row>
    <row r="45" spans="1:40">
      <c r="AM45" s="36" t="s">
        <v>118</v>
      </c>
      <c r="AN45" s="35">
        <v>25</v>
      </c>
    </row>
    <row r="46" spans="1:40">
      <c r="AM46" s="36" t="s">
        <v>119</v>
      </c>
      <c r="AN46" s="35">
        <v>26</v>
      </c>
    </row>
    <row r="47" spans="1:40">
      <c r="AM47" s="36" t="s">
        <v>120</v>
      </c>
      <c r="AN47" s="35">
        <v>27</v>
      </c>
    </row>
    <row r="48" spans="1:40">
      <c r="AM48" s="36" t="s">
        <v>435</v>
      </c>
      <c r="AN48" s="35">
        <v>28</v>
      </c>
    </row>
    <row r="49" spans="39:40">
      <c r="AM49" s="36" t="s">
        <v>436</v>
      </c>
      <c r="AN49" s="35">
        <v>29</v>
      </c>
    </row>
    <row r="50" spans="39:40">
      <c r="AM50" s="36"/>
      <c r="AN50" s="35">
        <v>30</v>
      </c>
    </row>
  </sheetData>
  <phoneticPr fontId="2" type="noConversion"/>
  <dataValidations count="3">
    <dataValidation type="decimal" allowBlank="1" showInputMessage="1" showErrorMessage="1" sqref="F14:F17 H14:H16" xr:uid="{885F6C4C-789E-4CC1-BFF6-9E804579041C}">
      <formula1>0</formula1>
      <formula2>1</formula2>
    </dataValidation>
    <dataValidation type="list" allowBlank="1" showInputMessage="1" showErrorMessage="1" sqref="D7" xr:uid="{F6AB1820-6D9C-459E-BDA7-93F3E52586B7}">
      <formula1>"Male,Female"</formula1>
    </dataValidation>
    <dataValidation type="list" allowBlank="1" showInputMessage="1" showErrorMessage="1" sqref="D13:D17" xr:uid="{00000000-0002-0000-0000-000000000000}">
      <formula1>"Yes,No"</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cleanTotal">
                <anchor moveWithCells="1" sizeWithCells="1">
                  <from>
                    <xdr:col>10</xdr:col>
                    <xdr:colOff>38100</xdr:colOff>
                    <xdr:row>11</xdr:row>
                    <xdr:rowOff>0</xdr:rowOff>
                  </from>
                  <to>
                    <xdr:col>13</xdr:col>
                    <xdr:colOff>409575</xdr:colOff>
                    <xdr:row>13</xdr:row>
                    <xdr:rowOff>219075</xdr:rowOff>
                  </to>
                </anchor>
              </controlPr>
            </control>
          </mc:Choice>
        </mc:AlternateContent>
        <mc:AlternateContent xmlns:mc="http://schemas.openxmlformats.org/markup-compatibility/2006">
          <mc:Choice Requires="x14">
            <control shapeId="2052" r:id="rId5" name="Button 4">
              <controlPr defaultSize="0" print="0" autoFill="0" autoPict="0" macro="[0]!ChemSelect">
                <anchor moveWithCells="1" sizeWithCells="1">
                  <from>
                    <xdr:col>2</xdr:col>
                    <xdr:colOff>2676525</xdr:colOff>
                    <xdr:row>3</xdr:row>
                    <xdr:rowOff>9525</xdr:rowOff>
                  </from>
                  <to>
                    <xdr:col>2</xdr:col>
                    <xdr:colOff>3590925</xdr:colOff>
                    <xdr:row>3</xdr:row>
                    <xdr:rowOff>190500</xdr:rowOff>
                  </to>
                </anchor>
              </controlPr>
            </control>
          </mc:Choice>
        </mc:AlternateContent>
        <mc:AlternateContent xmlns:mc="http://schemas.openxmlformats.org/markup-compatibility/2006">
          <mc:Choice Requires="x14">
            <control shapeId="2064" r:id="rId6" name="Button 16">
              <controlPr defaultSize="0" print="0" autoFill="0" autoPict="0" macro="[0]!runTechnosphere">
                <anchor moveWithCells="1" sizeWithCells="1">
                  <from>
                    <xdr:col>6</xdr:col>
                    <xdr:colOff>1219200</xdr:colOff>
                    <xdr:row>4</xdr:row>
                    <xdr:rowOff>95250</xdr:rowOff>
                  </from>
                  <to>
                    <xdr:col>9</xdr:col>
                    <xdr:colOff>228600</xdr:colOff>
                    <xdr:row>5</xdr:row>
                    <xdr:rowOff>190500</xdr:rowOff>
                  </to>
                </anchor>
              </controlPr>
            </control>
          </mc:Choice>
        </mc:AlternateContent>
        <mc:AlternateContent xmlns:mc="http://schemas.openxmlformats.org/markup-compatibility/2006">
          <mc:Choice Requires="x14">
            <control shapeId="2065" r:id="rId7" name="Button 17">
              <controlPr defaultSize="0" print="0" autoFill="0" autoPict="0" macro="[0]!runEnvironment">
                <anchor moveWithCells="1" sizeWithCells="1">
                  <from>
                    <xdr:col>9</xdr:col>
                    <xdr:colOff>847725</xdr:colOff>
                    <xdr:row>7</xdr:row>
                    <xdr:rowOff>76200</xdr:rowOff>
                  </from>
                  <to>
                    <xdr:col>12</xdr:col>
                    <xdr:colOff>266700</xdr:colOff>
                    <xdr:row>8</xdr:row>
                    <xdr:rowOff>171450</xdr:rowOff>
                  </to>
                </anchor>
              </controlPr>
            </control>
          </mc:Choice>
        </mc:AlternateContent>
        <mc:AlternateContent xmlns:mc="http://schemas.openxmlformats.org/markup-compatibility/2006">
          <mc:Choice Requires="x14">
            <control shapeId="2067" r:id="rId8" name="Button 19">
              <controlPr defaultSize="0" print="0" autoFill="0" autoPict="0" macro="[0]!runFood">
                <anchor moveWithCells="1" sizeWithCells="1">
                  <from>
                    <xdr:col>9</xdr:col>
                    <xdr:colOff>390525</xdr:colOff>
                    <xdr:row>1</xdr:row>
                    <xdr:rowOff>1095375</xdr:rowOff>
                  </from>
                  <to>
                    <xdr:col>11</xdr:col>
                    <xdr:colOff>371475</xdr:colOff>
                    <xdr:row>3</xdr:row>
                    <xdr:rowOff>19050</xdr:rowOff>
                  </to>
                </anchor>
              </controlPr>
            </control>
          </mc:Choice>
        </mc:AlternateContent>
        <mc:AlternateContent xmlns:mc="http://schemas.openxmlformats.org/markup-compatibility/2006">
          <mc:Choice Requires="x14">
            <control shapeId="2068" r:id="rId9" name="Button 20">
              <controlPr defaultSize="0" print="0" autoFill="0" autoPict="0" macro="[0]!runHuman">
                <anchor moveWithCells="1" sizeWithCells="1">
                  <from>
                    <xdr:col>9</xdr:col>
                    <xdr:colOff>190500</xdr:colOff>
                    <xdr:row>0</xdr:row>
                    <xdr:rowOff>85725</xdr:rowOff>
                  </from>
                  <to>
                    <xdr:col>11</xdr:col>
                    <xdr:colOff>171450</xdr:colOff>
                    <xdr:row>1</xdr:row>
                    <xdr:rowOff>152400</xdr:rowOff>
                  </to>
                </anchor>
              </controlPr>
            </control>
          </mc:Choice>
        </mc:AlternateContent>
        <mc:AlternateContent xmlns:mc="http://schemas.openxmlformats.org/markup-compatibility/2006">
          <mc:Choice Requires="x14">
            <control shapeId="2081" r:id="rId10" name="Button 33">
              <controlPr defaultSize="0" print="0" autoFill="0" autoPict="0" macro="[0]!EnvironSelect">
                <anchor moveWithCells="1" sizeWithCells="1">
                  <from>
                    <xdr:col>2</xdr:col>
                    <xdr:colOff>2676525</xdr:colOff>
                    <xdr:row>5</xdr:row>
                    <xdr:rowOff>9525</xdr:rowOff>
                  </from>
                  <to>
                    <xdr:col>2</xdr:col>
                    <xdr:colOff>3590925</xdr:colOff>
                    <xdr:row>5</xdr:row>
                    <xdr:rowOff>200025</xdr:rowOff>
                  </to>
                </anchor>
              </controlPr>
            </control>
          </mc:Choice>
        </mc:AlternateContent>
        <mc:AlternateContent xmlns:mc="http://schemas.openxmlformats.org/markup-compatibility/2006">
          <mc:Choice Requires="x14">
            <control shapeId="2082" r:id="rId11" name="Button 34">
              <controlPr defaultSize="0" print="0" autoFill="0" autoPict="0" macro="[0]!ChemOpen">
                <anchor moveWithCells="1" sizeWithCells="1">
                  <from>
                    <xdr:col>2</xdr:col>
                    <xdr:colOff>1447800</xdr:colOff>
                    <xdr:row>3</xdr:row>
                    <xdr:rowOff>9525</xdr:rowOff>
                  </from>
                  <to>
                    <xdr:col>2</xdr:col>
                    <xdr:colOff>2638425</xdr:colOff>
                    <xdr:row>3</xdr:row>
                    <xdr:rowOff>190500</xdr:rowOff>
                  </to>
                </anchor>
              </controlPr>
            </control>
          </mc:Choice>
        </mc:AlternateContent>
        <mc:AlternateContent xmlns:mc="http://schemas.openxmlformats.org/markup-compatibility/2006">
          <mc:Choice Requires="x14">
            <control shapeId="2083" r:id="rId12" name="Button 35">
              <controlPr defaultSize="0" print="0" autoFill="0" autoPict="0" macro="[0]!EnvOpen">
                <anchor moveWithCells="1" sizeWithCells="1">
                  <from>
                    <xdr:col>2</xdr:col>
                    <xdr:colOff>1447800</xdr:colOff>
                    <xdr:row>5</xdr:row>
                    <xdr:rowOff>9525</xdr:rowOff>
                  </from>
                  <to>
                    <xdr:col>2</xdr:col>
                    <xdr:colOff>2638425</xdr:colOff>
                    <xdr:row>5</xdr:row>
                    <xdr:rowOff>200025</xdr:rowOff>
                  </to>
                </anchor>
              </controlPr>
            </control>
          </mc:Choice>
        </mc:AlternateContent>
        <mc:AlternateContent xmlns:mc="http://schemas.openxmlformats.org/markup-compatibility/2006">
          <mc:Choice Requires="x14">
            <control shapeId="2085" r:id="rId13" name="Button 37">
              <controlPr defaultSize="0" print="0" autoFill="0" autoPict="0" macro="[0]!FoodwebOpen">
                <anchor moveWithCells="1" sizeWithCells="1">
                  <from>
                    <xdr:col>2</xdr:col>
                    <xdr:colOff>1447800</xdr:colOff>
                    <xdr:row>4</xdr:row>
                    <xdr:rowOff>9525</xdr:rowOff>
                  </from>
                  <to>
                    <xdr:col>2</xdr:col>
                    <xdr:colOff>2638425</xdr:colOff>
                    <xdr:row>4</xdr:row>
                    <xdr:rowOff>190500</xdr:rowOff>
                  </to>
                </anchor>
              </controlPr>
            </control>
          </mc:Choice>
        </mc:AlternateContent>
        <mc:AlternateContent xmlns:mc="http://schemas.openxmlformats.org/markup-compatibility/2006">
          <mc:Choice Requires="x14">
            <control shapeId="2087" r:id="rId14" name="Button 39">
              <controlPr defaultSize="0" print="0" autoFill="0" autoPict="0" macro="[0]!PopulationSelect">
                <anchor moveWithCells="1" sizeWithCells="1">
                  <from>
                    <xdr:col>2</xdr:col>
                    <xdr:colOff>2676525</xdr:colOff>
                    <xdr:row>4</xdr:row>
                    <xdr:rowOff>9525</xdr:rowOff>
                  </from>
                  <to>
                    <xdr:col>2</xdr:col>
                    <xdr:colOff>3590925</xdr:colOff>
                    <xdr:row>4</xdr:row>
                    <xdr:rowOff>200025</xdr:rowOff>
                  </to>
                </anchor>
              </controlPr>
            </control>
          </mc:Choice>
        </mc:AlternateContent>
        <mc:AlternateContent xmlns:mc="http://schemas.openxmlformats.org/markup-compatibility/2006">
          <mc:Choice Requires="x14">
            <control shapeId="2089" r:id="rId15" name="Button 41">
              <controlPr defaultSize="0" print="0" autoFill="0" autoPict="0" macro="[0]!BatchOpen">
                <anchor moveWithCells="1" sizeWithCells="1">
                  <from>
                    <xdr:col>10</xdr:col>
                    <xdr:colOff>38100</xdr:colOff>
                    <xdr:row>13</xdr:row>
                    <xdr:rowOff>266700</xdr:rowOff>
                  </from>
                  <to>
                    <xdr:col>13</xdr:col>
                    <xdr:colOff>409575</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4000000}">
          <x14:formula1>
            <xm:f>DB_env!$B$5:$BZZ$5</xm:f>
          </x14:formula1>
          <xm:sqref>D6</xm:sqref>
        </x14:dataValidation>
        <x14:dataValidation type="list" allowBlank="1" showInputMessage="1" showErrorMessage="1" xr:uid="{00000000-0002-0000-0000-000003000000}">
          <x14:formula1>
            <xm:f>DB_chem!$D$3:$BSX$3</xm:f>
          </x14:formula1>
          <xm:sqref>D4</xm:sqref>
        </x14:dataValidation>
        <x14:dataValidation type="list" allowBlank="1" showInputMessage="1" showErrorMessage="1" xr:uid="{823B86F0-8D84-48AC-B5BE-219720CAE8FC}">
          <x14:formula1>
            <xm:f>DB_pop!B2:BZZ2</xm:f>
          </x14:formula1>
          <xm:sqref>D5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1671A-1B71-4109-BD85-F120710758B4}">
  <sheetPr codeName="Sheet6">
    <tabColor rgb="FF0070C0"/>
  </sheetPr>
  <dimension ref="A1:TD120"/>
  <sheetViews>
    <sheetView workbookViewId="0">
      <selection activeCell="G29" sqref="G29"/>
    </sheetView>
  </sheetViews>
  <sheetFormatPr defaultColWidth="9.1328125" defaultRowHeight="14.25"/>
  <cols>
    <col min="1" max="1" width="2.86328125" customWidth="1"/>
    <col min="2" max="2" width="22.86328125" customWidth="1"/>
    <col min="3" max="3" width="27.1328125" style="159" customWidth="1"/>
    <col min="4" max="4" width="15.86328125" style="159" customWidth="1"/>
    <col min="5" max="16384" width="9.1328125" style="159"/>
  </cols>
  <sheetData>
    <row r="1" spans="1:524" customFormat="1" ht="50.1" customHeight="1">
      <c r="A1" s="113" t="s">
        <v>287</v>
      </c>
      <c r="B1" s="156"/>
      <c r="C1" s="156"/>
      <c r="D1" s="156"/>
      <c r="E1" s="156"/>
      <c r="F1" s="49"/>
      <c r="G1" s="49"/>
      <c r="H1" s="49"/>
      <c r="I1" s="160"/>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49"/>
      <c r="BU1" s="49"/>
      <c r="BV1" s="49"/>
      <c r="BW1" s="49"/>
      <c r="BX1" s="49"/>
      <c r="BY1" s="49"/>
      <c r="BZ1" s="49"/>
      <c r="CA1" s="49"/>
      <c r="CB1" s="49"/>
      <c r="CC1" s="49"/>
      <c r="CD1" s="49"/>
      <c r="CE1" s="49"/>
      <c r="CF1" s="49"/>
      <c r="CG1" s="49"/>
      <c r="CH1" s="49"/>
      <c r="CI1" s="49"/>
      <c r="CJ1" s="49"/>
      <c r="CK1" s="49"/>
      <c r="CL1" s="49"/>
      <c r="CM1" s="49"/>
      <c r="CN1" s="49"/>
      <c r="CO1" s="49"/>
      <c r="CP1" s="49"/>
      <c r="CQ1" s="49"/>
      <c r="CR1" s="49"/>
      <c r="CS1" s="49"/>
      <c r="CT1" s="49"/>
      <c r="CU1" s="49"/>
      <c r="CV1" s="49"/>
      <c r="CW1" s="49"/>
      <c r="CX1" s="49"/>
      <c r="CY1" s="49"/>
      <c r="CZ1" s="49"/>
      <c r="DA1" s="49"/>
      <c r="DB1" s="49"/>
      <c r="DC1" s="49"/>
      <c r="DD1" s="49"/>
      <c r="DE1" s="49"/>
      <c r="DF1" s="49"/>
      <c r="DG1" s="49"/>
      <c r="DH1" s="49"/>
      <c r="DI1" s="49"/>
      <c r="DJ1" s="49"/>
      <c r="DK1" s="49"/>
      <c r="DL1" s="49"/>
      <c r="DM1" s="49"/>
      <c r="DN1" s="49"/>
      <c r="DO1" s="49"/>
      <c r="DP1" s="49"/>
      <c r="DQ1" s="49"/>
      <c r="DR1" s="49"/>
      <c r="DS1" s="49"/>
      <c r="DT1" s="49"/>
      <c r="DU1" s="49"/>
      <c r="DV1" s="49"/>
      <c r="DW1" s="49"/>
      <c r="DX1" s="49"/>
      <c r="DY1" s="49"/>
      <c r="DZ1" s="49"/>
      <c r="EA1" s="49"/>
      <c r="EB1" s="49"/>
      <c r="EC1" s="49"/>
      <c r="ED1" s="49"/>
      <c r="EE1" s="49"/>
      <c r="EF1" s="49"/>
      <c r="EG1" s="49"/>
      <c r="EH1" s="49"/>
      <c r="EI1" s="49"/>
      <c r="EJ1" s="49"/>
      <c r="EK1" s="49"/>
      <c r="EL1" s="49"/>
      <c r="EM1" s="49"/>
      <c r="EN1" s="49"/>
      <c r="EO1" s="49"/>
      <c r="EP1" s="49"/>
      <c r="EQ1" s="49"/>
      <c r="ER1" s="49"/>
      <c r="ES1" s="49"/>
      <c r="ET1" s="49"/>
      <c r="EU1" s="49"/>
      <c r="EV1" s="49"/>
      <c r="EW1" s="49"/>
      <c r="EX1" s="49"/>
      <c r="EY1" s="49"/>
      <c r="EZ1" s="49"/>
      <c r="FA1" s="49"/>
      <c r="FB1" s="49"/>
      <c r="FC1" s="49"/>
      <c r="FD1" s="49"/>
      <c r="FE1" s="49"/>
      <c r="FF1" s="49"/>
      <c r="FG1" s="49"/>
      <c r="FH1" s="49"/>
      <c r="FI1" s="49"/>
      <c r="FJ1" s="49"/>
      <c r="FK1" s="49"/>
      <c r="FL1" s="49"/>
      <c r="FM1" s="49"/>
      <c r="FN1" s="49"/>
      <c r="FO1" s="49"/>
      <c r="FP1" s="49"/>
      <c r="FQ1" s="49"/>
      <c r="FR1" s="49"/>
      <c r="FS1" s="49"/>
      <c r="FT1" s="49"/>
      <c r="FU1" s="49"/>
      <c r="FV1" s="49"/>
      <c r="FW1" s="49"/>
      <c r="FX1" s="49"/>
      <c r="FY1" s="49"/>
      <c r="FZ1" s="49"/>
      <c r="GA1" s="49"/>
      <c r="GB1" s="49"/>
      <c r="GC1" s="49"/>
      <c r="GD1" s="49"/>
      <c r="GE1" s="49"/>
      <c r="GF1" s="49"/>
      <c r="GG1" s="49"/>
      <c r="GH1" s="49"/>
      <c r="GI1" s="49"/>
      <c r="GJ1" s="49"/>
      <c r="GK1" s="49"/>
      <c r="GL1" s="49"/>
      <c r="GM1" s="49"/>
      <c r="GN1" s="49"/>
      <c r="GO1" s="49"/>
      <c r="GP1" s="49"/>
      <c r="GQ1" s="49"/>
      <c r="GR1" s="49"/>
      <c r="GS1" s="49"/>
      <c r="GT1" s="49"/>
      <c r="GU1" s="49"/>
      <c r="GV1" s="49"/>
      <c r="GW1" s="49"/>
      <c r="GX1" s="49"/>
      <c r="GY1" s="49"/>
      <c r="GZ1" s="49"/>
      <c r="HA1" s="49"/>
      <c r="HB1" s="49"/>
      <c r="HC1" s="49"/>
      <c r="HD1" s="49"/>
      <c r="HE1" s="49"/>
      <c r="HF1" s="49"/>
      <c r="HG1" s="49"/>
      <c r="HH1" s="49"/>
      <c r="HI1" s="49"/>
      <c r="HJ1" s="49"/>
      <c r="HK1" s="49"/>
      <c r="HL1" s="49"/>
      <c r="HM1" s="49"/>
      <c r="HN1" s="49"/>
      <c r="HO1" s="49"/>
      <c r="HP1" s="49"/>
      <c r="HQ1" s="49"/>
      <c r="HR1" s="49"/>
    </row>
    <row r="2" spans="1:524" s="77" customFormat="1" ht="15.6" customHeight="1">
      <c r="A2" s="49"/>
      <c r="B2" s="49"/>
      <c r="C2" s="49"/>
      <c r="D2" s="49"/>
      <c r="E2" s="145" t="s">
        <v>30</v>
      </c>
      <c r="F2" s="49" t="s">
        <v>538</v>
      </c>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49"/>
      <c r="BN2" s="49"/>
      <c r="BO2" s="49"/>
      <c r="BP2" s="49"/>
      <c r="BQ2" s="49"/>
      <c r="BR2" s="49"/>
      <c r="BS2" s="49"/>
      <c r="BT2" s="49"/>
      <c r="BU2" s="49"/>
      <c r="BV2" s="49"/>
      <c r="BW2" s="49"/>
      <c r="BX2" s="49"/>
      <c r="BY2" s="49"/>
      <c r="BZ2" s="49"/>
      <c r="CA2" s="49"/>
      <c r="CB2" s="49"/>
      <c r="CC2" s="49"/>
      <c r="CD2" s="49"/>
      <c r="CE2" s="49"/>
      <c r="CF2" s="49"/>
      <c r="CG2" s="49"/>
      <c r="CH2" s="49"/>
      <c r="CI2" s="49"/>
      <c r="CJ2" s="49"/>
      <c r="CK2" s="49"/>
      <c r="CL2" s="49"/>
      <c r="CM2" s="49"/>
      <c r="CN2" s="49"/>
      <c r="CO2" s="49"/>
      <c r="CP2" s="49"/>
      <c r="CQ2" s="49"/>
      <c r="CR2" s="49"/>
      <c r="CS2" s="49"/>
      <c r="CT2" s="49"/>
      <c r="CU2" s="49"/>
      <c r="CV2" s="49"/>
      <c r="CW2" s="49"/>
      <c r="CX2" s="49"/>
      <c r="CY2" s="49"/>
      <c r="CZ2" s="49"/>
      <c r="DA2" s="49"/>
      <c r="DB2" s="49"/>
      <c r="DC2" s="49"/>
      <c r="DD2" s="49"/>
      <c r="DE2" s="49"/>
      <c r="DF2" s="49"/>
      <c r="DG2" s="49"/>
      <c r="DH2" s="49"/>
      <c r="DI2" s="49"/>
      <c r="DJ2" s="49"/>
      <c r="DK2" s="49"/>
      <c r="DL2" s="49"/>
      <c r="DM2" s="49"/>
      <c r="DN2" s="49"/>
      <c r="DO2" s="49"/>
      <c r="DP2" s="49"/>
      <c r="DQ2" s="49"/>
      <c r="DR2" s="49"/>
      <c r="DS2" s="49"/>
      <c r="DT2" s="49"/>
      <c r="DU2" s="49"/>
      <c r="DV2" s="49"/>
      <c r="DW2" s="49"/>
      <c r="DX2" s="49"/>
      <c r="DY2" s="49"/>
      <c r="DZ2" s="49"/>
      <c r="EA2" s="49"/>
      <c r="EB2" s="49"/>
      <c r="EC2" s="49"/>
      <c r="ED2" s="49"/>
      <c r="EE2" s="49"/>
      <c r="EF2" s="49"/>
      <c r="EG2" s="49"/>
      <c r="EH2" s="49"/>
      <c r="EI2" s="49"/>
      <c r="EJ2" s="49"/>
      <c r="EK2" s="49"/>
      <c r="EL2" s="49"/>
      <c r="EM2" s="49"/>
      <c r="EN2" s="49"/>
      <c r="EO2" s="49"/>
      <c r="EP2" s="49"/>
      <c r="EQ2" s="49"/>
      <c r="ER2" s="49"/>
      <c r="ES2" s="49"/>
      <c r="ET2" s="49"/>
      <c r="EU2" s="49"/>
      <c r="EV2" s="49"/>
      <c r="EW2" s="49"/>
      <c r="EX2" s="49"/>
      <c r="EY2" s="49"/>
      <c r="EZ2" s="49"/>
      <c r="FA2" s="49"/>
      <c r="FB2" s="49"/>
      <c r="FC2" s="49"/>
      <c r="FD2" s="49"/>
      <c r="FE2" s="49"/>
      <c r="FF2" s="49"/>
      <c r="FG2" s="49"/>
      <c r="FH2" s="49"/>
      <c r="FI2" s="49"/>
      <c r="FJ2" s="49"/>
      <c r="FK2" s="49"/>
      <c r="FL2" s="49"/>
      <c r="FM2" s="49"/>
      <c r="FN2" s="49"/>
      <c r="FO2" s="49"/>
      <c r="FP2" s="49"/>
      <c r="FQ2" s="49"/>
      <c r="FR2" s="49"/>
      <c r="FS2" s="49"/>
      <c r="FT2" s="49"/>
      <c r="FU2" s="49"/>
      <c r="FV2" s="49"/>
      <c r="FW2" s="49"/>
      <c r="FX2" s="49"/>
      <c r="FY2" s="49"/>
      <c r="FZ2" s="49"/>
      <c r="GA2" s="49"/>
      <c r="GB2" s="49"/>
      <c r="GC2" s="49"/>
      <c r="GD2" s="49"/>
      <c r="GE2" s="49"/>
      <c r="GF2" s="49"/>
      <c r="GG2" s="49"/>
      <c r="GH2" s="49"/>
      <c r="GI2" s="49"/>
      <c r="GJ2" s="49"/>
      <c r="GK2" s="49"/>
      <c r="GL2" s="49"/>
      <c r="GM2" s="49"/>
      <c r="GN2" s="49"/>
      <c r="GO2" s="49"/>
      <c r="GP2" s="49"/>
      <c r="GQ2" s="49"/>
      <c r="GR2" s="49"/>
      <c r="GS2" s="49"/>
      <c r="GT2" s="49"/>
      <c r="GU2" s="49"/>
      <c r="GV2" s="49"/>
      <c r="GW2" s="49"/>
      <c r="GX2" s="49"/>
      <c r="GY2" s="49"/>
      <c r="GZ2" s="49"/>
      <c r="HA2" s="49"/>
      <c r="HB2" s="49"/>
      <c r="HC2" s="49"/>
      <c r="HD2" s="49"/>
      <c r="HE2" s="49"/>
      <c r="HF2" s="49"/>
      <c r="HG2" s="49"/>
      <c r="HH2" s="49"/>
      <c r="HI2" s="49"/>
      <c r="HJ2" s="49"/>
      <c r="HK2" s="49"/>
      <c r="HL2" s="49"/>
      <c r="HM2" s="49"/>
      <c r="HN2" s="49"/>
      <c r="HO2" s="49"/>
      <c r="HP2" s="49"/>
      <c r="HQ2" s="49"/>
      <c r="HR2" s="49"/>
    </row>
    <row r="3" spans="1:524" s="77" customFormat="1" ht="14.85" customHeight="1">
      <c r="A3" s="49"/>
      <c r="B3" s="49"/>
      <c r="C3" s="49"/>
      <c r="D3" s="49"/>
      <c r="E3" s="145" t="s">
        <v>430</v>
      </c>
      <c r="F3" s="49" t="s">
        <v>539</v>
      </c>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c r="AP3" s="49"/>
      <c r="AQ3" s="49"/>
      <c r="AR3" s="49"/>
      <c r="AS3" s="49"/>
      <c r="AT3" s="49"/>
      <c r="AU3" s="49"/>
      <c r="AV3" s="49"/>
      <c r="AW3" s="49"/>
      <c r="AX3" s="49"/>
      <c r="AY3" s="49"/>
      <c r="AZ3" s="49"/>
      <c r="BA3" s="49"/>
      <c r="BB3" s="49"/>
      <c r="BC3" s="49"/>
      <c r="BD3" s="49"/>
      <c r="BE3" s="49"/>
      <c r="BF3" s="49"/>
      <c r="BG3" s="49"/>
      <c r="BH3" s="49"/>
      <c r="BI3" s="49"/>
      <c r="BJ3" s="49"/>
      <c r="BK3" s="49"/>
      <c r="BL3" s="49"/>
      <c r="BM3" s="49"/>
      <c r="BN3" s="49"/>
      <c r="BO3" s="49"/>
      <c r="BP3" s="49"/>
      <c r="BQ3" s="49"/>
      <c r="BR3" s="49"/>
      <c r="BS3" s="49"/>
      <c r="BT3" s="49"/>
      <c r="BU3" s="49"/>
      <c r="BV3" s="49"/>
      <c r="BW3" s="49"/>
      <c r="BX3" s="49"/>
      <c r="BY3" s="49"/>
      <c r="BZ3" s="49"/>
      <c r="CA3" s="49"/>
      <c r="CB3" s="49"/>
      <c r="CC3" s="49"/>
      <c r="CD3" s="49"/>
      <c r="CE3" s="49"/>
      <c r="CF3" s="49"/>
      <c r="CG3" s="49"/>
      <c r="CH3" s="49"/>
      <c r="CI3" s="49"/>
      <c r="CJ3" s="49"/>
      <c r="CK3" s="49"/>
      <c r="CL3" s="49"/>
      <c r="CM3" s="49"/>
      <c r="CN3" s="49"/>
      <c r="CO3" s="49"/>
      <c r="CP3" s="49"/>
      <c r="CQ3" s="49"/>
      <c r="CR3" s="49"/>
      <c r="CS3" s="49"/>
      <c r="CT3" s="49"/>
      <c r="CU3" s="49"/>
      <c r="CV3" s="49"/>
      <c r="CW3" s="49"/>
      <c r="CX3" s="49"/>
      <c r="CY3" s="49"/>
      <c r="CZ3" s="49"/>
      <c r="DA3" s="49"/>
      <c r="DB3" s="49"/>
      <c r="DC3" s="49"/>
      <c r="DD3" s="49"/>
      <c r="DE3" s="49"/>
      <c r="DF3" s="49"/>
      <c r="DG3" s="49"/>
      <c r="DH3" s="49"/>
      <c r="DI3" s="49"/>
      <c r="DJ3" s="49"/>
      <c r="DK3" s="49"/>
      <c r="DL3" s="49"/>
      <c r="DM3" s="49"/>
      <c r="DN3" s="49"/>
      <c r="DO3" s="49"/>
      <c r="DP3" s="49"/>
      <c r="DQ3" s="49"/>
      <c r="DR3" s="49"/>
      <c r="DS3" s="49"/>
      <c r="DT3" s="49"/>
      <c r="DU3" s="49"/>
      <c r="DV3" s="49"/>
      <c r="DW3" s="49"/>
      <c r="DX3" s="49"/>
      <c r="DY3" s="49"/>
      <c r="DZ3" s="49"/>
      <c r="EA3" s="49"/>
      <c r="EB3" s="49"/>
      <c r="EC3" s="49"/>
      <c r="ED3" s="49"/>
      <c r="EE3" s="49"/>
      <c r="EF3" s="49"/>
      <c r="EG3" s="49"/>
      <c r="EH3" s="49"/>
      <c r="EI3" s="49"/>
      <c r="EJ3" s="49"/>
      <c r="EK3" s="49"/>
      <c r="EL3" s="49"/>
      <c r="EM3" s="49"/>
      <c r="EN3" s="49"/>
      <c r="EO3" s="49"/>
      <c r="EP3" s="49"/>
      <c r="EQ3" s="49"/>
      <c r="ER3" s="49"/>
      <c r="ES3" s="49"/>
      <c r="ET3" s="49"/>
      <c r="EU3" s="49"/>
      <c r="EV3" s="49"/>
      <c r="EW3" s="49"/>
      <c r="EX3" s="49"/>
      <c r="EY3" s="49"/>
      <c r="EZ3" s="49"/>
      <c r="FA3" s="49"/>
      <c r="FB3" s="49"/>
      <c r="FC3" s="49"/>
      <c r="FD3" s="49"/>
      <c r="FE3" s="49"/>
      <c r="FF3" s="49"/>
      <c r="FG3" s="49"/>
      <c r="FH3" s="49"/>
      <c r="FI3" s="49"/>
      <c r="FJ3" s="49"/>
      <c r="FK3" s="49"/>
      <c r="FL3" s="49"/>
      <c r="FM3" s="49"/>
      <c r="FN3" s="49"/>
      <c r="FO3" s="49"/>
      <c r="FP3" s="49"/>
      <c r="FQ3" s="49"/>
      <c r="FR3" s="49"/>
      <c r="FS3" s="49"/>
      <c r="FT3" s="49"/>
      <c r="FU3" s="49"/>
      <c r="FV3" s="49"/>
      <c r="FW3" s="49"/>
      <c r="FX3" s="49"/>
      <c r="FY3" s="49"/>
      <c r="FZ3" s="49"/>
      <c r="GA3" s="49"/>
      <c r="GB3" s="49"/>
      <c r="GC3" s="49"/>
      <c r="GD3" s="49"/>
      <c r="GE3" s="49"/>
      <c r="GF3" s="49"/>
      <c r="GG3" s="49"/>
      <c r="GH3" s="49"/>
      <c r="GI3" s="49"/>
      <c r="GJ3" s="49"/>
      <c r="GK3" s="49"/>
      <c r="GL3" s="49"/>
      <c r="GM3" s="49"/>
      <c r="GN3" s="49"/>
      <c r="GO3" s="49"/>
      <c r="GP3" s="49"/>
      <c r="GQ3" s="49"/>
      <c r="GR3" s="49"/>
      <c r="GS3" s="49"/>
      <c r="GT3" s="49"/>
      <c r="GU3" s="49"/>
      <c r="GV3" s="49"/>
      <c r="GW3" s="49"/>
      <c r="GX3" s="49"/>
      <c r="GY3" s="49"/>
      <c r="GZ3" s="49"/>
      <c r="HA3" s="49"/>
      <c r="HB3" s="49"/>
      <c r="HC3" s="49"/>
      <c r="HD3" s="49"/>
      <c r="HE3" s="49"/>
      <c r="HF3" s="49"/>
      <c r="HG3" s="49"/>
      <c r="HH3" s="49"/>
      <c r="HI3" s="49"/>
      <c r="HJ3" s="49"/>
      <c r="HK3" s="49"/>
      <c r="HL3" s="49"/>
      <c r="HM3" s="49"/>
      <c r="HN3" s="49"/>
      <c r="HO3" s="49"/>
      <c r="HP3" s="49"/>
      <c r="HQ3" s="49"/>
      <c r="HR3" s="49"/>
    </row>
    <row r="4" spans="1:524" s="77" customFormat="1" ht="14.85" customHeight="1">
      <c r="A4" s="49"/>
      <c r="B4" s="49"/>
      <c r="C4" s="49"/>
      <c r="D4" s="49"/>
      <c r="E4" s="145" t="s">
        <v>30</v>
      </c>
      <c r="F4" s="49" t="s">
        <v>541</v>
      </c>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49"/>
      <c r="CC4" s="49"/>
      <c r="CD4" s="49"/>
      <c r="CE4" s="49"/>
      <c r="CF4" s="49"/>
      <c r="CG4" s="49"/>
      <c r="CH4" s="49"/>
      <c r="CI4" s="49"/>
      <c r="CJ4" s="49"/>
      <c r="CK4" s="49"/>
      <c r="CL4" s="49"/>
      <c r="CM4" s="49"/>
      <c r="CN4" s="49"/>
      <c r="CO4" s="49"/>
      <c r="CP4" s="49"/>
      <c r="CQ4" s="49"/>
      <c r="CR4" s="49"/>
      <c r="CS4" s="49"/>
      <c r="CT4" s="49"/>
      <c r="CU4" s="49"/>
      <c r="CV4" s="49"/>
      <c r="CW4" s="49"/>
      <c r="CX4" s="49"/>
      <c r="CY4" s="49"/>
      <c r="CZ4" s="49"/>
      <c r="DA4" s="49"/>
      <c r="DB4" s="49"/>
      <c r="DC4" s="49"/>
      <c r="DD4" s="49"/>
      <c r="DE4" s="49"/>
      <c r="DF4" s="49"/>
      <c r="DG4" s="49"/>
      <c r="DH4" s="49"/>
      <c r="DI4" s="49"/>
      <c r="DJ4" s="49"/>
      <c r="DK4" s="49"/>
      <c r="DL4" s="49"/>
      <c r="DM4" s="49"/>
      <c r="DN4" s="49"/>
      <c r="DO4" s="49"/>
      <c r="DP4" s="49"/>
      <c r="DQ4" s="49"/>
      <c r="DR4" s="49"/>
      <c r="DS4" s="49"/>
      <c r="DT4" s="49"/>
      <c r="DU4" s="49"/>
      <c r="DV4" s="49"/>
      <c r="DW4" s="49"/>
      <c r="DX4" s="49"/>
      <c r="DY4" s="49"/>
      <c r="DZ4" s="49"/>
      <c r="EA4" s="49"/>
      <c r="EB4" s="49"/>
      <c r="EC4" s="49"/>
      <c r="ED4" s="49"/>
      <c r="EE4" s="49"/>
      <c r="EF4" s="49"/>
      <c r="EG4" s="49"/>
      <c r="EH4" s="49"/>
      <c r="EI4" s="49"/>
      <c r="EJ4" s="49"/>
      <c r="EK4" s="49"/>
      <c r="EL4" s="49"/>
      <c r="EM4" s="49"/>
      <c r="EN4" s="49"/>
      <c r="EO4" s="49"/>
      <c r="EP4" s="49"/>
      <c r="EQ4" s="49"/>
      <c r="ER4" s="49"/>
      <c r="ES4" s="49"/>
      <c r="ET4" s="49"/>
      <c r="EU4" s="49"/>
      <c r="EV4" s="49"/>
      <c r="EW4" s="49"/>
      <c r="EX4" s="49"/>
      <c r="EY4" s="49"/>
      <c r="EZ4" s="49"/>
      <c r="FA4" s="49"/>
      <c r="FB4" s="49"/>
      <c r="FC4" s="49"/>
      <c r="FD4" s="49"/>
      <c r="FE4" s="49"/>
      <c r="FF4" s="49"/>
      <c r="FG4" s="49"/>
      <c r="FH4" s="49"/>
      <c r="FI4" s="49"/>
      <c r="FJ4" s="49"/>
      <c r="FK4" s="49"/>
      <c r="FL4" s="49"/>
      <c r="FM4" s="49"/>
      <c r="FN4" s="49"/>
      <c r="FO4" s="49"/>
      <c r="FP4" s="49"/>
      <c r="FQ4" s="49"/>
      <c r="FR4" s="49"/>
      <c r="FS4" s="49"/>
      <c r="FT4" s="49"/>
      <c r="FU4" s="49"/>
      <c r="FV4" s="49"/>
      <c r="FW4" s="49"/>
      <c r="FX4" s="49"/>
      <c r="FY4" s="49"/>
      <c r="FZ4" s="49"/>
      <c r="GA4" s="49"/>
      <c r="GB4" s="49"/>
      <c r="GC4" s="49"/>
      <c r="GD4" s="49"/>
      <c r="GE4" s="49"/>
      <c r="GF4" s="49"/>
      <c r="GG4" s="49"/>
      <c r="GH4" s="49"/>
      <c r="GI4" s="49"/>
      <c r="GJ4" s="49"/>
      <c r="GK4" s="49"/>
      <c r="GL4" s="49"/>
      <c r="GM4" s="49"/>
      <c r="GN4" s="49"/>
      <c r="GO4" s="49"/>
      <c r="GP4" s="49"/>
      <c r="GQ4" s="49"/>
      <c r="GR4" s="49"/>
      <c r="GS4" s="49"/>
      <c r="GT4" s="49"/>
      <c r="GU4" s="49"/>
      <c r="GV4" s="49"/>
      <c r="GW4" s="49"/>
      <c r="GX4" s="49"/>
      <c r="GY4" s="49"/>
      <c r="GZ4" s="49"/>
      <c r="HA4" s="49"/>
      <c r="HB4" s="49"/>
      <c r="HC4" s="49"/>
      <c r="HD4" s="49"/>
      <c r="HE4" s="49"/>
      <c r="HF4" s="49"/>
      <c r="HG4" s="49"/>
      <c r="HH4" s="49"/>
      <c r="HI4" s="49"/>
      <c r="HJ4" s="49"/>
      <c r="HK4" s="49"/>
      <c r="HL4" s="49"/>
      <c r="HM4" s="49"/>
      <c r="HN4" s="49"/>
      <c r="HO4" s="49"/>
      <c r="HP4" s="49"/>
      <c r="HQ4" s="49"/>
      <c r="HR4" s="49"/>
    </row>
    <row r="5" spans="1:524" s="77" customFormat="1" ht="14.85" customHeight="1">
      <c r="A5" s="49"/>
      <c r="B5" s="49"/>
      <c r="C5" s="49"/>
      <c r="D5" s="49"/>
      <c r="E5" s="145" t="s">
        <v>30</v>
      </c>
      <c r="F5" s="49" t="s">
        <v>540</v>
      </c>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c r="BA5" s="49"/>
      <c r="BB5" s="49"/>
      <c r="BC5" s="49"/>
      <c r="BD5" s="49"/>
      <c r="BE5" s="49"/>
      <c r="BF5" s="49"/>
      <c r="BG5" s="49"/>
      <c r="BH5" s="49"/>
      <c r="BI5" s="49"/>
      <c r="BJ5" s="49"/>
      <c r="BK5" s="49"/>
      <c r="BL5" s="49"/>
      <c r="BM5" s="49"/>
      <c r="BN5" s="49"/>
      <c r="BO5" s="49"/>
      <c r="BP5" s="49"/>
      <c r="BQ5" s="49"/>
      <c r="BR5" s="49"/>
      <c r="BS5" s="49"/>
      <c r="BT5" s="49"/>
      <c r="BU5" s="49"/>
      <c r="BV5" s="49"/>
      <c r="BW5" s="49"/>
      <c r="BX5" s="49"/>
      <c r="BY5" s="49"/>
      <c r="BZ5" s="49"/>
      <c r="CA5" s="49"/>
      <c r="CB5" s="49"/>
      <c r="CC5" s="49"/>
      <c r="CD5" s="49"/>
      <c r="CE5" s="49"/>
      <c r="CF5" s="49"/>
      <c r="CG5" s="49"/>
      <c r="CH5" s="49"/>
      <c r="CI5" s="49"/>
      <c r="CJ5" s="49"/>
      <c r="CK5" s="49"/>
      <c r="CL5" s="49"/>
      <c r="CM5" s="49"/>
      <c r="CN5" s="49"/>
      <c r="CO5" s="49"/>
      <c r="CP5" s="49"/>
      <c r="CQ5" s="49"/>
      <c r="CR5" s="49"/>
      <c r="CS5" s="49"/>
      <c r="CT5" s="49"/>
      <c r="CU5" s="49"/>
      <c r="CV5" s="49"/>
      <c r="CW5" s="49"/>
      <c r="CX5" s="49"/>
      <c r="CY5" s="49"/>
      <c r="CZ5" s="49"/>
      <c r="DA5" s="49"/>
      <c r="DB5" s="49"/>
      <c r="DC5" s="49"/>
      <c r="DD5" s="49"/>
      <c r="DE5" s="49"/>
      <c r="DF5" s="49"/>
      <c r="DG5" s="49"/>
      <c r="DH5" s="49"/>
      <c r="DI5" s="49"/>
      <c r="DJ5" s="49"/>
      <c r="DK5" s="49"/>
      <c r="DL5" s="49"/>
      <c r="DM5" s="49"/>
      <c r="DN5" s="49"/>
      <c r="DO5" s="49"/>
      <c r="DP5" s="49"/>
      <c r="DQ5" s="49"/>
      <c r="DR5" s="49"/>
      <c r="DS5" s="49"/>
      <c r="DT5" s="49"/>
      <c r="DU5" s="49"/>
      <c r="DV5" s="49"/>
      <c r="DW5" s="49"/>
      <c r="DX5" s="49"/>
      <c r="DY5" s="49"/>
      <c r="DZ5" s="49"/>
      <c r="EA5" s="49"/>
      <c r="EB5" s="49"/>
      <c r="EC5" s="49"/>
      <c r="ED5" s="49"/>
      <c r="EE5" s="49"/>
      <c r="EF5" s="49"/>
      <c r="EG5" s="49"/>
      <c r="EH5" s="49"/>
      <c r="EI5" s="49"/>
      <c r="EJ5" s="49"/>
      <c r="EK5" s="49"/>
      <c r="EL5" s="49"/>
      <c r="EM5" s="49"/>
      <c r="EN5" s="49"/>
      <c r="EO5" s="49"/>
      <c r="EP5" s="49"/>
      <c r="EQ5" s="49"/>
      <c r="ER5" s="49"/>
      <c r="ES5" s="49"/>
      <c r="ET5" s="49"/>
      <c r="EU5" s="49"/>
      <c r="EV5" s="49"/>
      <c r="EW5" s="49"/>
      <c r="EX5" s="49"/>
      <c r="EY5" s="49"/>
      <c r="EZ5" s="49"/>
      <c r="FA5" s="49"/>
      <c r="FB5" s="49"/>
      <c r="FC5" s="49"/>
      <c r="FD5" s="49"/>
      <c r="FE5" s="49"/>
      <c r="FF5" s="49"/>
      <c r="FG5" s="49"/>
      <c r="FH5" s="49"/>
      <c r="FI5" s="49"/>
      <c r="FJ5" s="49"/>
      <c r="FK5" s="49"/>
      <c r="FL5" s="49"/>
      <c r="FM5" s="49"/>
      <c r="FN5" s="49"/>
      <c r="FO5" s="49"/>
      <c r="FP5" s="49"/>
      <c r="FQ5" s="49"/>
      <c r="FR5" s="49"/>
      <c r="FS5" s="49"/>
      <c r="FT5" s="49"/>
      <c r="FU5" s="49"/>
      <c r="FV5" s="49"/>
      <c r="FW5" s="49"/>
      <c r="FX5" s="49"/>
      <c r="FY5" s="49"/>
      <c r="FZ5" s="49"/>
      <c r="GA5" s="49"/>
      <c r="GB5" s="49"/>
      <c r="GC5" s="49"/>
      <c r="GD5" s="49"/>
      <c r="GE5" s="49"/>
      <c r="GF5" s="49"/>
      <c r="GG5" s="49"/>
      <c r="GH5" s="49"/>
      <c r="GI5" s="49"/>
      <c r="GJ5" s="49"/>
      <c r="GK5" s="49"/>
      <c r="GL5" s="49"/>
      <c r="GM5" s="49"/>
      <c r="GN5" s="49"/>
      <c r="GO5" s="49"/>
      <c r="GP5" s="49"/>
      <c r="GQ5" s="49"/>
      <c r="GR5" s="49"/>
      <c r="GS5" s="49"/>
      <c r="GT5" s="49"/>
      <c r="GU5" s="49"/>
      <c r="GV5" s="49"/>
      <c r="GW5" s="49"/>
      <c r="GX5" s="49"/>
      <c r="GY5" s="49"/>
      <c r="GZ5" s="49"/>
      <c r="HA5" s="49"/>
      <c r="HB5" s="49"/>
      <c r="HC5" s="49"/>
      <c r="HD5" s="49"/>
      <c r="HE5" s="49"/>
      <c r="HF5" s="49"/>
      <c r="HG5" s="49"/>
      <c r="HH5" s="49"/>
      <c r="HI5" s="49"/>
      <c r="HJ5" s="49"/>
      <c r="HK5" s="49"/>
      <c r="HL5" s="49"/>
      <c r="HM5" s="49"/>
      <c r="HN5" s="49"/>
      <c r="HO5" s="49"/>
      <c r="HP5" s="49"/>
      <c r="HQ5" s="49"/>
      <c r="HR5" s="49"/>
    </row>
    <row r="6" spans="1:524" s="77" customFormat="1" ht="14.85" customHeight="1">
      <c r="A6" s="49"/>
      <c r="B6" s="49"/>
      <c r="C6" s="49"/>
      <c r="D6" s="49"/>
      <c r="E6" s="49"/>
      <c r="F6" s="49"/>
      <c r="G6" s="49"/>
      <c r="H6" s="49"/>
      <c r="I6" s="49"/>
      <c r="J6" s="49"/>
      <c r="K6" s="49"/>
      <c r="L6" s="49"/>
      <c r="M6" s="49"/>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c r="AV6" s="49"/>
      <c r="AW6" s="49"/>
      <c r="AX6" s="49"/>
      <c r="AY6" s="49"/>
      <c r="AZ6" s="49"/>
      <c r="BA6" s="49"/>
      <c r="BB6" s="49"/>
      <c r="BC6" s="49"/>
      <c r="BD6" s="49"/>
      <c r="BE6" s="49"/>
      <c r="BF6" s="49"/>
      <c r="BG6" s="49"/>
      <c r="BH6" s="49"/>
      <c r="BI6" s="49"/>
      <c r="BJ6" s="49"/>
      <c r="BK6" s="49"/>
      <c r="BL6" s="49"/>
      <c r="BM6" s="49"/>
      <c r="BN6" s="49"/>
      <c r="BO6" s="49"/>
      <c r="BP6" s="49"/>
      <c r="BQ6" s="49"/>
      <c r="BR6" s="49"/>
      <c r="BS6" s="49"/>
      <c r="BT6" s="49"/>
      <c r="BU6" s="49"/>
      <c r="BV6" s="49"/>
      <c r="BW6" s="49"/>
      <c r="BX6" s="49"/>
      <c r="BY6" s="49"/>
      <c r="BZ6" s="49"/>
      <c r="CA6" s="49"/>
      <c r="CB6" s="49"/>
      <c r="CC6" s="49"/>
      <c r="CD6" s="49"/>
      <c r="CE6" s="49"/>
      <c r="CF6" s="49"/>
      <c r="CG6" s="49"/>
      <c r="CH6" s="49"/>
      <c r="CI6" s="49"/>
      <c r="CJ6" s="49"/>
      <c r="CK6" s="49"/>
      <c r="CL6" s="49"/>
      <c r="CM6" s="49"/>
      <c r="CN6" s="49"/>
      <c r="CO6" s="49"/>
      <c r="CP6" s="49"/>
      <c r="CQ6" s="49"/>
      <c r="CR6" s="49"/>
      <c r="CS6" s="49"/>
      <c r="CT6" s="49"/>
      <c r="CU6" s="49"/>
      <c r="CV6" s="49"/>
      <c r="CW6" s="49"/>
      <c r="CX6" s="49"/>
      <c r="CY6" s="49"/>
      <c r="CZ6" s="49"/>
      <c r="DA6" s="49"/>
      <c r="DB6" s="49"/>
      <c r="DC6" s="49"/>
      <c r="DD6" s="49"/>
      <c r="DE6" s="49"/>
      <c r="DF6" s="49"/>
      <c r="DG6" s="49"/>
      <c r="DH6" s="49"/>
      <c r="DI6" s="49"/>
      <c r="DJ6" s="49"/>
      <c r="DK6" s="49"/>
      <c r="DL6" s="49"/>
      <c r="DM6" s="49"/>
      <c r="DN6" s="49"/>
      <c r="DO6" s="49"/>
      <c r="DP6" s="49"/>
      <c r="DQ6" s="49"/>
      <c r="DR6" s="49"/>
      <c r="DS6" s="49"/>
      <c r="DT6" s="49"/>
      <c r="DU6" s="49"/>
      <c r="DV6" s="49"/>
      <c r="DW6" s="49"/>
      <c r="DX6" s="49"/>
      <c r="DY6" s="49"/>
      <c r="DZ6" s="49"/>
      <c r="EA6" s="49"/>
      <c r="EB6" s="49"/>
      <c r="EC6" s="49"/>
      <c r="ED6" s="49"/>
      <c r="EE6" s="49"/>
      <c r="EF6" s="49"/>
      <c r="EG6" s="49"/>
      <c r="EH6" s="49"/>
      <c r="EI6" s="49"/>
      <c r="EJ6" s="49"/>
      <c r="EK6" s="49"/>
      <c r="EL6" s="49"/>
      <c r="EM6" s="49"/>
      <c r="EN6" s="49"/>
      <c r="EO6" s="49"/>
      <c r="EP6" s="49"/>
      <c r="EQ6" s="49"/>
      <c r="ER6" s="49"/>
      <c r="ES6" s="49"/>
      <c r="ET6" s="49"/>
      <c r="EU6" s="49"/>
      <c r="EV6" s="49"/>
      <c r="EW6" s="49"/>
      <c r="EX6" s="49"/>
      <c r="EY6" s="49"/>
      <c r="EZ6" s="49"/>
      <c r="FA6" s="49"/>
      <c r="FB6" s="49"/>
      <c r="FC6" s="49"/>
      <c r="FD6" s="49"/>
      <c r="FE6" s="49"/>
      <c r="FF6" s="49"/>
      <c r="FG6" s="49"/>
      <c r="FH6" s="49"/>
      <c r="FI6" s="49"/>
      <c r="FJ6" s="49"/>
      <c r="FK6" s="49"/>
      <c r="FL6" s="49"/>
      <c r="FM6" s="49"/>
      <c r="FN6" s="49"/>
      <c r="FO6" s="49"/>
      <c r="FP6" s="49"/>
      <c r="FQ6" s="49"/>
      <c r="FR6" s="49"/>
      <c r="FS6" s="49"/>
      <c r="FT6" s="49"/>
      <c r="FU6" s="49"/>
      <c r="FV6" s="49"/>
      <c r="FW6" s="49"/>
      <c r="FX6" s="49"/>
      <c r="FY6" s="49"/>
      <c r="FZ6" s="49"/>
      <c r="GA6" s="49"/>
      <c r="GB6" s="49"/>
      <c r="GC6" s="49"/>
      <c r="GD6" s="49"/>
      <c r="GE6" s="49"/>
      <c r="GF6" s="49"/>
      <c r="GG6" s="49"/>
      <c r="GH6" s="49"/>
      <c r="GI6" s="49"/>
      <c r="GJ6" s="49"/>
      <c r="GK6" s="49"/>
      <c r="GL6" s="49"/>
      <c r="GM6" s="49"/>
      <c r="GN6" s="49"/>
      <c r="GO6" s="49"/>
      <c r="GP6" s="49"/>
      <c r="GQ6" s="49"/>
      <c r="GR6" s="49"/>
      <c r="GS6" s="49"/>
      <c r="GT6" s="49"/>
      <c r="GU6" s="49"/>
      <c r="GV6" s="49"/>
      <c r="GW6" s="49"/>
      <c r="GX6" s="49"/>
      <c r="GY6" s="49"/>
      <c r="GZ6" s="49"/>
      <c r="HA6" s="49"/>
      <c r="HB6" s="49"/>
      <c r="HC6" s="49"/>
      <c r="HD6" s="49"/>
      <c r="HE6" s="49"/>
      <c r="HF6" s="49"/>
      <c r="HG6" s="49"/>
      <c r="HH6" s="49"/>
      <c r="HI6" s="49"/>
      <c r="HJ6" s="49"/>
      <c r="HK6" s="49"/>
      <c r="HL6" s="49"/>
      <c r="HM6" s="49"/>
      <c r="HN6" s="49"/>
      <c r="HO6" s="49"/>
      <c r="HP6" s="49"/>
      <c r="HQ6" s="49"/>
      <c r="HR6" s="49"/>
    </row>
    <row r="7" spans="1:524" s="77" customFormat="1" ht="14.85" hidden="1" customHeight="1">
      <c r="A7" s="49"/>
      <c r="B7" s="49"/>
      <c r="C7" s="49"/>
      <c r="D7" s="49"/>
      <c r="E7" s="49"/>
      <c r="F7" s="49"/>
      <c r="G7" s="49"/>
      <c r="H7" s="49"/>
      <c r="I7" s="49"/>
      <c r="J7" s="49"/>
      <c r="K7" s="49"/>
      <c r="L7" s="49"/>
      <c r="M7" s="49"/>
      <c r="N7" s="49"/>
      <c r="O7" s="49"/>
      <c r="P7" s="49"/>
      <c r="Q7" s="49"/>
      <c r="R7" s="49"/>
      <c r="S7" s="49"/>
      <c r="T7" s="49"/>
      <c r="U7" s="49"/>
      <c r="V7" s="49"/>
      <c r="W7" s="49"/>
      <c r="X7" s="49"/>
      <c r="Y7" s="49"/>
      <c r="Z7" s="49"/>
      <c r="AA7" s="49"/>
      <c r="AB7" s="49"/>
      <c r="AC7" s="49"/>
      <c r="AD7" s="49"/>
      <c r="AE7" s="49"/>
      <c r="AF7" s="49"/>
      <c r="AG7" s="49"/>
      <c r="AH7" s="49"/>
      <c r="AI7" s="49"/>
      <c r="AJ7" s="49"/>
      <c r="AK7" s="49"/>
      <c r="AL7" s="49"/>
      <c r="AM7" s="49"/>
      <c r="AN7" s="49"/>
      <c r="AO7" s="49"/>
      <c r="AP7" s="49"/>
      <c r="AQ7" s="49"/>
      <c r="AR7" s="49"/>
      <c r="AS7" s="49"/>
      <c r="AT7" s="49"/>
      <c r="AU7" s="49"/>
      <c r="AV7" s="49"/>
      <c r="AW7" s="49"/>
      <c r="AX7" s="49"/>
      <c r="AY7" s="49"/>
      <c r="AZ7" s="49"/>
      <c r="BA7" s="49"/>
      <c r="BB7" s="49"/>
      <c r="BC7" s="49"/>
      <c r="BD7" s="49"/>
      <c r="BE7" s="49"/>
      <c r="BF7" s="49"/>
      <c r="BG7" s="49"/>
      <c r="BH7" s="49"/>
      <c r="BI7" s="49"/>
      <c r="BJ7" s="49"/>
      <c r="BK7" s="49"/>
      <c r="BL7" s="49"/>
      <c r="BM7" s="49"/>
      <c r="BN7" s="49"/>
      <c r="BO7" s="49"/>
      <c r="BP7" s="49"/>
      <c r="BQ7" s="49"/>
      <c r="BR7" s="49"/>
      <c r="BS7" s="49"/>
      <c r="BT7" s="49"/>
      <c r="BU7" s="49"/>
      <c r="BV7" s="49"/>
      <c r="BW7" s="49"/>
      <c r="BX7" s="49"/>
      <c r="BY7" s="49"/>
      <c r="BZ7" s="49"/>
      <c r="CA7" s="49"/>
      <c r="CB7" s="49"/>
      <c r="CC7" s="49"/>
      <c r="CD7" s="49"/>
      <c r="CE7" s="49"/>
      <c r="CF7" s="49"/>
      <c r="CG7" s="49"/>
      <c r="CH7" s="49"/>
      <c r="CI7" s="49"/>
      <c r="CJ7" s="49"/>
      <c r="CK7" s="49"/>
      <c r="CL7" s="49"/>
      <c r="CM7" s="49"/>
      <c r="CN7" s="49"/>
      <c r="CO7" s="49"/>
      <c r="CP7" s="49"/>
      <c r="CQ7" s="49"/>
      <c r="CR7" s="49"/>
      <c r="CS7" s="49"/>
      <c r="CT7" s="49"/>
      <c r="CU7" s="49"/>
      <c r="CV7" s="49"/>
      <c r="CW7" s="49"/>
      <c r="CX7" s="49"/>
      <c r="CY7" s="49"/>
      <c r="CZ7" s="49"/>
      <c r="DA7" s="49"/>
      <c r="DB7" s="49"/>
      <c r="DC7" s="49"/>
      <c r="DD7" s="49"/>
      <c r="DE7" s="49"/>
      <c r="DF7" s="49"/>
      <c r="DG7" s="49"/>
      <c r="DH7" s="49"/>
      <c r="DI7" s="49"/>
      <c r="DJ7" s="49"/>
      <c r="DK7" s="49"/>
      <c r="DL7" s="49"/>
      <c r="DM7" s="49"/>
      <c r="DN7" s="49"/>
      <c r="DO7" s="49"/>
      <c r="DP7" s="49"/>
      <c r="DQ7" s="49"/>
      <c r="DR7" s="49"/>
      <c r="DS7" s="49"/>
      <c r="DT7" s="49"/>
      <c r="DU7" s="49"/>
      <c r="DV7" s="49"/>
      <c r="DW7" s="49"/>
      <c r="DX7" s="49"/>
      <c r="DY7" s="49"/>
      <c r="DZ7" s="49"/>
      <c r="EA7" s="49"/>
      <c r="EB7" s="49"/>
      <c r="EC7" s="49"/>
      <c r="ED7" s="49"/>
      <c r="EE7" s="49"/>
      <c r="EF7" s="49"/>
      <c r="EG7" s="49"/>
      <c r="EH7" s="49"/>
      <c r="EI7" s="49"/>
      <c r="EJ7" s="49"/>
      <c r="EK7" s="49"/>
      <c r="EL7" s="49"/>
      <c r="EM7" s="49"/>
      <c r="EN7" s="49"/>
      <c r="EO7" s="49"/>
      <c r="EP7" s="49"/>
      <c r="EQ7" s="49"/>
      <c r="ER7" s="49"/>
      <c r="ES7" s="49"/>
      <c r="ET7" s="49"/>
      <c r="EU7" s="49"/>
      <c r="EV7" s="49"/>
      <c r="EW7" s="49"/>
      <c r="EX7" s="49"/>
      <c r="EY7" s="49"/>
      <c r="EZ7" s="49"/>
      <c r="FA7" s="49"/>
      <c r="FB7" s="49"/>
      <c r="FC7" s="49"/>
      <c r="FD7" s="49"/>
      <c r="FE7" s="49"/>
      <c r="FF7" s="49"/>
      <c r="FG7" s="49"/>
      <c r="FH7" s="49"/>
      <c r="FI7" s="49"/>
      <c r="FJ7" s="49"/>
      <c r="FK7" s="49"/>
      <c r="FL7" s="49"/>
      <c r="FM7" s="49"/>
      <c r="FN7" s="49"/>
      <c r="FO7" s="49"/>
      <c r="FP7" s="49"/>
      <c r="FQ7" s="49"/>
      <c r="FR7" s="49"/>
      <c r="FS7" s="49"/>
      <c r="FT7" s="49"/>
      <c r="FU7" s="49"/>
      <c r="FV7" s="49"/>
      <c r="FW7" s="49"/>
      <c r="FX7" s="49"/>
      <c r="FY7" s="49"/>
      <c r="FZ7" s="49"/>
      <c r="GA7" s="49"/>
      <c r="GB7" s="49"/>
      <c r="GC7" s="49"/>
      <c r="GD7" s="49"/>
      <c r="GE7" s="49"/>
      <c r="GF7" s="49"/>
      <c r="GG7" s="49"/>
      <c r="GH7" s="49"/>
      <c r="GI7" s="49"/>
      <c r="GJ7" s="49"/>
      <c r="GK7" s="49"/>
      <c r="GL7" s="49"/>
      <c r="GM7" s="49"/>
      <c r="GN7" s="49"/>
      <c r="GO7" s="49"/>
      <c r="GP7" s="49"/>
      <c r="GQ7" s="49"/>
      <c r="GR7" s="49"/>
      <c r="GS7" s="49"/>
      <c r="GT7" s="49"/>
      <c r="GU7" s="49"/>
      <c r="GV7" s="49"/>
      <c r="GW7" s="49"/>
      <c r="GX7" s="49"/>
      <c r="GY7" s="49"/>
      <c r="GZ7" s="49"/>
      <c r="HA7" s="49"/>
      <c r="HB7" s="49"/>
      <c r="HC7" s="49"/>
      <c r="HD7" s="49"/>
      <c r="HE7" s="49"/>
      <c r="HF7" s="49"/>
      <c r="HG7" s="49"/>
      <c r="HH7" s="49"/>
      <c r="HI7" s="49"/>
      <c r="HJ7" s="49"/>
      <c r="HK7" s="49"/>
      <c r="HL7" s="49"/>
      <c r="HM7" s="49"/>
      <c r="HN7" s="49"/>
      <c r="HO7" s="49"/>
      <c r="HP7" s="49"/>
      <c r="HQ7" s="49"/>
      <c r="HR7" s="49"/>
    </row>
    <row r="8" spans="1:524" s="77" customFormat="1" ht="18" customHeight="1">
      <c r="A8" s="49"/>
      <c r="B8" s="164" t="s">
        <v>713</v>
      </c>
      <c r="C8" s="49"/>
      <c r="D8" s="49"/>
      <c r="E8" s="49"/>
      <c r="F8" s="49"/>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49"/>
      <c r="BA8" s="49"/>
      <c r="BB8" s="49"/>
      <c r="BC8" s="49"/>
      <c r="BD8" s="49"/>
      <c r="BE8" s="49"/>
      <c r="BF8" s="49"/>
      <c r="BG8" s="49"/>
      <c r="BH8" s="49"/>
      <c r="BI8" s="49"/>
      <c r="BJ8" s="49"/>
      <c r="BK8" s="49"/>
      <c r="BL8" s="49"/>
      <c r="BM8" s="49"/>
      <c r="BN8" s="49"/>
      <c r="BO8" s="49"/>
      <c r="BP8" s="49"/>
      <c r="BQ8" s="49"/>
      <c r="BR8" s="49"/>
      <c r="BS8" s="49"/>
      <c r="BT8" s="49"/>
      <c r="BU8" s="49"/>
      <c r="BV8" s="49"/>
      <c r="BW8" s="49"/>
      <c r="BX8" s="49"/>
      <c r="BY8" s="49"/>
      <c r="BZ8" s="49"/>
      <c r="CA8" s="49"/>
      <c r="CB8" s="49"/>
      <c r="CC8" s="49"/>
      <c r="CD8" s="49"/>
      <c r="CE8" s="49"/>
      <c r="CF8" s="49"/>
      <c r="CG8" s="49"/>
      <c r="CH8" s="49"/>
      <c r="CI8" s="49"/>
      <c r="CJ8" s="49"/>
      <c r="CK8" s="49"/>
      <c r="CL8" s="49"/>
      <c r="CM8" s="49"/>
      <c r="CN8" s="49"/>
      <c r="CO8" s="49"/>
      <c r="CP8" s="49"/>
      <c r="CQ8" s="49"/>
      <c r="CR8" s="49"/>
      <c r="CS8" s="49"/>
      <c r="CT8" s="49"/>
      <c r="CU8" s="49"/>
      <c r="CV8" s="49"/>
      <c r="CW8" s="49"/>
      <c r="CX8" s="49"/>
      <c r="CY8" s="49"/>
      <c r="CZ8" s="49"/>
      <c r="DA8" s="49"/>
      <c r="DB8" s="49"/>
      <c r="DC8" s="49"/>
      <c r="DD8" s="49"/>
      <c r="DE8" s="49"/>
      <c r="DF8" s="49"/>
      <c r="DG8" s="49"/>
      <c r="DH8" s="49"/>
      <c r="DI8" s="49"/>
      <c r="DJ8" s="49"/>
      <c r="DK8" s="49"/>
      <c r="DL8" s="49"/>
      <c r="DM8" s="49"/>
      <c r="DN8" s="49"/>
      <c r="DO8" s="49"/>
      <c r="DP8" s="49"/>
      <c r="DQ8" s="49"/>
      <c r="DR8" s="49"/>
      <c r="DS8" s="49"/>
      <c r="DT8" s="49"/>
      <c r="DU8" s="49"/>
      <c r="DV8" s="49"/>
      <c r="DW8" s="49"/>
      <c r="DX8" s="49"/>
      <c r="DY8" s="49"/>
      <c r="DZ8" s="49"/>
      <c r="EA8" s="49"/>
      <c r="EB8" s="49"/>
      <c r="EC8" s="49"/>
      <c r="ED8" s="49"/>
      <c r="EE8" s="49"/>
      <c r="EF8" s="49"/>
      <c r="EG8" s="49"/>
      <c r="EH8" s="49"/>
      <c r="EI8" s="49"/>
      <c r="EJ8" s="49"/>
      <c r="EK8" s="49"/>
      <c r="EL8" s="49"/>
      <c r="EM8" s="49"/>
      <c r="EN8" s="49"/>
      <c r="EO8" s="49"/>
      <c r="EP8" s="49"/>
      <c r="EQ8" s="49"/>
      <c r="ER8" s="49"/>
      <c r="ES8" s="49"/>
      <c r="ET8" s="49"/>
      <c r="EU8" s="49"/>
      <c r="EV8" s="49"/>
      <c r="EW8" s="49"/>
      <c r="EX8" s="49"/>
      <c r="EY8" s="49"/>
      <c r="EZ8" s="49"/>
      <c r="FA8" s="49"/>
      <c r="FB8" s="49"/>
      <c r="FC8" s="49"/>
      <c r="FD8" s="49"/>
      <c r="FE8" s="49"/>
      <c r="FF8" s="49"/>
      <c r="FG8" s="49"/>
      <c r="FH8" s="49"/>
      <c r="FI8" s="49"/>
      <c r="FJ8" s="49"/>
      <c r="FK8" s="49"/>
      <c r="FL8" s="49"/>
      <c r="FM8" s="49"/>
      <c r="FN8" s="49"/>
      <c r="FO8" s="49"/>
      <c r="FP8" s="49"/>
      <c r="FQ8" s="49"/>
      <c r="FR8" s="49"/>
      <c r="FS8" s="49"/>
      <c r="FT8" s="49"/>
      <c r="FU8" s="49"/>
      <c r="FV8" s="49"/>
      <c r="FW8" s="49"/>
      <c r="FX8" s="49"/>
      <c r="FY8" s="49"/>
      <c r="FZ8" s="49"/>
      <c r="GA8" s="49"/>
      <c r="GB8" s="49"/>
      <c r="GC8" s="49"/>
      <c r="GD8" s="49"/>
      <c r="GE8" s="49"/>
      <c r="GF8" s="49"/>
      <c r="GG8" s="49"/>
      <c r="GH8" s="49"/>
      <c r="GI8" s="49"/>
      <c r="GJ8" s="49"/>
      <c r="GK8" s="49"/>
      <c r="GL8" s="49"/>
      <c r="GM8" s="49"/>
      <c r="GN8" s="49"/>
      <c r="GO8" s="49"/>
      <c r="GP8" s="49"/>
      <c r="GQ8" s="49"/>
      <c r="GR8" s="49"/>
      <c r="GS8" s="49"/>
      <c r="GT8" s="49"/>
      <c r="GU8" s="49"/>
      <c r="GV8" s="49"/>
      <c r="GW8" s="49"/>
      <c r="GX8" s="49"/>
      <c r="GY8" s="49"/>
      <c r="GZ8" s="49"/>
      <c r="HA8" s="49"/>
      <c r="HB8" s="49"/>
      <c r="HC8" s="49"/>
      <c r="HD8" s="49"/>
      <c r="HE8" s="49"/>
      <c r="HF8" s="49"/>
      <c r="HG8" s="49"/>
      <c r="HH8" s="49"/>
      <c r="HI8" s="49"/>
      <c r="HJ8" s="49"/>
      <c r="HK8" s="49"/>
      <c r="HL8" s="49"/>
      <c r="HM8" s="49"/>
      <c r="HN8" s="49"/>
      <c r="HO8" s="49"/>
      <c r="HP8" s="49"/>
      <c r="HQ8" s="49"/>
      <c r="HR8" s="49"/>
    </row>
    <row r="9" spans="1:524" s="77" customFormat="1" ht="17.45" customHeight="1" thickBot="1">
      <c r="A9" s="161"/>
      <c r="B9" s="409" t="s">
        <v>885</v>
      </c>
      <c r="C9" s="49"/>
      <c r="D9" s="49"/>
      <c r="E9" s="49"/>
      <c r="F9" s="49"/>
      <c r="G9" s="49"/>
      <c r="H9" s="49"/>
      <c r="I9" s="49"/>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49"/>
      <c r="BA9" s="49"/>
      <c r="BB9" s="49"/>
      <c r="BC9" s="49"/>
      <c r="BD9" s="49"/>
      <c r="BE9" s="49"/>
      <c r="BF9" s="49"/>
      <c r="BG9" s="49"/>
      <c r="BH9" s="49"/>
      <c r="BI9" s="49"/>
      <c r="BJ9" s="49"/>
      <c r="BK9" s="49"/>
      <c r="BL9" s="49"/>
      <c r="BM9" s="49"/>
      <c r="BN9" s="49"/>
      <c r="BO9" s="49"/>
      <c r="BP9" s="49"/>
      <c r="BQ9" s="49"/>
      <c r="BR9" s="49"/>
      <c r="BS9" s="49"/>
      <c r="BT9" s="49"/>
      <c r="BU9" s="49"/>
      <c r="BV9" s="49"/>
      <c r="BW9" s="49"/>
      <c r="BX9" s="49"/>
      <c r="BY9" s="49"/>
      <c r="BZ9" s="49"/>
      <c r="CA9" s="49"/>
      <c r="CB9" s="49"/>
      <c r="CC9" s="49"/>
      <c r="CD9" s="49"/>
      <c r="CE9" s="49"/>
      <c r="CF9" s="49"/>
      <c r="CG9" s="49"/>
      <c r="CH9" s="49"/>
      <c r="CI9" s="49"/>
      <c r="CJ9" s="49"/>
      <c r="CK9" s="49"/>
      <c r="CL9" s="49"/>
      <c r="CM9" s="49"/>
      <c r="CN9" s="49"/>
      <c r="CO9" s="49"/>
      <c r="CP9" s="49"/>
      <c r="CQ9" s="49"/>
      <c r="CR9" s="49"/>
      <c r="CS9" s="49"/>
      <c r="CT9" s="49"/>
      <c r="CU9" s="49"/>
      <c r="CV9" s="49"/>
      <c r="CW9" s="49"/>
      <c r="CX9" s="49"/>
      <c r="CY9" s="49"/>
      <c r="CZ9" s="49"/>
      <c r="DA9" s="49"/>
      <c r="DB9" s="49"/>
      <c r="DC9" s="49"/>
      <c r="DD9" s="49"/>
      <c r="DE9" s="49"/>
      <c r="DF9" s="49"/>
      <c r="DG9" s="49"/>
      <c r="DH9" s="49"/>
      <c r="DI9" s="49"/>
      <c r="DJ9" s="49"/>
      <c r="DK9" s="49"/>
      <c r="DL9" s="49"/>
      <c r="DM9" s="49"/>
      <c r="DN9" s="49"/>
      <c r="DO9" s="49"/>
      <c r="DP9" s="49"/>
      <c r="DQ9" s="49"/>
      <c r="DR9" s="49"/>
      <c r="DS9" s="49"/>
      <c r="DT9" s="49"/>
      <c r="DU9" s="49"/>
      <c r="DV9" s="49"/>
      <c r="DW9" s="49"/>
      <c r="DX9" s="49"/>
      <c r="DY9" s="49"/>
      <c r="DZ9" s="49"/>
      <c r="EA9" s="49"/>
      <c r="EB9" s="49"/>
      <c r="EC9" s="49"/>
      <c r="ED9" s="49"/>
      <c r="EE9" s="49"/>
      <c r="EF9" s="49"/>
      <c r="EG9" s="49"/>
      <c r="EH9" s="49"/>
      <c r="EI9" s="49"/>
      <c r="EJ9" s="49"/>
      <c r="EK9" s="49"/>
      <c r="EL9" s="49"/>
      <c r="EM9" s="49"/>
      <c r="EN9" s="49"/>
      <c r="EO9" s="49"/>
      <c r="EP9" s="49"/>
      <c r="EQ9" s="49"/>
      <c r="ER9" s="49"/>
      <c r="ES9" s="49"/>
      <c r="ET9" s="49"/>
      <c r="EU9" s="49"/>
      <c r="EV9" s="49"/>
      <c r="EW9" s="49"/>
      <c r="EX9" s="49"/>
      <c r="EY9" s="49"/>
      <c r="EZ9" s="49"/>
      <c r="FA9" s="49"/>
      <c r="FB9" s="49"/>
      <c r="FC9" s="49"/>
      <c r="FD9" s="49"/>
      <c r="FE9" s="49"/>
      <c r="FF9" s="49"/>
      <c r="FG9" s="49"/>
      <c r="FH9" s="49"/>
      <c r="FI9" s="49"/>
      <c r="FJ9" s="49"/>
      <c r="FK9" s="49"/>
      <c r="FL9" s="49"/>
      <c r="FM9" s="49"/>
      <c r="FN9" s="49"/>
      <c r="FO9" s="49"/>
      <c r="FP9" s="49"/>
      <c r="FQ9" s="49"/>
      <c r="FR9" s="49"/>
      <c r="FS9" s="49"/>
      <c r="FT9" s="49"/>
      <c r="FU9" s="49"/>
      <c r="FV9" s="49"/>
      <c r="FW9" s="49"/>
      <c r="FX9" s="49"/>
      <c r="FY9" s="49"/>
      <c r="FZ9" s="49"/>
      <c r="GA9" s="49"/>
      <c r="GB9" s="49"/>
      <c r="GC9" s="49"/>
      <c r="GD9" s="49"/>
      <c r="GE9" s="49"/>
      <c r="GF9" s="49"/>
      <c r="GG9" s="49"/>
      <c r="GH9" s="49"/>
      <c r="GI9" s="49"/>
      <c r="GJ9" s="49"/>
      <c r="GK9" s="49"/>
      <c r="GL9" s="49"/>
      <c r="GM9" s="49"/>
      <c r="GN9" s="49"/>
      <c r="GO9" s="49"/>
      <c r="GP9" s="49"/>
      <c r="GQ9" s="49"/>
      <c r="GR9" s="49"/>
      <c r="GS9" s="49"/>
      <c r="GT9" s="49"/>
      <c r="GU9" s="49"/>
      <c r="GV9" s="49"/>
      <c r="GW9" s="49"/>
      <c r="GX9" s="49"/>
      <c r="GY9" s="49"/>
      <c r="GZ9" s="49"/>
      <c r="HA9" s="49"/>
      <c r="HB9" s="49"/>
      <c r="HC9" s="49"/>
      <c r="HD9" s="49"/>
      <c r="HE9" s="49"/>
      <c r="HF9" s="49"/>
      <c r="HG9" s="49"/>
      <c r="HH9" s="49"/>
      <c r="HI9" s="49"/>
      <c r="HJ9" s="49"/>
      <c r="HK9" s="49"/>
      <c r="HL9" s="49"/>
      <c r="HM9" s="49"/>
      <c r="HN9" s="49"/>
      <c r="HO9" s="49"/>
      <c r="HP9" s="49"/>
      <c r="HQ9" s="49"/>
      <c r="HR9" s="49"/>
    </row>
    <row r="10" spans="1:524" s="77" customFormat="1" ht="18.600000000000001" customHeight="1">
      <c r="A10" s="209">
        <f>MAX(COUNTA(E11:XFD11),COUNTA(E12:XFD12))</f>
        <v>0</v>
      </c>
      <c r="B10" s="210" t="s">
        <v>957</v>
      </c>
      <c r="C10" s="39"/>
      <c r="D10" s="39"/>
      <c r="E10" s="39" t="s">
        <v>285</v>
      </c>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c r="BO10" s="39"/>
      <c r="BP10" s="39"/>
      <c r="BQ10" s="39"/>
      <c r="BR10" s="39"/>
      <c r="BS10" s="39"/>
      <c r="BT10" s="39"/>
      <c r="BU10" s="39"/>
      <c r="BV10" s="39"/>
      <c r="BW10" s="39"/>
      <c r="BX10" s="39"/>
      <c r="BY10" s="39"/>
      <c r="BZ10" s="39"/>
      <c r="CA10" s="39"/>
      <c r="CB10" s="39"/>
      <c r="CC10" s="39"/>
      <c r="CD10" s="39"/>
      <c r="CE10" s="39"/>
      <c r="CF10" s="39"/>
      <c r="CG10" s="39"/>
      <c r="CH10" s="39"/>
      <c r="CI10" s="39"/>
      <c r="CJ10" s="39"/>
      <c r="CK10" s="39"/>
      <c r="CL10" s="39"/>
      <c r="CM10" s="39"/>
      <c r="CN10" s="39"/>
      <c r="CO10" s="39"/>
      <c r="CP10" s="39"/>
      <c r="CQ10" s="39"/>
      <c r="CR10" s="39"/>
      <c r="CS10" s="39"/>
      <c r="CT10" s="39"/>
      <c r="CU10" s="39"/>
      <c r="CV10" s="39"/>
      <c r="CW10" s="39"/>
      <c r="CX10" s="39"/>
      <c r="CY10" s="39"/>
      <c r="CZ10" s="39"/>
      <c r="DA10" s="39"/>
      <c r="DB10" s="39"/>
      <c r="DC10" s="39"/>
      <c r="DD10" s="39"/>
      <c r="DE10" s="39"/>
      <c r="DF10" s="39"/>
      <c r="DG10" s="39"/>
      <c r="DH10" s="39"/>
      <c r="DI10" s="39"/>
      <c r="DJ10" s="39"/>
      <c r="DK10" s="39"/>
      <c r="DL10" s="39"/>
      <c r="DM10" s="39"/>
      <c r="DN10" s="39"/>
      <c r="DO10" s="39"/>
      <c r="DP10" s="39"/>
      <c r="DQ10" s="39"/>
      <c r="DR10" s="39"/>
      <c r="DS10" s="39"/>
      <c r="DT10" s="39"/>
      <c r="DU10" s="39"/>
      <c r="DV10" s="39"/>
      <c r="DW10" s="39"/>
      <c r="DX10" s="39"/>
      <c r="DY10" s="39"/>
      <c r="DZ10" s="39"/>
      <c r="EA10" s="39"/>
      <c r="EB10" s="39"/>
      <c r="EC10" s="39"/>
      <c r="ED10" s="39"/>
      <c r="EE10" s="39"/>
      <c r="EF10" s="39"/>
      <c r="EG10" s="39"/>
      <c r="EH10" s="39"/>
      <c r="EI10" s="39"/>
      <c r="EJ10" s="39"/>
      <c r="EK10" s="39"/>
      <c r="EL10" s="39"/>
      <c r="EM10" s="39"/>
      <c r="EN10" s="39"/>
      <c r="EO10" s="39"/>
      <c r="EP10" s="39"/>
      <c r="EQ10" s="39"/>
      <c r="ER10" s="39"/>
      <c r="ES10" s="39"/>
      <c r="ET10" s="39"/>
      <c r="EU10" s="39"/>
      <c r="EV10" s="39"/>
      <c r="EW10" s="39"/>
      <c r="EX10" s="39"/>
      <c r="EY10" s="39"/>
      <c r="EZ10" s="39"/>
      <c r="FA10" s="39"/>
      <c r="FB10" s="39"/>
      <c r="FC10" s="39"/>
      <c r="FD10" s="39"/>
      <c r="FE10" s="39"/>
      <c r="FF10" s="39"/>
      <c r="FG10" s="39"/>
      <c r="FH10" s="39"/>
      <c r="FI10" s="39"/>
      <c r="FJ10" s="39"/>
      <c r="FK10" s="39"/>
      <c r="FL10" s="39"/>
      <c r="FM10" s="39"/>
      <c r="FN10" s="39"/>
      <c r="FO10" s="39"/>
      <c r="FP10" s="39"/>
      <c r="FQ10" s="39"/>
      <c r="FR10" s="39"/>
      <c r="FS10" s="39"/>
      <c r="FT10" s="39"/>
      <c r="FU10" s="39"/>
      <c r="FV10" s="39"/>
      <c r="FW10" s="39"/>
      <c r="FX10" s="39"/>
      <c r="FY10" s="39"/>
      <c r="FZ10" s="39"/>
      <c r="GA10" s="39"/>
      <c r="GB10" s="39"/>
      <c r="GC10" s="39"/>
      <c r="GD10" s="39"/>
      <c r="GE10" s="39"/>
      <c r="GF10" s="39"/>
      <c r="GG10" s="39"/>
      <c r="GH10" s="39"/>
      <c r="GI10" s="39"/>
      <c r="GJ10" s="39"/>
      <c r="GK10" s="39"/>
      <c r="GL10" s="39"/>
      <c r="GM10" s="39"/>
      <c r="GN10" s="39"/>
      <c r="GO10" s="39"/>
      <c r="GP10" s="39"/>
      <c r="GQ10" s="39"/>
      <c r="GR10" s="39"/>
      <c r="GS10" s="39"/>
      <c r="GT10" s="39"/>
      <c r="GU10" s="39"/>
      <c r="GV10" s="39"/>
      <c r="GW10" s="39"/>
      <c r="GX10" s="39"/>
      <c r="GY10" s="39"/>
      <c r="GZ10" s="39"/>
      <c r="HA10" s="39"/>
      <c r="HB10" s="39"/>
      <c r="HC10" s="39"/>
      <c r="HD10" s="39"/>
      <c r="HE10" s="39"/>
      <c r="HF10" s="39"/>
      <c r="HG10" s="39"/>
      <c r="HH10" s="39"/>
      <c r="HI10" s="39"/>
      <c r="HJ10" s="39"/>
      <c r="HK10" s="39"/>
      <c r="HL10" s="39"/>
      <c r="HM10" s="39"/>
      <c r="HN10" s="39"/>
      <c r="HO10" s="39"/>
      <c r="HP10" s="39"/>
      <c r="HQ10" s="39"/>
      <c r="HR10" s="39"/>
    </row>
    <row r="11" spans="1:524" s="80" customFormat="1" ht="15" customHeight="1">
      <c r="A11" s="161">
        <f>COUNTA(D21:D120)</f>
        <v>99</v>
      </c>
      <c r="B11" s="161"/>
      <c r="C11" s="39" t="s">
        <v>279</v>
      </c>
      <c r="D11" s="39" t="s">
        <v>286</v>
      </c>
      <c r="E11" s="163"/>
      <c r="F11" s="163"/>
      <c r="G11" s="163"/>
      <c r="H11" s="163"/>
      <c r="I11" s="163"/>
      <c r="J11" s="163"/>
      <c r="K11" s="163"/>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3"/>
      <c r="DI11" s="163"/>
      <c r="DJ11" s="163"/>
      <c r="DK11" s="163"/>
      <c r="DL11" s="163"/>
      <c r="DM11" s="163"/>
      <c r="DN11" s="163"/>
      <c r="DO11" s="163"/>
      <c r="DP11" s="163"/>
      <c r="DQ11" s="163"/>
      <c r="DR11" s="163"/>
      <c r="DS11" s="163"/>
      <c r="DT11" s="163"/>
      <c r="DU11" s="163"/>
      <c r="DV11" s="163"/>
      <c r="DW11" s="163"/>
      <c r="DX11" s="163"/>
      <c r="DY11" s="163"/>
      <c r="DZ11" s="163"/>
      <c r="EA11" s="163"/>
      <c r="EB11" s="163"/>
      <c r="EC11" s="163"/>
      <c r="ED11" s="163"/>
      <c r="EE11" s="163"/>
      <c r="EF11" s="163"/>
      <c r="EG11" s="163"/>
      <c r="EH11" s="163"/>
      <c r="EI11" s="163"/>
      <c r="EJ11" s="163"/>
      <c r="EK11" s="163"/>
      <c r="EL11" s="163"/>
      <c r="EM11" s="163"/>
      <c r="EN11" s="163"/>
      <c r="EO11" s="163"/>
      <c r="EP11" s="163"/>
      <c r="EQ11" s="163"/>
      <c r="ER11" s="163"/>
      <c r="ES11" s="163"/>
      <c r="ET11" s="163"/>
      <c r="EU11" s="163"/>
      <c r="EV11" s="163"/>
      <c r="EW11" s="163"/>
      <c r="EX11" s="163"/>
      <c r="EY11" s="163"/>
      <c r="EZ11" s="163"/>
      <c r="FA11" s="163"/>
      <c r="FB11" s="163"/>
      <c r="FC11" s="163"/>
      <c r="FD11" s="163"/>
      <c r="FE11" s="163"/>
      <c r="FF11" s="163"/>
      <c r="FG11" s="163"/>
      <c r="FH11" s="163"/>
      <c r="FI11" s="163"/>
      <c r="FJ11" s="163"/>
      <c r="FK11" s="163"/>
      <c r="FL11" s="163"/>
      <c r="FM11" s="163"/>
      <c r="FN11" s="163"/>
      <c r="FO11" s="163"/>
      <c r="FP11" s="163"/>
      <c r="FQ11" s="163"/>
      <c r="FR11" s="163"/>
      <c r="FS11" s="163"/>
      <c r="FT11" s="163"/>
      <c r="FU11" s="163"/>
      <c r="FV11" s="163"/>
      <c r="FW11" s="163"/>
      <c r="FX11" s="163"/>
      <c r="FY11" s="163"/>
      <c r="FZ11" s="163"/>
      <c r="GA11" s="163"/>
      <c r="GB11" s="163"/>
      <c r="GC11" s="163"/>
      <c r="GD11" s="163"/>
      <c r="GE11" s="163"/>
      <c r="GF11" s="163"/>
      <c r="GG11" s="163"/>
      <c r="GH11" s="163"/>
      <c r="GI11" s="163"/>
      <c r="GJ11" s="163"/>
      <c r="GK11" s="163"/>
      <c r="GL11" s="163"/>
      <c r="GM11" s="163"/>
      <c r="GN11" s="163"/>
      <c r="GO11" s="163"/>
      <c r="GP11" s="163"/>
      <c r="GQ11" s="163"/>
      <c r="GR11" s="163"/>
      <c r="GS11" s="163"/>
      <c r="GT11" s="163"/>
      <c r="GU11" s="163"/>
      <c r="GV11" s="163"/>
      <c r="GW11" s="163"/>
      <c r="GX11" s="163"/>
      <c r="GY11" s="163"/>
      <c r="GZ11" s="163"/>
      <c r="HA11" s="163"/>
      <c r="HB11" s="163"/>
      <c r="HC11" s="163"/>
      <c r="HD11" s="163"/>
      <c r="HE11" s="163"/>
      <c r="HF11" s="163"/>
      <c r="HG11" s="163"/>
      <c r="HH11" s="163"/>
      <c r="HI11" s="163"/>
      <c r="HJ11" s="163"/>
      <c r="HK11" s="163"/>
      <c r="HL11" s="163"/>
      <c r="HM11" s="163"/>
      <c r="HN11" s="163"/>
      <c r="HO11" s="163"/>
      <c r="HP11" s="163"/>
      <c r="HQ11" s="163"/>
      <c r="HR11" s="163"/>
      <c r="HS11" s="183"/>
      <c r="HT11" s="183"/>
      <c r="HU11" s="183"/>
      <c r="HV11" s="183"/>
      <c r="HW11" s="183"/>
      <c r="HX11" s="183"/>
      <c r="HY11" s="183"/>
      <c r="HZ11" s="183"/>
      <c r="IA11" s="183"/>
      <c r="IB11" s="183"/>
      <c r="IC11" s="183"/>
      <c r="ID11" s="183"/>
      <c r="IE11" s="183"/>
      <c r="IF11" s="183"/>
      <c r="IG11" s="183"/>
      <c r="IH11" s="183"/>
      <c r="II11" s="183"/>
      <c r="IJ11" s="183"/>
      <c r="IK11" s="183"/>
      <c r="IL11" s="183"/>
      <c r="IM11" s="183"/>
      <c r="IN11" s="183"/>
      <c r="IO11" s="183"/>
      <c r="IP11" s="183"/>
      <c r="IQ11" s="183"/>
      <c r="IR11" s="183"/>
      <c r="IS11" s="183"/>
      <c r="IT11" s="183"/>
      <c r="IU11" s="183"/>
      <c r="IV11" s="183"/>
      <c r="IW11" s="183"/>
      <c r="IX11" s="183"/>
      <c r="IY11" s="183"/>
      <c r="IZ11" s="183"/>
      <c r="JA11" s="183"/>
      <c r="JB11" s="183"/>
      <c r="JC11" s="183"/>
      <c r="JD11" s="183"/>
      <c r="JE11" s="183"/>
      <c r="JF11" s="183"/>
      <c r="JG11" s="183"/>
      <c r="JH11" s="183"/>
      <c r="JI11" s="183"/>
      <c r="JJ11" s="183"/>
      <c r="JK11" s="183"/>
      <c r="JL11" s="183"/>
      <c r="JM11" s="183"/>
      <c r="JN11" s="183"/>
      <c r="JO11" s="183"/>
      <c r="JP11" s="183"/>
      <c r="JQ11" s="183"/>
      <c r="JR11" s="183"/>
      <c r="JS11" s="183"/>
      <c r="JT11" s="183"/>
      <c r="JU11" s="183"/>
      <c r="JV11" s="183"/>
      <c r="JW11" s="183"/>
      <c r="JX11" s="183"/>
      <c r="JY11" s="183"/>
      <c r="JZ11" s="183"/>
      <c r="KA11" s="183"/>
      <c r="KB11" s="183"/>
      <c r="KC11" s="183"/>
      <c r="KD11" s="183"/>
      <c r="KE11" s="183"/>
      <c r="KF11" s="183"/>
      <c r="KG11" s="183"/>
      <c r="KH11" s="183"/>
      <c r="KI11" s="183"/>
      <c r="KJ11" s="183"/>
      <c r="KK11" s="183"/>
      <c r="KL11" s="183"/>
      <c r="KM11" s="183"/>
      <c r="KN11" s="183"/>
      <c r="KO11" s="183"/>
      <c r="KP11" s="183"/>
      <c r="KQ11" s="183"/>
      <c r="KR11" s="183"/>
      <c r="KS11" s="183"/>
      <c r="KT11" s="183"/>
      <c r="KU11" s="183"/>
      <c r="KV11" s="183"/>
      <c r="KW11" s="183"/>
      <c r="KX11" s="183"/>
      <c r="KY11" s="183"/>
      <c r="KZ11" s="183"/>
      <c r="LA11" s="183"/>
      <c r="LB11" s="183"/>
      <c r="LC11" s="183"/>
      <c r="LD11" s="183"/>
      <c r="LE11" s="183"/>
      <c r="LF11" s="183"/>
      <c r="LG11" s="183"/>
      <c r="LH11" s="183"/>
      <c r="LI11" s="183"/>
      <c r="LJ11" s="183"/>
      <c r="LK11" s="183"/>
      <c r="LL11" s="183"/>
      <c r="LM11" s="183"/>
      <c r="LN11" s="183"/>
      <c r="LO11" s="183"/>
      <c r="LP11" s="183"/>
      <c r="LQ11" s="183"/>
      <c r="LR11" s="183"/>
      <c r="LS11" s="183"/>
      <c r="LT11" s="183"/>
      <c r="LU11" s="183"/>
      <c r="LV11" s="183"/>
      <c r="LW11" s="183"/>
      <c r="LX11" s="183"/>
      <c r="LY11" s="183"/>
      <c r="LZ11" s="183"/>
      <c r="MA11" s="183"/>
      <c r="MB11" s="183"/>
      <c r="MC11" s="183"/>
      <c r="MD11" s="183"/>
      <c r="ME11" s="183"/>
      <c r="MF11" s="183"/>
      <c r="MG11" s="183"/>
      <c r="MH11" s="183"/>
      <c r="MI11" s="183"/>
      <c r="MJ11" s="183"/>
      <c r="MK11" s="183"/>
      <c r="ML11" s="183"/>
      <c r="MM11" s="183"/>
      <c r="MN11" s="183"/>
      <c r="MO11" s="183"/>
      <c r="MP11" s="183"/>
      <c r="MQ11" s="183"/>
      <c r="MR11" s="183"/>
      <c r="MS11" s="183"/>
      <c r="MT11" s="183"/>
      <c r="MU11" s="183"/>
      <c r="MV11" s="183"/>
      <c r="MW11" s="183"/>
      <c r="MX11" s="183"/>
      <c r="MY11" s="183"/>
      <c r="MZ11" s="183"/>
      <c r="NA11" s="183"/>
      <c r="NB11" s="183"/>
      <c r="NC11" s="183"/>
      <c r="ND11" s="183"/>
      <c r="NE11" s="183"/>
      <c r="NF11" s="183"/>
      <c r="NG11" s="183"/>
      <c r="NH11" s="183"/>
      <c r="NI11" s="183"/>
      <c r="NJ11" s="183"/>
      <c r="NK11" s="183"/>
      <c r="NL11" s="183"/>
      <c r="NM11" s="183"/>
      <c r="NN11" s="183"/>
      <c r="NO11" s="183"/>
      <c r="NP11" s="183"/>
      <c r="NQ11" s="183"/>
      <c r="NR11" s="183"/>
      <c r="NS11" s="183"/>
      <c r="NT11" s="183"/>
      <c r="NU11" s="183"/>
      <c r="NV11" s="183"/>
      <c r="NW11" s="183"/>
      <c r="NX11" s="183"/>
      <c r="NY11" s="183"/>
      <c r="NZ11" s="183"/>
      <c r="OA11" s="183"/>
      <c r="OB11" s="183"/>
      <c r="OC11" s="183"/>
      <c r="OD11" s="183"/>
      <c r="OE11" s="183"/>
      <c r="OF11" s="183"/>
      <c r="OG11" s="183"/>
      <c r="OH11" s="183"/>
      <c r="OI11" s="183"/>
      <c r="OJ11" s="183"/>
      <c r="OK11" s="183"/>
      <c r="OL11" s="183"/>
      <c r="OM11" s="183"/>
      <c r="ON11" s="183"/>
      <c r="OO11" s="183"/>
      <c r="OP11" s="183"/>
      <c r="OQ11" s="183"/>
      <c r="OR11" s="183"/>
      <c r="OS11" s="183"/>
      <c r="OT11" s="183"/>
      <c r="OU11" s="183"/>
      <c r="OV11" s="183"/>
      <c r="OW11" s="183"/>
      <c r="OX11" s="183"/>
      <c r="OY11" s="183"/>
      <c r="OZ11" s="183"/>
      <c r="PA11" s="183"/>
      <c r="PB11" s="183"/>
      <c r="PC11" s="183"/>
      <c r="PD11" s="183"/>
      <c r="PE11" s="183"/>
      <c r="PF11" s="183"/>
      <c r="PG11" s="183"/>
      <c r="PH11" s="183"/>
      <c r="PI11" s="183"/>
      <c r="PJ11" s="183"/>
      <c r="PK11" s="183"/>
      <c r="PL11" s="183"/>
      <c r="PM11" s="183"/>
      <c r="PN11" s="183"/>
      <c r="PO11" s="183"/>
      <c r="PP11" s="183"/>
      <c r="PQ11" s="183"/>
      <c r="PR11" s="183"/>
      <c r="PS11" s="183"/>
      <c r="PT11" s="183"/>
      <c r="PU11" s="183"/>
      <c r="PV11" s="183"/>
      <c r="PW11" s="183"/>
      <c r="PX11" s="183"/>
      <c r="PY11" s="183"/>
      <c r="PZ11" s="183"/>
      <c r="QA11" s="183"/>
      <c r="QB11" s="183"/>
      <c r="QC11" s="183"/>
      <c r="QD11" s="183"/>
      <c r="QE11" s="183"/>
      <c r="QF11" s="183"/>
      <c r="QG11" s="183"/>
      <c r="QH11" s="183"/>
      <c r="QI11" s="183"/>
      <c r="QJ11" s="183"/>
      <c r="QK11" s="183"/>
      <c r="QL11" s="183"/>
      <c r="QM11" s="183"/>
      <c r="QN11" s="183"/>
      <c r="QO11" s="183"/>
      <c r="QP11" s="183"/>
      <c r="QQ11" s="183"/>
      <c r="QR11" s="183"/>
      <c r="QS11" s="183"/>
      <c r="QT11" s="183"/>
      <c r="QU11" s="183"/>
      <c r="QV11" s="183"/>
      <c r="QW11" s="183"/>
      <c r="QX11" s="183"/>
      <c r="QY11" s="183"/>
      <c r="QZ11" s="183"/>
      <c r="RA11" s="183"/>
      <c r="RB11" s="183"/>
      <c r="RC11" s="183"/>
      <c r="RD11" s="183"/>
      <c r="RE11" s="183"/>
      <c r="RF11" s="183"/>
      <c r="RG11" s="183"/>
      <c r="RH11" s="183"/>
      <c r="RI11" s="183"/>
      <c r="RJ11" s="183"/>
      <c r="RK11" s="183"/>
      <c r="RL11" s="183"/>
      <c r="RM11" s="183"/>
      <c r="RN11" s="183"/>
      <c r="RO11" s="183"/>
      <c r="RP11" s="183"/>
      <c r="RQ11" s="183"/>
      <c r="RR11" s="183"/>
      <c r="RS11" s="183"/>
      <c r="RT11" s="183"/>
      <c r="RU11" s="183"/>
      <c r="RV11" s="183"/>
      <c r="RW11" s="183"/>
      <c r="RX11" s="183"/>
      <c r="RY11" s="183"/>
      <c r="RZ11" s="183"/>
      <c r="SA11" s="183"/>
      <c r="SB11" s="183"/>
      <c r="SC11" s="183"/>
      <c r="SD11" s="183"/>
      <c r="SE11" s="183"/>
      <c r="SF11" s="183"/>
      <c r="SG11" s="183"/>
      <c r="SH11" s="183"/>
      <c r="SI11" s="183"/>
      <c r="SJ11" s="183"/>
      <c r="SK11" s="183"/>
      <c r="SL11" s="183"/>
      <c r="SM11" s="183"/>
      <c r="SN11" s="183"/>
      <c r="SO11" s="183"/>
      <c r="SP11" s="183"/>
      <c r="SQ11" s="183"/>
      <c r="SR11" s="183"/>
      <c r="SS11" s="183"/>
      <c r="ST11" s="183"/>
      <c r="SU11" s="183"/>
      <c r="SV11" s="183"/>
      <c r="SW11" s="183"/>
      <c r="SX11" s="183"/>
      <c r="SY11" s="183"/>
      <c r="SZ11" s="183"/>
      <c r="TA11" s="183"/>
      <c r="TB11" s="183"/>
      <c r="TC11" s="183"/>
      <c r="TD11" s="183"/>
    </row>
    <row r="12" spans="1:524" s="80" customFormat="1" ht="15" hidden="1" customHeight="1">
      <c r="A12" s="49"/>
      <c r="B12" s="49"/>
      <c r="C12" s="158"/>
      <c r="D12" s="165"/>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c r="CA12" s="166"/>
      <c r="CB12" s="166"/>
      <c r="CC12" s="166"/>
      <c r="CD12" s="166"/>
      <c r="CE12" s="166"/>
      <c r="CF12" s="166"/>
      <c r="CG12" s="166"/>
      <c r="CH12" s="166"/>
      <c r="CI12" s="166"/>
      <c r="CJ12" s="166"/>
      <c r="CK12" s="166"/>
      <c r="CL12" s="166"/>
      <c r="CM12" s="166"/>
      <c r="CN12" s="166"/>
      <c r="CO12" s="166"/>
      <c r="CP12" s="166"/>
      <c r="CQ12" s="166"/>
      <c r="CR12" s="166"/>
      <c r="CS12" s="166"/>
      <c r="CT12" s="166"/>
      <c r="CU12" s="166"/>
      <c r="CV12" s="166"/>
      <c r="CW12" s="166"/>
      <c r="CX12" s="166"/>
      <c r="CY12" s="166"/>
      <c r="CZ12" s="166"/>
      <c r="DA12" s="166"/>
      <c r="DB12" s="166"/>
      <c r="DC12" s="166"/>
      <c r="DD12" s="166"/>
      <c r="DE12" s="166"/>
      <c r="DF12" s="166"/>
      <c r="DG12" s="166"/>
      <c r="DH12" s="166"/>
      <c r="DI12" s="166"/>
      <c r="DJ12" s="166"/>
      <c r="DK12" s="166"/>
      <c r="DL12" s="166"/>
      <c r="DM12" s="166"/>
      <c r="DN12" s="166"/>
      <c r="DO12" s="166"/>
      <c r="DP12" s="166"/>
      <c r="DQ12" s="166"/>
      <c r="DR12" s="166"/>
      <c r="DS12" s="166"/>
      <c r="DT12" s="166"/>
      <c r="DU12" s="166"/>
      <c r="DV12" s="166"/>
      <c r="DW12" s="166"/>
      <c r="DX12" s="166"/>
      <c r="DY12" s="166"/>
      <c r="DZ12" s="166"/>
      <c r="EA12" s="166"/>
      <c r="EB12" s="166"/>
      <c r="EC12" s="166"/>
      <c r="ED12" s="166"/>
      <c r="EE12" s="166"/>
      <c r="EF12" s="166"/>
      <c r="EG12" s="166"/>
      <c r="EH12" s="166"/>
      <c r="EI12" s="166"/>
      <c r="EJ12" s="166"/>
      <c r="EK12" s="166"/>
      <c r="EL12" s="166"/>
      <c r="EM12" s="166"/>
      <c r="EN12" s="166"/>
      <c r="EO12" s="166"/>
      <c r="EP12" s="166"/>
      <c r="EQ12" s="166"/>
      <c r="ER12" s="166"/>
      <c r="ES12" s="166"/>
      <c r="ET12" s="166"/>
      <c r="EU12" s="166"/>
      <c r="EV12" s="166"/>
      <c r="EW12" s="166"/>
      <c r="EX12" s="166"/>
      <c r="EY12" s="166"/>
      <c r="EZ12" s="166"/>
      <c r="FA12" s="166"/>
      <c r="FB12" s="166"/>
      <c r="FC12" s="166"/>
      <c r="FD12" s="166"/>
      <c r="FE12" s="166"/>
      <c r="FF12" s="166"/>
      <c r="FG12" s="166"/>
      <c r="FH12" s="166"/>
      <c r="FI12" s="166"/>
      <c r="FJ12" s="166"/>
      <c r="FK12" s="166"/>
      <c r="FL12" s="166"/>
      <c r="FM12" s="166"/>
      <c r="FN12" s="166"/>
      <c r="FO12" s="166"/>
      <c r="FP12" s="166"/>
      <c r="FQ12" s="166"/>
      <c r="FR12" s="166"/>
      <c r="FS12" s="166"/>
      <c r="FT12" s="166"/>
      <c r="FU12" s="166"/>
      <c r="FV12" s="166"/>
      <c r="FW12" s="166"/>
      <c r="FX12" s="166"/>
      <c r="FY12" s="166"/>
      <c r="FZ12" s="166"/>
      <c r="GA12" s="166"/>
      <c r="GB12" s="166"/>
      <c r="GC12" s="166"/>
      <c r="GD12" s="166"/>
      <c r="GE12" s="166"/>
      <c r="GF12" s="166"/>
      <c r="GG12" s="166"/>
      <c r="GH12" s="166"/>
      <c r="GI12" s="166"/>
      <c r="GJ12" s="166"/>
      <c r="GK12" s="166"/>
      <c r="GL12" s="166"/>
      <c r="GM12" s="166"/>
      <c r="GN12" s="166"/>
      <c r="GO12" s="166"/>
      <c r="GP12" s="166"/>
      <c r="GQ12" s="166"/>
      <c r="GR12" s="166"/>
      <c r="GS12" s="166"/>
      <c r="GT12" s="166"/>
      <c r="GU12" s="166"/>
      <c r="GV12" s="166"/>
      <c r="GW12" s="166"/>
      <c r="GX12" s="166"/>
      <c r="GY12" s="166"/>
      <c r="GZ12" s="166"/>
      <c r="HA12" s="166"/>
      <c r="HB12" s="166"/>
      <c r="HC12" s="166"/>
      <c r="HD12" s="166"/>
      <c r="HE12" s="166"/>
      <c r="HF12" s="166"/>
      <c r="HG12" s="166"/>
      <c r="HH12" s="166"/>
      <c r="HI12" s="166"/>
      <c r="HJ12" s="166"/>
      <c r="HK12" s="166"/>
      <c r="HL12" s="166"/>
      <c r="HM12" s="166"/>
      <c r="HN12" s="166"/>
      <c r="HO12" s="166"/>
      <c r="HP12" s="166"/>
      <c r="HQ12" s="166"/>
      <c r="HR12" s="166"/>
      <c r="HS12" s="183"/>
      <c r="HT12" s="183"/>
      <c r="HU12" s="183"/>
      <c r="HV12" s="183"/>
      <c r="HW12" s="183"/>
      <c r="HX12" s="183"/>
      <c r="HY12" s="183"/>
      <c r="HZ12" s="183"/>
      <c r="IA12" s="183"/>
      <c r="IB12" s="183"/>
      <c r="IC12" s="183"/>
      <c r="ID12" s="183"/>
      <c r="IE12" s="183"/>
      <c r="IF12" s="183"/>
      <c r="IG12" s="183"/>
      <c r="IH12" s="183"/>
      <c r="II12" s="183"/>
      <c r="IJ12" s="183"/>
      <c r="IK12" s="183"/>
      <c r="IL12" s="183"/>
      <c r="IM12" s="183"/>
      <c r="IN12" s="183"/>
      <c r="IO12" s="183"/>
      <c r="IP12" s="183"/>
      <c r="IQ12" s="183"/>
      <c r="IR12" s="183"/>
      <c r="IS12" s="183"/>
      <c r="IT12" s="183"/>
      <c r="IU12" s="183"/>
      <c r="IV12" s="183"/>
      <c r="IW12" s="183"/>
      <c r="IX12" s="183"/>
      <c r="IY12" s="183"/>
      <c r="IZ12" s="183"/>
      <c r="JA12" s="183"/>
      <c r="JB12" s="183"/>
      <c r="JC12" s="183"/>
      <c r="JD12" s="183"/>
      <c r="JE12" s="183"/>
      <c r="JF12" s="183"/>
      <c r="JG12" s="183"/>
      <c r="JH12" s="183"/>
      <c r="JI12" s="183"/>
      <c r="JJ12" s="183"/>
      <c r="JK12" s="183"/>
      <c r="JL12" s="183"/>
      <c r="JM12" s="183"/>
      <c r="JN12" s="183"/>
      <c r="JO12" s="183"/>
      <c r="JP12" s="183"/>
      <c r="JQ12" s="183"/>
      <c r="JR12" s="183"/>
      <c r="JS12" s="183"/>
      <c r="JT12" s="183"/>
      <c r="JU12" s="183"/>
      <c r="JV12" s="183"/>
      <c r="JW12" s="183"/>
      <c r="JX12" s="183"/>
      <c r="JY12" s="183"/>
      <c r="JZ12" s="183"/>
      <c r="KA12" s="183"/>
      <c r="KB12" s="183"/>
      <c r="KC12" s="183"/>
      <c r="KD12" s="183"/>
      <c r="KE12" s="183"/>
      <c r="KF12" s="183"/>
      <c r="KG12" s="183"/>
      <c r="KH12" s="183"/>
      <c r="KI12" s="183"/>
      <c r="KJ12" s="183"/>
      <c r="KK12" s="183"/>
      <c r="KL12" s="183"/>
      <c r="KM12" s="183"/>
      <c r="KN12" s="183"/>
      <c r="KO12" s="183"/>
      <c r="KP12" s="183"/>
      <c r="KQ12" s="183"/>
      <c r="KR12" s="183"/>
      <c r="KS12" s="183"/>
      <c r="KT12" s="183"/>
      <c r="KU12" s="183"/>
      <c r="KV12" s="183"/>
      <c r="KW12" s="183"/>
      <c r="KX12" s="183"/>
      <c r="KY12" s="183"/>
      <c r="KZ12" s="183"/>
      <c r="LA12" s="183"/>
      <c r="LB12" s="183"/>
      <c r="LC12" s="183"/>
      <c r="LD12" s="183"/>
      <c r="LE12" s="183"/>
      <c r="LF12" s="183"/>
      <c r="LG12" s="183"/>
      <c r="LH12" s="183"/>
      <c r="LI12" s="183"/>
      <c r="LJ12" s="183"/>
      <c r="LK12" s="183"/>
      <c r="LL12" s="183"/>
      <c r="LM12" s="183"/>
      <c r="LN12" s="183"/>
      <c r="LO12" s="183"/>
      <c r="LP12" s="183"/>
      <c r="LQ12" s="183"/>
      <c r="LR12" s="183"/>
      <c r="LS12" s="183"/>
      <c r="LT12" s="183"/>
      <c r="LU12" s="183"/>
      <c r="LV12" s="183"/>
      <c r="LW12" s="183"/>
      <c r="LX12" s="183"/>
      <c r="LY12" s="183"/>
      <c r="LZ12" s="183"/>
      <c r="MA12" s="183"/>
      <c r="MB12" s="183"/>
      <c r="MC12" s="183"/>
      <c r="MD12" s="183"/>
      <c r="ME12" s="183"/>
      <c r="MF12" s="183"/>
      <c r="MG12" s="183"/>
      <c r="MH12" s="183"/>
      <c r="MI12" s="183"/>
      <c r="MJ12" s="183"/>
      <c r="MK12" s="183"/>
      <c r="ML12" s="183"/>
      <c r="MM12" s="183"/>
      <c r="MN12" s="183"/>
      <c r="MO12" s="183"/>
      <c r="MP12" s="183"/>
      <c r="MQ12" s="183"/>
      <c r="MR12" s="183"/>
      <c r="MS12" s="183"/>
      <c r="MT12" s="183"/>
      <c r="MU12" s="183"/>
      <c r="MV12" s="183"/>
      <c r="MW12" s="183"/>
      <c r="MX12" s="183"/>
      <c r="MY12" s="183"/>
      <c r="MZ12" s="183"/>
      <c r="NA12" s="183"/>
      <c r="NB12" s="183"/>
      <c r="NC12" s="183"/>
      <c r="ND12" s="183"/>
      <c r="NE12" s="183"/>
      <c r="NF12" s="183"/>
      <c r="NG12" s="183"/>
      <c r="NH12" s="183"/>
      <c r="NI12" s="183"/>
      <c r="NJ12" s="183"/>
      <c r="NK12" s="183"/>
      <c r="NL12" s="183"/>
      <c r="NM12" s="183"/>
      <c r="NN12" s="183"/>
      <c r="NO12" s="183"/>
      <c r="NP12" s="183"/>
      <c r="NQ12" s="183"/>
      <c r="NR12" s="183"/>
      <c r="NS12" s="183"/>
      <c r="NT12" s="183"/>
      <c r="NU12" s="183"/>
      <c r="NV12" s="183"/>
      <c r="NW12" s="183"/>
      <c r="NX12" s="183"/>
      <c r="NY12" s="183"/>
      <c r="NZ12" s="183"/>
      <c r="OA12" s="183"/>
      <c r="OB12" s="183"/>
      <c r="OC12" s="183"/>
      <c r="OD12" s="183"/>
      <c r="OE12" s="183"/>
      <c r="OF12" s="183"/>
      <c r="OG12" s="183"/>
      <c r="OH12" s="183"/>
      <c r="OI12" s="183"/>
      <c r="OJ12" s="183"/>
      <c r="OK12" s="183"/>
      <c r="OL12" s="183"/>
      <c r="OM12" s="183"/>
      <c r="ON12" s="183"/>
      <c r="OO12" s="183"/>
      <c r="OP12" s="183"/>
      <c r="OQ12" s="183"/>
      <c r="OR12" s="183"/>
      <c r="OS12" s="183"/>
      <c r="OT12" s="183"/>
      <c r="OU12" s="183"/>
      <c r="OV12" s="183"/>
      <c r="OW12" s="183"/>
      <c r="OX12" s="183"/>
      <c r="OY12" s="183"/>
      <c r="OZ12" s="183"/>
      <c r="PA12" s="183"/>
      <c r="PB12" s="183"/>
      <c r="PC12" s="183"/>
      <c r="PD12" s="183"/>
      <c r="PE12" s="183"/>
      <c r="PF12" s="183"/>
      <c r="PG12" s="183"/>
      <c r="PH12" s="183"/>
      <c r="PI12" s="183"/>
      <c r="PJ12" s="183"/>
      <c r="PK12" s="183"/>
      <c r="PL12" s="183"/>
      <c r="PM12" s="183"/>
      <c r="PN12" s="183"/>
      <c r="PO12" s="183"/>
      <c r="PP12" s="183"/>
      <c r="PQ12" s="183"/>
      <c r="PR12" s="183"/>
      <c r="PS12" s="183"/>
      <c r="PT12" s="183"/>
      <c r="PU12" s="183"/>
      <c r="PV12" s="183"/>
      <c r="PW12" s="183"/>
      <c r="PX12" s="183"/>
      <c r="PY12" s="183"/>
      <c r="PZ12" s="183"/>
      <c r="QA12" s="183"/>
      <c r="QB12" s="183"/>
      <c r="QC12" s="183"/>
      <c r="QD12" s="183"/>
      <c r="QE12" s="183"/>
      <c r="QF12" s="183"/>
      <c r="QG12" s="183"/>
      <c r="QH12" s="183"/>
      <c r="QI12" s="183"/>
      <c r="QJ12" s="183"/>
      <c r="QK12" s="183"/>
      <c r="QL12" s="183"/>
      <c r="QM12" s="183"/>
      <c r="QN12" s="183"/>
      <c r="QO12" s="183"/>
      <c r="QP12" s="183"/>
      <c r="QQ12" s="183"/>
      <c r="QR12" s="183"/>
      <c r="QS12" s="183"/>
      <c r="QT12" s="183"/>
      <c r="QU12" s="183"/>
      <c r="QV12" s="183"/>
      <c r="QW12" s="183"/>
      <c r="QX12" s="183"/>
      <c r="QY12" s="183"/>
      <c r="QZ12" s="183"/>
      <c r="RA12" s="183"/>
      <c r="RB12" s="183"/>
      <c r="RC12" s="183"/>
      <c r="RD12" s="183"/>
      <c r="RE12" s="183"/>
      <c r="RF12" s="183"/>
      <c r="RG12" s="183"/>
      <c r="RH12" s="183"/>
      <c r="RI12" s="183"/>
      <c r="RJ12" s="183"/>
      <c r="RK12" s="183"/>
      <c r="RL12" s="183"/>
      <c r="RM12" s="183"/>
      <c r="RN12" s="183"/>
      <c r="RO12" s="183"/>
      <c r="RP12" s="183"/>
      <c r="RQ12" s="183"/>
      <c r="RR12" s="183"/>
      <c r="RS12" s="183"/>
      <c r="RT12" s="183"/>
      <c r="RU12" s="183"/>
      <c r="RV12" s="183"/>
      <c r="RW12" s="183"/>
      <c r="RX12" s="183"/>
      <c r="RY12" s="183"/>
      <c r="RZ12" s="183"/>
      <c r="SA12" s="183"/>
      <c r="SB12" s="183"/>
      <c r="SC12" s="183"/>
      <c r="SD12" s="183"/>
      <c r="SE12" s="183"/>
      <c r="SF12" s="183"/>
      <c r="SG12" s="183"/>
      <c r="SH12" s="183"/>
      <c r="SI12" s="183"/>
      <c r="SJ12" s="183"/>
      <c r="SK12" s="183"/>
      <c r="SL12" s="183"/>
      <c r="SM12" s="183"/>
      <c r="SN12" s="183"/>
      <c r="SO12" s="183"/>
      <c r="SP12" s="183"/>
      <c r="SQ12" s="183"/>
      <c r="SR12" s="183"/>
      <c r="SS12" s="183"/>
      <c r="ST12" s="183"/>
      <c r="SU12" s="183"/>
      <c r="SV12" s="183"/>
      <c r="SW12" s="183"/>
      <c r="SX12" s="183"/>
      <c r="SY12" s="183"/>
      <c r="SZ12" s="183"/>
      <c r="TA12" s="183"/>
      <c r="TB12" s="183"/>
      <c r="TC12" s="183"/>
      <c r="TD12" s="183"/>
    </row>
    <row r="13" spans="1:524" s="80" customFormat="1" ht="15" hidden="1" customHeight="1">
      <c r="A13" s="49"/>
      <c r="B13" s="49"/>
      <c r="C13" s="158"/>
      <c r="D13" s="165"/>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c r="CA13" s="166"/>
      <c r="CB13" s="166"/>
      <c r="CC13" s="166"/>
      <c r="CD13" s="166"/>
      <c r="CE13" s="166"/>
      <c r="CF13" s="166"/>
      <c r="CG13" s="166"/>
      <c r="CH13" s="166"/>
      <c r="CI13" s="166"/>
      <c r="CJ13" s="166"/>
      <c r="CK13" s="166"/>
      <c r="CL13" s="166"/>
      <c r="CM13" s="166"/>
      <c r="CN13" s="166"/>
      <c r="CO13" s="166"/>
      <c r="CP13" s="166"/>
      <c r="CQ13" s="166"/>
      <c r="CR13" s="166"/>
      <c r="CS13" s="166"/>
      <c r="CT13" s="166"/>
      <c r="CU13" s="166"/>
      <c r="CV13" s="166"/>
      <c r="CW13" s="166"/>
      <c r="CX13" s="166"/>
      <c r="CY13" s="166"/>
      <c r="CZ13" s="166"/>
      <c r="DA13" s="166"/>
      <c r="DB13" s="166"/>
      <c r="DC13" s="166"/>
      <c r="DD13" s="166"/>
      <c r="DE13" s="166"/>
      <c r="DF13" s="166"/>
      <c r="DG13" s="166"/>
      <c r="DH13" s="166"/>
      <c r="DI13" s="166"/>
      <c r="DJ13" s="166"/>
      <c r="DK13" s="166"/>
      <c r="DL13" s="166"/>
      <c r="DM13" s="166"/>
      <c r="DN13" s="166"/>
      <c r="DO13" s="166"/>
      <c r="DP13" s="166"/>
      <c r="DQ13" s="166"/>
      <c r="DR13" s="166"/>
      <c r="DS13" s="166"/>
      <c r="DT13" s="166"/>
      <c r="DU13" s="166"/>
      <c r="DV13" s="166"/>
      <c r="DW13" s="166"/>
      <c r="DX13" s="166"/>
      <c r="DY13" s="166"/>
      <c r="DZ13" s="166"/>
      <c r="EA13" s="166"/>
      <c r="EB13" s="166"/>
      <c r="EC13" s="166"/>
      <c r="ED13" s="166"/>
      <c r="EE13" s="166"/>
      <c r="EF13" s="166"/>
      <c r="EG13" s="166"/>
      <c r="EH13" s="166"/>
      <c r="EI13" s="166"/>
      <c r="EJ13" s="166"/>
      <c r="EK13" s="166"/>
      <c r="EL13" s="166"/>
      <c r="EM13" s="166"/>
      <c r="EN13" s="166"/>
      <c r="EO13" s="166"/>
      <c r="EP13" s="166"/>
      <c r="EQ13" s="166"/>
      <c r="ER13" s="166"/>
      <c r="ES13" s="166"/>
      <c r="ET13" s="166"/>
      <c r="EU13" s="166"/>
      <c r="EV13" s="166"/>
      <c r="EW13" s="166"/>
      <c r="EX13" s="166"/>
      <c r="EY13" s="166"/>
      <c r="EZ13" s="166"/>
      <c r="FA13" s="166"/>
      <c r="FB13" s="166"/>
      <c r="FC13" s="166"/>
      <c r="FD13" s="166"/>
      <c r="FE13" s="166"/>
      <c r="FF13" s="166"/>
      <c r="FG13" s="166"/>
      <c r="FH13" s="166"/>
      <c r="FI13" s="166"/>
      <c r="FJ13" s="166"/>
      <c r="FK13" s="166"/>
      <c r="FL13" s="166"/>
      <c r="FM13" s="166"/>
      <c r="FN13" s="166"/>
      <c r="FO13" s="166"/>
      <c r="FP13" s="166"/>
      <c r="FQ13" s="166"/>
      <c r="FR13" s="166"/>
      <c r="FS13" s="166"/>
      <c r="FT13" s="166"/>
      <c r="FU13" s="166"/>
      <c r="FV13" s="166"/>
      <c r="FW13" s="166"/>
      <c r="FX13" s="166"/>
      <c r="FY13" s="166"/>
      <c r="FZ13" s="166"/>
      <c r="GA13" s="166"/>
      <c r="GB13" s="166"/>
      <c r="GC13" s="166"/>
      <c r="GD13" s="166"/>
      <c r="GE13" s="166"/>
      <c r="GF13" s="166"/>
      <c r="GG13" s="166"/>
      <c r="GH13" s="166"/>
      <c r="GI13" s="166"/>
      <c r="GJ13" s="166"/>
      <c r="GK13" s="166"/>
      <c r="GL13" s="166"/>
      <c r="GM13" s="166"/>
      <c r="GN13" s="166"/>
      <c r="GO13" s="166"/>
      <c r="GP13" s="166"/>
      <c r="GQ13" s="166"/>
      <c r="GR13" s="166"/>
      <c r="GS13" s="166"/>
      <c r="GT13" s="166"/>
      <c r="GU13" s="166"/>
      <c r="GV13" s="166"/>
      <c r="GW13" s="166"/>
      <c r="GX13" s="166"/>
      <c r="GY13" s="166"/>
      <c r="GZ13" s="166"/>
      <c r="HA13" s="166"/>
      <c r="HB13" s="166"/>
      <c r="HC13" s="166"/>
      <c r="HD13" s="166"/>
      <c r="HE13" s="166"/>
      <c r="HF13" s="166"/>
      <c r="HG13" s="166"/>
      <c r="HH13" s="166"/>
      <c r="HI13" s="166"/>
      <c r="HJ13" s="166"/>
      <c r="HK13" s="166"/>
      <c r="HL13" s="166"/>
      <c r="HM13" s="166"/>
      <c r="HN13" s="166"/>
      <c r="HO13" s="166"/>
      <c r="HP13" s="166"/>
      <c r="HQ13" s="166"/>
      <c r="HR13" s="166"/>
      <c r="HS13" s="183"/>
      <c r="HT13" s="183"/>
      <c r="HU13" s="183"/>
      <c r="HV13" s="183"/>
      <c r="HW13" s="183"/>
      <c r="HX13" s="183"/>
      <c r="HY13" s="183"/>
      <c r="HZ13" s="183"/>
      <c r="IA13" s="183"/>
      <c r="IB13" s="183"/>
      <c r="IC13" s="183"/>
      <c r="ID13" s="183"/>
      <c r="IE13" s="183"/>
      <c r="IF13" s="183"/>
      <c r="IG13" s="183"/>
      <c r="IH13" s="183"/>
      <c r="II13" s="183"/>
      <c r="IJ13" s="183"/>
      <c r="IK13" s="183"/>
      <c r="IL13" s="183"/>
      <c r="IM13" s="183"/>
      <c r="IN13" s="183"/>
      <c r="IO13" s="183"/>
      <c r="IP13" s="183"/>
      <c r="IQ13" s="183"/>
      <c r="IR13" s="183"/>
      <c r="IS13" s="183"/>
      <c r="IT13" s="183"/>
      <c r="IU13" s="183"/>
      <c r="IV13" s="183"/>
      <c r="IW13" s="183"/>
      <c r="IX13" s="183"/>
      <c r="IY13" s="183"/>
      <c r="IZ13" s="183"/>
      <c r="JA13" s="183"/>
      <c r="JB13" s="183"/>
      <c r="JC13" s="183"/>
      <c r="JD13" s="183"/>
      <c r="JE13" s="183"/>
      <c r="JF13" s="183"/>
      <c r="JG13" s="183"/>
      <c r="JH13" s="183"/>
      <c r="JI13" s="183"/>
      <c r="JJ13" s="183"/>
      <c r="JK13" s="183"/>
      <c r="JL13" s="183"/>
      <c r="JM13" s="183"/>
      <c r="JN13" s="183"/>
      <c r="JO13" s="183"/>
      <c r="JP13" s="183"/>
      <c r="JQ13" s="183"/>
      <c r="JR13" s="183"/>
      <c r="JS13" s="183"/>
      <c r="JT13" s="183"/>
      <c r="JU13" s="183"/>
      <c r="JV13" s="183"/>
      <c r="JW13" s="183"/>
      <c r="JX13" s="183"/>
      <c r="JY13" s="183"/>
      <c r="JZ13" s="183"/>
      <c r="KA13" s="183"/>
      <c r="KB13" s="183"/>
      <c r="KC13" s="183"/>
      <c r="KD13" s="183"/>
      <c r="KE13" s="183"/>
      <c r="KF13" s="183"/>
      <c r="KG13" s="183"/>
      <c r="KH13" s="183"/>
      <c r="KI13" s="183"/>
      <c r="KJ13" s="183"/>
      <c r="KK13" s="183"/>
      <c r="KL13" s="183"/>
      <c r="KM13" s="183"/>
      <c r="KN13" s="183"/>
      <c r="KO13" s="183"/>
      <c r="KP13" s="183"/>
      <c r="KQ13" s="183"/>
      <c r="KR13" s="183"/>
      <c r="KS13" s="183"/>
      <c r="KT13" s="183"/>
      <c r="KU13" s="183"/>
      <c r="KV13" s="183"/>
      <c r="KW13" s="183"/>
      <c r="KX13" s="183"/>
      <c r="KY13" s="183"/>
      <c r="KZ13" s="183"/>
      <c r="LA13" s="183"/>
      <c r="LB13" s="183"/>
      <c r="LC13" s="183"/>
      <c r="LD13" s="183"/>
      <c r="LE13" s="183"/>
      <c r="LF13" s="183"/>
      <c r="LG13" s="183"/>
      <c r="LH13" s="183"/>
      <c r="LI13" s="183"/>
      <c r="LJ13" s="183"/>
      <c r="LK13" s="183"/>
      <c r="LL13" s="183"/>
      <c r="LM13" s="183"/>
      <c r="LN13" s="183"/>
      <c r="LO13" s="183"/>
      <c r="LP13" s="183"/>
      <c r="LQ13" s="183"/>
      <c r="LR13" s="183"/>
      <c r="LS13" s="183"/>
      <c r="LT13" s="183"/>
      <c r="LU13" s="183"/>
      <c r="LV13" s="183"/>
      <c r="LW13" s="183"/>
      <c r="LX13" s="183"/>
      <c r="LY13" s="183"/>
      <c r="LZ13" s="183"/>
      <c r="MA13" s="183"/>
      <c r="MB13" s="183"/>
      <c r="MC13" s="183"/>
      <c r="MD13" s="183"/>
      <c r="ME13" s="183"/>
      <c r="MF13" s="183"/>
      <c r="MG13" s="183"/>
      <c r="MH13" s="183"/>
      <c r="MI13" s="183"/>
      <c r="MJ13" s="183"/>
      <c r="MK13" s="183"/>
      <c r="ML13" s="183"/>
      <c r="MM13" s="183"/>
      <c r="MN13" s="183"/>
      <c r="MO13" s="183"/>
      <c r="MP13" s="183"/>
      <c r="MQ13" s="183"/>
      <c r="MR13" s="183"/>
      <c r="MS13" s="183"/>
      <c r="MT13" s="183"/>
      <c r="MU13" s="183"/>
      <c r="MV13" s="183"/>
      <c r="MW13" s="183"/>
      <c r="MX13" s="183"/>
      <c r="MY13" s="183"/>
      <c r="MZ13" s="183"/>
      <c r="NA13" s="183"/>
      <c r="NB13" s="183"/>
      <c r="NC13" s="183"/>
      <c r="ND13" s="183"/>
      <c r="NE13" s="183"/>
      <c r="NF13" s="183"/>
      <c r="NG13" s="183"/>
      <c r="NH13" s="183"/>
      <c r="NI13" s="183"/>
      <c r="NJ13" s="183"/>
      <c r="NK13" s="183"/>
      <c r="NL13" s="183"/>
      <c r="NM13" s="183"/>
      <c r="NN13" s="183"/>
      <c r="NO13" s="183"/>
      <c r="NP13" s="183"/>
      <c r="NQ13" s="183"/>
      <c r="NR13" s="183"/>
      <c r="NS13" s="183"/>
      <c r="NT13" s="183"/>
      <c r="NU13" s="183"/>
      <c r="NV13" s="183"/>
      <c r="NW13" s="183"/>
      <c r="NX13" s="183"/>
      <c r="NY13" s="183"/>
      <c r="NZ13" s="183"/>
      <c r="OA13" s="183"/>
      <c r="OB13" s="183"/>
      <c r="OC13" s="183"/>
      <c r="OD13" s="183"/>
      <c r="OE13" s="183"/>
      <c r="OF13" s="183"/>
      <c r="OG13" s="183"/>
      <c r="OH13" s="183"/>
      <c r="OI13" s="183"/>
      <c r="OJ13" s="183"/>
      <c r="OK13" s="183"/>
      <c r="OL13" s="183"/>
      <c r="OM13" s="183"/>
      <c r="ON13" s="183"/>
      <c r="OO13" s="183"/>
      <c r="OP13" s="183"/>
      <c r="OQ13" s="183"/>
      <c r="OR13" s="183"/>
      <c r="OS13" s="183"/>
      <c r="OT13" s="183"/>
      <c r="OU13" s="183"/>
      <c r="OV13" s="183"/>
      <c r="OW13" s="183"/>
      <c r="OX13" s="183"/>
      <c r="OY13" s="183"/>
      <c r="OZ13" s="183"/>
      <c r="PA13" s="183"/>
      <c r="PB13" s="183"/>
      <c r="PC13" s="183"/>
      <c r="PD13" s="183"/>
      <c r="PE13" s="183"/>
      <c r="PF13" s="183"/>
      <c r="PG13" s="183"/>
      <c r="PH13" s="183"/>
      <c r="PI13" s="183"/>
      <c r="PJ13" s="183"/>
      <c r="PK13" s="183"/>
      <c r="PL13" s="183"/>
      <c r="PM13" s="183"/>
      <c r="PN13" s="183"/>
      <c r="PO13" s="183"/>
      <c r="PP13" s="183"/>
      <c r="PQ13" s="183"/>
      <c r="PR13" s="183"/>
      <c r="PS13" s="183"/>
      <c r="PT13" s="183"/>
      <c r="PU13" s="183"/>
      <c r="PV13" s="183"/>
      <c r="PW13" s="183"/>
      <c r="PX13" s="183"/>
      <c r="PY13" s="183"/>
      <c r="PZ13" s="183"/>
      <c r="QA13" s="183"/>
      <c r="QB13" s="183"/>
      <c r="QC13" s="183"/>
      <c r="QD13" s="183"/>
      <c r="QE13" s="183"/>
      <c r="QF13" s="183"/>
      <c r="QG13" s="183"/>
      <c r="QH13" s="183"/>
      <c r="QI13" s="183"/>
      <c r="QJ13" s="183"/>
      <c r="QK13" s="183"/>
      <c r="QL13" s="183"/>
      <c r="QM13" s="183"/>
      <c r="QN13" s="183"/>
      <c r="QO13" s="183"/>
      <c r="QP13" s="183"/>
      <c r="QQ13" s="183"/>
      <c r="QR13" s="183"/>
      <c r="QS13" s="183"/>
      <c r="QT13" s="183"/>
      <c r="QU13" s="183"/>
      <c r="QV13" s="183"/>
      <c r="QW13" s="183"/>
      <c r="QX13" s="183"/>
      <c r="QY13" s="183"/>
      <c r="QZ13" s="183"/>
      <c r="RA13" s="183"/>
      <c r="RB13" s="183"/>
      <c r="RC13" s="183"/>
      <c r="RD13" s="183"/>
      <c r="RE13" s="183"/>
      <c r="RF13" s="183"/>
      <c r="RG13" s="183"/>
      <c r="RH13" s="183"/>
      <c r="RI13" s="183"/>
      <c r="RJ13" s="183"/>
      <c r="RK13" s="183"/>
      <c r="RL13" s="183"/>
      <c r="RM13" s="183"/>
      <c r="RN13" s="183"/>
      <c r="RO13" s="183"/>
      <c r="RP13" s="183"/>
      <c r="RQ13" s="183"/>
      <c r="RR13" s="183"/>
      <c r="RS13" s="183"/>
      <c r="RT13" s="183"/>
      <c r="RU13" s="183"/>
      <c r="RV13" s="183"/>
      <c r="RW13" s="183"/>
      <c r="RX13" s="183"/>
      <c r="RY13" s="183"/>
      <c r="RZ13" s="183"/>
      <c r="SA13" s="183"/>
      <c r="SB13" s="183"/>
      <c r="SC13" s="183"/>
      <c r="SD13" s="183"/>
      <c r="SE13" s="183"/>
      <c r="SF13" s="183"/>
      <c r="SG13" s="183"/>
      <c r="SH13" s="183"/>
      <c r="SI13" s="183"/>
      <c r="SJ13" s="183"/>
      <c r="SK13" s="183"/>
      <c r="SL13" s="183"/>
      <c r="SM13" s="183"/>
      <c r="SN13" s="183"/>
      <c r="SO13" s="183"/>
      <c r="SP13" s="183"/>
      <c r="SQ13" s="183"/>
      <c r="SR13" s="183"/>
      <c r="SS13" s="183"/>
      <c r="ST13" s="183"/>
      <c r="SU13" s="183"/>
      <c r="SV13" s="183"/>
      <c r="SW13" s="183"/>
      <c r="SX13" s="183"/>
      <c r="SY13" s="183"/>
      <c r="SZ13" s="183"/>
      <c r="TA13" s="183"/>
      <c r="TB13" s="183"/>
      <c r="TC13" s="183"/>
      <c r="TD13" s="183"/>
    </row>
    <row r="14" spans="1:524" s="80" customFormat="1" ht="27.95" hidden="1" customHeight="1">
      <c r="A14" s="49"/>
      <c r="B14" s="49"/>
      <c r="C14" s="158"/>
      <c r="D14" s="158"/>
      <c r="E14" s="158"/>
      <c r="F14" s="158"/>
      <c r="G14" s="158"/>
      <c r="H14" s="158"/>
      <c r="I14" s="158"/>
      <c r="J14" s="158"/>
      <c r="K14" s="158"/>
      <c r="L14" s="158"/>
      <c r="M14" s="158"/>
      <c r="N14" s="158"/>
      <c r="O14" s="158"/>
      <c r="P14" s="158"/>
      <c r="Q14" s="158"/>
      <c r="R14" s="158"/>
      <c r="S14" s="158"/>
      <c r="T14" s="158"/>
      <c r="U14" s="158"/>
      <c r="V14" s="158"/>
      <c r="W14" s="158"/>
      <c r="X14" s="158"/>
      <c r="Y14" s="158"/>
      <c r="Z14" s="158"/>
      <c r="AA14" s="158"/>
      <c r="AB14" s="158"/>
      <c r="AC14" s="158"/>
      <c r="AD14" s="158"/>
      <c r="AE14" s="158"/>
      <c r="AF14" s="158"/>
      <c r="AG14" s="158"/>
      <c r="AH14" s="158"/>
      <c r="AI14" s="158"/>
      <c r="AJ14" s="158"/>
      <c r="AK14" s="158"/>
      <c r="AL14" s="158"/>
      <c r="AM14" s="158"/>
      <c r="AN14" s="158"/>
      <c r="AO14" s="158"/>
      <c r="AP14" s="158"/>
      <c r="AQ14" s="158"/>
      <c r="AR14" s="158"/>
      <c r="AS14" s="158"/>
      <c r="AT14" s="158"/>
      <c r="AU14" s="158"/>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c r="BR14" s="158"/>
      <c r="BS14" s="158"/>
      <c r="BT14" s="158"/>
      <c r="BU14" s="158"/>
      <c r="BV14" s="158"/>
      <c r="BW14" s="158"/>
      <c r="BX14" s="158"/>
      <c r="BY14" s="158"/>
      <c r="BZ14" s="158"/>
      <c r="CA14" s="158"/>
      <c r="CB14" s="158"/>
      <c r="CC14" s="158"/>
      <c r="CD14" s="158"/>
      <c r="CE14" s="158"/>
      <c r="CF14" s="158"/>
      <c r="CG14" s="158"/>
      <c r="CH14" s="158"/>
      <c r="CI14" s="158"/>
      <c r="CJ14" s="158"/>
      <c r="CK14" s="158"/>
      <c r="CL14" s="158"/>
      <c r="CM14" s="158"/>
      <c r="CN14" s="158"/>
      <c r="CO14" s="158"/>
      <c r="CP14" s="158"/>
      <c r="CQ14" s="158"/>
      <c r="CR14" s="158"/>
      <c r="CS14" s="158"/>
      <c r="CT14" s="158"/>
      <c r="CU14" s="158"/>
      <c r="CV14" s="158"/>
      <c r="CW14" s="158"/>
      <c r="CX14" s="158"/>
      <c r="CY14" s="158"/>
      <c r="CZ14" s="158"/>
      <c r="DA14" s="158"/>
      <c r="DB14" s="158"/>
      <c r="DC14" s="158"/>
      <c r="DD14" s="158"/>
      <c r="DE14" s="158"/>
      <c r="DF14" s="158"/>
      <c r="DG14" s="158"/>
      <c r="DH14" s="158"/>
      <c r="DI14" s="158"/>
      <c r="DJ14" s="158"/>
      <c r="DK14" s="158"/>
      <c r="DL14" s="158"/>
      <c r="DM14" s="158"/>
      <c r="DN14" s="158"/>
      <c r="DO14" s="158"/>
      <c r="DP14" s="158"/>
      <c r="DQ14" s="158"/>
      <c r="DR14" s="158"/>
      <c r="DS14" s="158"/>
      <c r="DT14" s="158"/>
      <c r="DU14" s="158"/>
      <c r="DV14" s="158"/>
      <c r="DW14" s="158"/>
      <c r="DX14" s="158"/>
      <c r="DY14" s="158"/>
      <c r="DZ14" s="158"/>
      <c r="EA14" s="158"/>
      <c r="EB14" s="158"/>
      <c r="EC14" s="158"/>
      <c r="ED14" s="158"/>
      <c r="EE14" s="158"/>
      <c r="EF14" s="158"/>
      <c r="EG14" s="158"/>
      <c r="EH14" s="158"/>
      <c r="EI14" s="158"/>
      <c r="EJ14" s="158"/>
      <c r="EK14" s="158"/>
      <c r="EL14" s="158"/>
      <c r="EM14" s="158"/>
      <c r="EN14" s="158"/>
      <c r="EO14" s="158"/>
      <c r="EP14" s="158"/>
      <c r="EQ14" s="158"/>
      <c r="ER14" s="158"/>
      <c r="ES14" s="158"/>
      <c r="ET14" s="158"/>
      <c r="EU14" s="158"/>
      <c r="EV14" s="158"/>
      <c r="EW14" s="158"/>
      <c r="EX14" s="158"/>
      <c r="EY14" s="158"/>
      <c r="EZ14" s="158"/>
      <c r="FA14" s="158"/>
      <c r="FB14" s="158"/>
      <c r="FC14" s="158"/>
      <c r="FD14" s="158"/>
      <c r="FE14" s="158"/>
      <c r="FF14" s="158"/>
      <c r="FG14" s="158"/>
      <c r="FH14" s="158"/>
      <c r="FI14" s="158"/>
      <c r="FJ14" s="158"/>
      <c r="FK14" s="158"/>
      <c r="FL14" s="158"/>
      <c r="FM14" s="158"/>
      <c r="FN14" s="158"/>
      <c r="FO14" s="158"/>
      <c r="FP14" s="158"/>
      <c r="FQ14" s="158"/>
      <c r="FR14" s="158"/>
      <c r="FS14" s="158"/>
      <c r="FT14" s="158"/>
      <c r="FU14" s="158"/>
      <c r="FV14" s="158"/>
      <c r="FW14" s="158"/>
      <c r="FX14" s="158"/>
      <c r="FY14" s="158"/>
      <c r="FZ14" s="158"/>
      <c r="GA14" s="158"/>
      <c r="GB14" s="158"/>
      <c r="GC14" s="158"/>
      <c r="GD14" s="158"/>
      <c r="GE14" s="158"/>
      <c r="GF14" s="158"/>
      <c r="GG14" s="158"/>
      <c r="GH14" s="158"/>
      <c r="GI14" s="158"/>
      <c r="GJ14" s="158"/>
      <c r="GK14" s="158"/>
      <c r="GL14" s="158"/>
      <c r="GM14" s="158"/>
      <c r="GN14" s="158"/>
      <c r="GO14" s="158"/>
      <c r="GP14" s="158"/>
      <c r="GQ14" s="158"/>
      <c r="GR14" s="158"/>
      <c r="GS14" s="158"/>
      <c r="GT14" s="158"/>
      <c r="GU14" s="158"/>
      <c r="GV14" s="158"/>
      <c r="GW14" s="158"/>
      <c r="GX14" s="158"/>
      <c r="GY14" s="158"/>
      <c r="GZ14" s="158"/>
      <c r="HA14" s="158"/>
      <c r="HB14" s="158"/>
      <c r="HC14" s="158"/>
      <c r="HD14" s="158"/>
      <c r="HE14" s="158"/>
      <c r="HF14" s="158"/>
      <c r="HG14" s="158"/>
      <c r="HH14" s="158"/>
      <c r="HI14" s="158"/>
      <c r="HJ14" s="158"/>
      <c r="HK14" s="158"/>
      <c r="HL14" s="158"/>
      <c r="HM14" s="158"/>
      <c r="HN14" s="158"/>
      <c r="HO14" s="158"/>
      <c r="HP14" s="158"/>
      <c r="HQ14" s="158"/>
      <c r="HR14" s="158"/>
    </row>
    <row r="15" spans="1:524" s="80" customFormat="1" ht="17.45" hidden="1" customHeight="1">
      <c r="A15" s="49"/>
      <c r="B15" s="49"/>
      <c r="C15" s="158"/>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58"/>
      <c r="AB15" s="158"/>
      <c r="AC15" s="158"/>
      <c r="AD15" s="158"/>
      <c r="AE15" s="158"/>
      <c r="AF15" s="158"/>
      <c r="AG15" s="158"/>
      <c r="AH15" s="158"/>
      <c r="AI15" s="158"/>
      <c r="AJ15" s="158"/>
      <c r="AK15" s="158"/>
      <c r="AL15" s="158"/>
      <c r="AM15" s="158"/>
      <c r="AN15" s="158"/>
      <c r="AO15" s="158"/>
      <c r="AP15" s="158"/>
      <c r="AQ15" s="158"/>
      <c r="AR15" s="158"/>
      <c r="AS15" s="158"/>
      <c r="AT15" s="158"/>
      <c r="AU15" s="158"/>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c r="BR15" s="158"/>
      <c r="BS15" s="158"/>
      <c r="BT15" s="158"/>
      <c r="BU15" s="158"/>
      <c r="BV15" s="158"/>
      <c r="BW15" s="158"/>
      <c r="BX15" s="158"/>
      <c r="BY15" s="158"/>
      <c r="BZ15" s="158"/>
      <c r="CA15" s="158"/>
      <c r="CB15" s="158"/>
      <c r="CC15" s="158"/>
      <c r="CD15" s="158"/>
      <c r="CE15" s="158"/>
      <c r="CF15" s="158"/>
      <c r="CG15" s="158"/>
      <c r="CH15" s="158"/>
      <c r="CI15" s="158"/>
      <c r="CJ15" s="158"/>
      <c r="CK15" s="158"/>
      <c r="CL15" s="158"/>
      <c r="CM15" s="158"/>
      <c r="CN15" s="158"/>
      <c r="CO15" s="158"/>
      <c r="CP15" s="158"/>
      <c r="CQ15" s="158"/>
      <c r="CR15" s="158"/>
      <c r="CS15" s="158"/>
      <c r="CT15" s="158"/>
      <c r="CU15" s="158"/>
      <c r="CV15" s="158"/>
      <c r="CW15" s="158"/>
      <c r="CX15" s="158"/>
      <c r="CY15" s="158"/>
      <c r="CZ15" s="158"/>
      <c r="DA15" s="158"/>
      <c r="DB15" s="158"/>
      <c r="DC15" s="158"/>
      <c r="DD15" s="158"/>
      <c r="DE15" s="158"/>
      <c r="DF15" s="158"/>
      <c r="DG15" s="158"/>
      <c r="DH15" s="158"/>
      <c r="DI15" s="158"/>
      <c r="DJ15" s="158"/>
      <c r="DK15" s="158"/>
      <c r="DL15" s="158"/>
      <c r="DM15" s="158"/>
      <c r="DN15" s="158"/>
      <c r="DO15" s="158"/>
      <c r="DP15" s="158"/>
      <c r="DQ15" s="158"/>
      <c r="DR15" s="158"/>
      <c r="DS15" s="158"/>
      <c r="DT15" s="158"/>
      <c r="DU15" s="158"/>
      <c r="DV15" s="158"/>
      <c r="DW15" s="158"/>
      <c r="DX15" s="158"/>
      <c r="DY15" s="158"/>
      <c r="DZ15" s="158"/>
      <c r="EA15" s="158"/>
      <c r="EB15" s="158"/>
      <c r="EC15" s="158"/>
      <c r="ED15" s="158"/>
      <c r="EE15" s="158"/>
      <c r="EF15" s="158"/>
      <c r="EG15" s="158"/>
      <c r="EH15" s="158"/>
      <c r="EI15" s="158"/>
      <c r="EJ15" s="158"/>
      <c r="EK15" s="158"/>
      <c r="EL15" s="158"/>
      <c r="EM15" s="158"/>
      <c r="EN15" s="158"/>
      <c r="EO15" s="158"/>
      <c r="EP15" s="158"/>
      <c r="EQ15" s="158"/>
      <c r="ER15" s="158"/>
      <c r="ES15" s="158"/>
      <c r="ET15" s="158"/>
      <c r="EU15" s="158"/>
      <c r="EV15" s="158"/>
      <c r="EW15" s="158"/>
      <c r="EX15" s="158"/>
      <c r="EY15" s="158"/>
      <c r="EZ15" s="158"/>
      <c r="FA15" s="158"/>
      <c r="FB15" s="158"/>
      <c r="FC15" s="158"/>
      <c r="FD15" s="158"/>
      <c r="FE15" s="158"/>
      <c r="FF15" s="158"/>
      <c r="FG15" s="158"/>
      <c r="FH15" s="158"/>
      <c r="FI15" s="158"/>
      <c r="FJ15" s="158"/>
      <c r="FK15" s="158"/>
      <c r="FL15" s="158"/>
      <c r="FM15" s="158"/>
      <c r="FN15" s="158"/>
      <c r="FO15" s="158"/>
      <c r="FP15" s="158"/>
      <c r="FQ15" s="158"/>
      <c r="FR15" s="158"/>
      <c r="FS15" s="158"/>
      <c r="FT15" s="158"/>
      <c r="FU15" s="158"/>
      <c r="FV15" s="158"/>
      <c r="FW15" s="158"/>
      <c r="FX15" s="158"/>
      <c r="FY15" s="158"/>
      <c r="FZ15" s="158"/>
      <c r="GA15" s="158"/>
      <c r="GB15" s="158"/>
      <c r="GC15" s="158"/>
      <c r="GD15" s="158"/>
      <c r="GE15" s="158"/>
      <c r="GF15" s="158"/>
      <c r="GG15" s="158"/>
      <c r="GH15" s="158"/>
      <c r="GI15" s="158"/>
      <c r="GJ15" s="158"/>
      <c r="GK15" s="158"/>
      <c r="GL15" s="158"/>
      <c r="GM15" s="158"/>
      <c r="GN15" s="158"/>
      <c r="GO15" s="158"/>
      <c r="GP15" s="158"/>
      <c r="GQ15" s="158"/>
      <c r="GR15" s="158"/>
      <c r="GS15" s="158"/>
      <c r="GT15" s="158"/>
      <c r="GU15" s="158"/>
      <c r="GV15" s="158"/>
      <c r="GW15" s="158"/>
      <c r="GX15" s="158"/>
      <c r="GY15" s="158"/>
      <c r="GZ15" s="158"/>
      <c r="HA15" s="158"/>
      <c r="HB15" s="158"/>
      <c r="HC15" s="158"/>
      <c r="HD15" s="158"/>
      <c r="HE15" s="158"/>
      <c r="HF15" s="158"/>
      <c r="HG15" s="158"/>
      <c r="HH15" s="158"/>
      <c r="HI15" s="158"/>
      <c r="HJ15" s="158"/>
      <c r="HK15" s="158"/>
      <c r="HL15" s="158"/>
      <c r="HM15" s="158"/>
      <c r="HN15" s="158"/>
      <c r="HO15" s="158"/>
      <c r="HP15" s="158"/>
      <c r="HQ15" s="158"/>
      <c r="HR15" s="158"/>
    </row>
    <row r="16" spans="1:524" s="80" customFormat="1" ht="17.45" hidden="1" customHeight="1">
      <c r="A16" s="49"/>
      <c r="B16" s="49"/>
      <c r="C16" s="158"/>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58"/>
      <c r="AB16" s="158"/>
      <c r="AC16" s="158"/>
      <c r="AD16" s="158"/>
      <c r="AE16" s="158"/>
      <c r="AF16" s="158"/>
      <c r="AG16" s="158"/>
      <c r="AH16" s="158"/>
      <c r="AI16" s="158"/>
      <c r="AJ16" s="158"/>
      <c r="AK16" s="158"/>
      <c r="AL16" s="158"/>
      <c r="AM16" s="158"/>
      <c r="AN16" s="158"/>
      <c r="AO16" s="158"/>
      <c r="AP16" s="158"/>
      <c r="AQ16" s="158"/>
      <c r="AR16" s="158"/>
      <c r="AS16" s="158"/>
      <c r="AT16" s="158"/>
      <c r="AU16" s="158"/>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c r="BR16" s="158"/>
      <c r="BS16" s="158"/>
      <c r="BT16" s="158"/>
      <c r="BU16" s="158"/>
      <c r="BV16" s="158"/>
      <c r="BW16" s="158"/>
      <c r="BX16" s="158"/>
      <c r="BY16" s="158"/>
      <c r="BZ16" s="158"/>
      <c r="CA16" s="158"/>
      <c r="CB16" s="158"/>
      <c r="CC16" s="158"/>
      <c r="CD16" s="158"/>
      <c r="CE16" s="158"/>
      <c r="CF16" s="158"/>
      <c r="CG16" s="158"/>
      <c r="CH16" s="158"/>
      <c r="CI16" s="158"/>
      <c r="CJ16" s="158"/>
      <c r="CK16" s="158"/>
      <c r="CL16" s="158"/>
      <c r="CM16" s="158"/>
      <c r="CN16" s="158"/>
      <c r="CO16" s="158"/>
      <c r="CP16" s="158"/>
      <c r="CQ16" s="158"/>
      <c r="CR16" s="158"/>
      <c r="CS16" s="158"/>
      <c r="CT16" s="158"/>
      <c r="CU16" s="158"/>
      <c r="CV16" s="158"/>
      <c r="CW16" s="158"/>
      <c r="CX16" s="158"/>
      <c r="CY16" s="158"/>
      <c r="CZ16" s="158"/>
      <c r="DA16" s="158"/>
      <c r="DB16" s="158"/>
      <c r="DC16" s="158"/>
      <c r="DD16" s="158"/>
      <c r="DE16" s="158"/>
      <c r="DF16" s="158"/>
      <c r="DG16" s="158"/>
      <c r="DH16" s="158"/>
      <c r="DI16" s="158"/>
      <c r="DJ16" s="158"/>
      <c r="DK16" s="158"/>
      <c r="DL16" s="158"/>
      <c r="DM16" s="158"/>
      <c r="DN16" s="158"/>
      <c r="DO16" s="158"/>
      <c r="DP16" s="158"/>
      <c r="DQ16" s="158"/>
      <c r="DR16" s="158"/>
      <c r="DS16" s="158"/>
      <c r="DT16" s="158"/>
      <c r="DU16" s="158"/>
      <c r="DV16" s="158"/>
      <c r="DW16" s="158"/>
      <c r="DX16" s="158"/>
      <c r="DY16" s="158"/>
      <c r="DZ16" s="158"/>
      <c r="EA16" s="158"/>
      <c r="EB16" s="158"/>
      <c r="EC16" s="158"/>
      <c r="ED16" s="158"/>
      <c r="EE16" s="158"/>
      <c r="EF16" s="158"/>
      <c r="EG16" s="158"/>
      <c r="EH16" s="158"/>
      <c r="EI16" s="158"/>
      <c r="EJ16" s="158"/>
      <c r="EK16" s="158"/>
      <c r="EL16" s="158"/>
      <c r="EM16" s="158"/>
      <c r="EN16" s="158"/>
      <c r="EO16" s="158"/>
      <c r="EP16" s="158"/>
      <c r="EQ16" s="158"/>
      <c r="ER16" s="158"/>
      <c r="ES16" s="158"/>
      <c r="ET16" s="158"/>
      <c r="EU16" s="158"/>
      <c r="EV16" s="158"/>
      <c r="EW16" s="158"/>
      <c r="EX16" s="158"/>
      <c r="EY16" s="158"/>
      <c r="EZ16" s="158"/>
      <c r="FA16" s="158"/>
      <c r="FB16" s="158"/>
      <c r="FC16" s="158"/>
      <c r="FD16" s="158"/>
      <c r="FE16" s="158"/>
      <c r="FF16" s="158"/>
      <c r="FG16" s="158"/>
      <c r="FH16" s="158"/>
      <c r="FI16" s="158"/>
      <c r="FJ16" s="158"/>
      <c r="FK16" s="158"/>
      <c r="FL16" s="158"/>
      <c r="FM16" s="158"/>
      <c r="FN16" s="158"/>
      <c r="FO16" s="158"/>
      <c r="FP16" s="158"/>
      <c r="FQ16" s="158"/>
      <c r="FR16" s="158"/>
      <c r="FS16" s="158"/>
      <c r="FT16" s="158"/>
      <c r="FU16" s="158"/>
      <c r="FV16" s="158"/>
      <c r="FW16" s="158"/>
      <c r="FX16" s="158"/>
      <c r="FY16" s="158"/>
      <c r="FZ16" s="158"/>
      <c r="GA16" s="158"/>
      <c r="GB16" s="158"/>
      <c r="GC16" s="158"/>
      <c r="GD16" s="158"/>
      <c r="GE16" s="158"/>
      <c r="GF16" s="158"/>
      <c r="GG16" s="158"/>
      <c r="GH16" s="158"/>
      <c r="GI16" s="158"/>
      <c r="GJ16" s="158"/>
      <c r="GK16" s="158"/>
      <c r="GL16" s="158"/>
      <c r="GM16" s="158"/>
      <c r="GN16" s="158"/>
      <c r="GO16" s="158"/>
      <c r="GP16" s="158"/>
      <c r="GQ16" s="158"/>
      <c r="GR16" s="158"/>
      <c r="GS16" s="158"/>
      <c r="GT16" s="158"/>
      <c r="GU16" s="158"/>
      <c r="GV16" s="158"/>
      <c r="GW16" s="158"/>
      <c r="GX16" s="158"/>
      <c r="GY16" s="158"/>
      <c r="GZ16" s="158"/>
      <c r="HA16" s="158"/>
      <c r="HB16" s="158"/>
      <c r="HC16" s="158"/>
      <c r="HD16" s="158"/>
      <c r="HE16" s="158"/>
      <c r="HF16" s="158"/>
      <c r="HG16" s="158"/>
      <c r="HH16" s="158"/>
      <c r="HI16" s="158"/>
      <c r="HJ16" s="158"/>
      <c r="HK16" s="158"/>
      <c r="HL16" s="158"/>
      <c r="HM16" s="158"/>
      <c r="HN16" s="158"/>
      <c r="HO16" s="158"/>
      <c r="HP16" s="158"/>
      <c r="HQ16" s="158"/>
      <c r="HR16" s="158"/>
    </row>
    <row r="17" spans="1:226" s="80" customFormat="1" ht="17.45" hidden="1" customHeight="1">
      <c r="A17" s="49"/>
      <c r="B17" s="49"/>
      <c r="C17" s="158"/>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8"/>
      <c r="AB17" s="158"/>
      <c r="AC17" s="158"/>
      <c r="AD17" s="158"/>
      <c r="AE17" s="158"/>
      <c r="AF17" s="158"/>
      <c r="AG17" s="158"/>
      <c r="AH17" s="158"/>
      <c r="AI17" s="158"/>
      <c r="AJ17" s="158"/>
      <c r="AK17" s="158"/>
      <c r="AL17" s="158"/>
      <c r="AM17" s="158"/>
      <c r="AN17" s="158"/>
      <c r="AO17" s="158"/>
      <c r="AP17" s="158"/>
      <c r="AQ17" s="158"/>
      <c r="AR17" s="158"/>
      <c r="AS17" s="158"/>
      <c r="AT17" s="158"/>
      <c r="AU17" s="158"/>
      <c r="AV17" s="158"/>
      <c r="AW17" s="158"/>
      <c r="AX17" s="158"/>
      <c r="AY17" s="158"/>
      <c r="AZ17" s="158"/>
      <c r="BA17" s="158"/>
      <c r="BB17" s="158"/>
      <c r="BC17" s="158"/>
      <c r="BD17" s="158"/>
      <c r="BE17" s="158"/>
      <c r="BF17" s="158"/>
      <c r="BG17" s="158"/>
      <c r="BH17" s="158"/>
      <c r="BI17" s="158"/>
      <c r="BJ17" s="158"/>
      <c r="BK17" s="158"/>
      <c r="BL17" s="158"/>
      <c r="BM17" s="158"/>
      <c r="BN17" s="158"/>
      <c r="BO17" s="158"/>
      <c r="BP17" s="158"/>
      <c r="BQ17" s="158"/>
      <c r="BR17" s="158"/>
      <c r="BS17" s="158"/>
      <c r="BT17" s="158"/>
      <c r="BU17" s="158"/>
      <c r="BV17" s="158"/>
      <c r="BW17" s="158"/>
      <c r="BX17" s="158"/>
      <c r="BY17" s="158"/>
      <c r="BZ17" s="158"/>
      <c r="CA17" s="158"/>
      <c r="CB17" s="158"/>
      <c r="CC17" s="158"/>
      <c r="CD17" s="158"/>
      <c r="CE17" s="158"/>
      <c r="CF17" s="158"/>
      <c r="CG17" s="158"/>
      <c r="CH17" s="158"/>
      <c r="CI17" s="158"/>
      <c r="CJ17" s="158"/>
      <c r="CK17" s="158"/>
      <c r="CL17" s="158"/>
      <c r="CM17" s="158"/>
      <c r="CN17" s="158"/>
      <c r="CO17" s="158"/>
      <c r="CP17" s="158"/>
      <c r="CQ17" s="158"/>
      <c r="CR17" s="158"/>
      <c r="CS17" s="158"/>
      <c r="CT17" s="158"/>
      <c r="CU17" s="158"/>
      <c r="CV17" s="158"/>
      <c r="CW17" s="158"/>
      <c r="CX17" s="158"/>
      <c r="CY17" s="158"/>
      <c r="CZ17" s="158"/>
      <c r="DA17" s="158"/>
      <c r="DB17" s="158"/>
      <c r="DC17" s="158"/>
      <c r="DD17" s="158"/>
      <c r="DE17" s="158"/>
      <c r="DF17" s="158"/>
      <c r="DG17" s="158"/>
      <c r="DH17" s="158"/>
      <c r="DI17" s="158"/>
      <c r="DJ17" s="158"/>
      <c r="DK17" s="158"/>
      <c r="DL17" s="158"/>
      <c r="DM17" s="158"/>
      <c r="DN17" s="158"/>
      <c r="DO17" s="158"/>
      <c r="DP17" s="158"/>
      <c r="DQ17" s="158"/>
      <c r="DR17" s="158"/>
      <c r="DS17" s="158"/>
      <c r="DT17" s="158"/>
      <c r="DU17" s="158"/>
      <c r="DV17" s="158"/>
      <c r="DW17" s="158"/>
      <c r="DX17" s="158"/>
      <c r="DY17" s="158"/>
      <c r="DZ17" s="158"/>
      <c r="EA17" s="158"/>
      <c r="EB17" s="158"/>
      <c r="EC17" s="158"/>
      <c r="ED17" s="158"/>
      <c r="EE17" s="158"/>
      <c r="EF17" s="158"/>
      <c r="EG17" s="158"/>
      <c r="EH17" s="158"/>
      <c r="EI17" s="158"/>
      <c r="EJ17" s="158"/>
      <c r="EK17" s="158"/>
      <c r="EL17" s="158"/>
      <c r="EM17" s="158"/>
      <c r="EN17" s="158"/>
      <c r="EO17" s="158"/>
      <c r="EP17" s="158"/>
      <c r="EQ17" s="158"/>
      <c r="ER17" s="158"/>
      <c r="ES17" s="158"/>
      <c r="ET17" s="158"/>
      <c r="EU17" s="158"/>
      <c r="EV17" s="158"/>
      <c r="EW17" s="158"/>
      <c r="EX17" s="158"/>
      <c r="EY17" s="158"/>
      <c r="EZ17" s="158"/>
      <c r="FA17" s="158"/>
      <c r="FB17" s="158"/>
      <c r="FC17" s="158"/>
      <c r="FD17" s="158"/>
      <c r="FE17" s="158"/>
      <c r="FF17" s="158"/>
      <c r="FG17" s="158"/>
      <c r="FH17" s="158"/>
      <c r="FI17" s="158"/>
      <c r="FJ17" s="158"/>
      <c r="FK17" s="158"/>
      <c r="FL17" s="158"/>
      <c r="FM17" s="158"/>
      <c r="FN17" s="158"/>
      <c r="FO17" s="158"/>
      <c r="FP17" s="158"/>
      <c r="FQ17" s="158"/>
      <c r="FR17" s="158"/>
      <c r="FS17" s="158"/>
      <c r="FT17" s="158"/>
      <c r="FU17" s="158"/>
      <c r="FV17" s="158"/>
      <c r="FW17" s="158"/>
      <c r="FX17" s="158"/>
      <c r="FY17" s="158"/>
      <c r="FZ17" s="158"/>
      <c r="GA17" s="158"/>
      <c r="GB17" s="158"/>
      <c r="GC17" s="158"/>
      <c r="GD17" s="158"/>
      <c r="GE17" s="158"/>
      <c r="GF17" s="158"/>
      <c r="GG17" s="158"/>
      <c r="GH17" s="158"/>
      <c r="GI17" s="158"/>
      <c r="GJ17" s="158"/>
      <c r="GK17" s="158"/>
      <c r="GL17" s="158"/>
      <c r="GM17" s="158"/>
      <c r="GN17" s="158"/>
      <c r="GO17" s="158"/>
      <c r="GP17" s="158"/>
      <c r="GQ17" s="158"/>
      <c r="GR17" s="158"/>
      <c r="GS17" s="158"/>
      <c r="GT17" s="158"/>
      <c r="GU17" s="158"/>
      <c r="GV17" s="158"/>
      <c r="GW17" s="158"/>
      <c r="GX17" s="158"/>
      <c r="GY17" s="158"/>
      <c r="GZ17" s="158"/>
      <c r="HA17" s="158"/>
      <c r="HB17" s="158"/>
      <c r="HC17" s="158"/>
      <c r="HD17" s="158"/>
      <c r="HE17" s="158"/>
      <c r="HF17" s="158"/>
      <c r="HG17" s="158"/>
      <c r="HH17" s="158"/>
      <c r="HI17" s="158"/>
      <c r="HJ17" s="158"/>
      <c r="HK17" s="158"/>
      <c r="HL17" s="158"/>
      <c r="HM17" s="158"/>
      <c r="HN17" s="158"/>
      <c r="HO17" s="158"/>
      <c r="HP17" s="158"/>
      <c r="HQ17" s="158"/>
      <c r="HR17" s="158"/>
    </row>
    <row r="18" spans="1:226" s="80" customFormat="1" ht="17.45" hidden="1" customHeight="1">
      <c r="A18" s="49"/>
      <c r="B18" s="49"/>
      <c r="C18" s="158"/>
      <c r="D18" s="158"/>
      <c r="E18" s="158"/>
      <c r="F18" s="158"/>
      <c r="G18" s="158"/>
      <c r="H18" s="158"/>
      <c r="I18" s="158"/>
      <c r="J18" s="158"/>
      <c r="K18" s="158"/>
      <c r="L18" s="158"/>
      <c r="M18" s="158"/>
      <c r="N18" s="158"/>
      <c r="O18" s="158"/>
      <c r="P18" s="158"/>
      <c r="Q18" s="158"/>
      <c r="R18" s="158"/>
      <c r="S18" s="158"/>
      <c r="T18" s="158"/>
      <c r="U18" s="158"/>
      <c r="V18" s="158"/>
      <c r="W18" s="158"/>
      <c r="X18" s="158"/>
      <c r="Y18" s="158"/>
      <c r="Z18" s="158"/>
      <c r="AA18" s="158"/>
      <c r="AB18" s="158"/>
      <c r="AC18" s="158"/>
      <c r="AD18" s="158"/>
      <c r="AE18" s="158"/>
      <c r="AF18" s="158"/>
      <c r="AG18" s="158"/>
      <c r="AH18" s="158"/>
      <c r="AI18" s="158"/>
      <c r="AJ18" s="158"/>
      <c r="AK18" s="158"/>
      <c r="AL18" s="158"/>
      <c r="AM18" s="158"/>
      <c r="AN18" s="158"/>
      <c r="AO18" s="158"/>
      <c r="AP18" s="158"/>
      <c r="AQ18" s="158"/>
      <c r="AR18" s="158"/>
      <c r="AS18" s="158"/>
      <c r="AT18" s="158"/>
      <c r="AU18" s="158"/>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c r="BR18" s="158"/>
      <c r="BS18" s="158"/>
      <c r="BT18" s="158"/>
      <c r="BU18" s="158"/>
      <c r="BV18" s="158"/>
      <c r="BW18" s="158"/>
      <c r="BX18" s="158"/>
      <c r="BY18" s="158"/>
      <c r="BZ18" s="158"/>
      <c r="CA18" s="158"/>
      <c r="CB18" s="158"/>
      <c r="CC18" s="158"/>
      <c r="CD18" s="158"/>
      <c r="CE18" s="158"/>
      <c r="CF18" s="158"/>
      <c r="CG18" s="158"/>
      <c r="CH18" s="158"/>
      <c r="CI18" s="158"/>
      <c r="CJ18" s="158"/>
      <c r="CK18" s="158"/>
      <c r="CL18" s="158"/>
      <c r="CM18" s="158"/>
      <c r="CN18" s="158"/>
      <c r="CO18" s="158"/>
      <c r="CP18" s="158"/>
      <c r="CQ18" s="158"/>
      <c r="CR18" s="158"/>
      <c r="CS18" s="158"/>
      <c r="CT18" s="158"/>
      <c r="CU18" s="158"/>
      <c r="CV18" s="158"/>
      <c r="CW18" s="158"/>
      <c r="CX18" s="158"/>
      <c r="CY18" s="158"/>
      <c r="CZ18" s="158"/>
      <c r="DA18" s="158"/>
      <c r="DB18" s="158"/>
      <c r="DC18" s="158"/>
      <c r="DD18" s="158"/>
      <c r="DE18" s="158"/>
      <c r="DF18" s="158"/>
      <c r="DG18" s="158"/>
      <c r="DH18" s="158"/>
      <c r="DI18" s="158"/>
      <c r="DJ18" s="158"/>
      <c r="DK18" s="158"/>
      <c r="DL18" s="158"/>
      <c r="DM18" s="158"/>
      <c r="DN18" s="158"/>
      <c r="DO18" s="158"/>
      <c r="DP18" s="158"/>
      <c r="DQ18" s="158"/>
      <c r="DR18" s="158"/>
      <c r="DS18" s="158"/>
      <c r="DT18" s="158"/>
      <c r="DU18" s="158"/>
      <c r="DV18" s="158"/>
      <c r="DW18" s="158"/>
      <c r="DX18" s="158"/>
      <c r="DY18" s="158"/>
      <c r="DZ18" s="158"/>
      <c r="EA18" s="158"/>
      <c r="EB18" s="158"/>
      <c r="EC18" s="158"/>
      <c r="ED18" s="158"/>
      <c r="EE18" s="158"/>
      <c r="EF18" s="158"/>
      <c r="EG18" s="158"/>
      <c r="EH18" s="158"/>
      <c r="EI18" s="158"/>
      <c r="EJ18" s="158"/>
      <c r="EK18" s="158"/>
      <c r="EL18" s="158"/>
      <c r="EM18" s="158"/>
      <c r="EN18" s="158"/>
      <c r="EO18" s="158"/>
      <c r="EP18" s="158"/>
      <c r="EQ18" s="158"/>
      <c r="ER18" s="158"/>
      <c r="ES18" s="158"/>
      <c r="ET18" s="158"/>
      <c r="EU18" s="158"/>
      <c r="EV18" s="158"/>
      <c r="EW18" s="158"/>
      <c r="EX18" s="158"/>
      <c r="EY18" s="158"/>
      <c r="EZ18" s="158"/>
      <c r="FA18" s="158"/>
      <c r="FB18" s="158"/>
      <c r="FC18" s="158"/>
      <c r="FD18" s="158"/>
      <c r="FE18" s="158"/>
      <c r="FF18" s="158"/>
      <c r="FG18" s="158"/>
      <c r="FH18" s="158"/>
      <c r="FI18" s="158"/>
      <c r="FJ18" s="158"/>
      <c r="FK18" s="158"/>
      <c r="FL18" s="158"/>
      <c r="FM18" s="158"/>
      <c r="FN18" s="158"/>
      <c r="FO18" s="158"/>
      <c r="FP18" s="158"/>
      <c r="FQ18" s="158"/>
      <c r="FR18" s="158"/>
      <c r="FS18" s="158"/>
      <c r="FT18" s="158"/>
      <c r="FU18" s="158"/>
      <c r="FV18" s="158"/>
      <c r="FW18" s="158"/>
      <c r="FX18" s="158"/>
      <c r="FY18" s="158"/>
      <c r="FZ18" s="158"/>
      <c r="GA18" s="158"/>
      <c r="GB18" s="158"/>
      <c r="GC18" s="158"/>
      <c r="GD18" s="158"/>
      <c r="GE18" s="158"/>
      <c r="GF18" s="158"/>
      <c r="GG18" s="158"/>
      <c r="GH18" s="158"/>
      <c r="GI18" s="158"/>
      <c r="GJ18" s="158"/>
      <c r="GK18" s="158"/>
      <c r="GL18" s="158"/>
      <c r="GM18" s="158"/>
      <c r="GN18" s="158"/>
      <c r="GO18" s="158"/>
      <c r="GP18" s="158"/>
      <c r="GQ18" s="158"/>
      <c r="GR18" s="158"/>
      <c r="GS18" s="158"/>
      <c r="GT18" s="158"/>
      <c r="GU18" s="158"/>
      <c r="GV18" s="158"/>
      <c r="GW18" s="158"/>
      <c r="GX18" s="158"/>
      <c r="GY18" s="158"/>
      <c r="GZ18" s="158"/>
      <c r="HA18" s="158"/>
      <c r="HB18" s="158"/>
      <c r="HC18" s="158"/>
      <c r="HD18" s="158"/>
      <c r="HE18" s="158"/>
      <c r="HF18" s="158"/>
      <c r="HG18" s="158"/>
      <c r="HH18" s="158"/>
      <c r="HI18" s="158"/>
      <c r="HJ18" s="158"/>
      <c r="HK18" s="158"/>
      <c r="HL18" s="158"/>
      <c r="HM18" s="158"/>
      <c r="HN18" s="158"/>
      <c r="HO18" s="158"/>
      <c r="HP18" s="158"/>
      <c r="HQ18" s="158"/>
      <c r="HR18" s="158"/>
    </row>
    <row r="19" spans="1:226" s="80" customFormat="1" ht="17.45" hidden="1" customHeight="1">
      <c r="A19" s="49"/>
      <c r="B19" s="49"/>
      <c r="C19" s="158"/>
      <c r="D19" s="158"/>
      <c r="E19" s="158"/>
      <c r="F19" s="158"/>
      <c r="G19" s="158"/>
      <c r="H19" s="158"/>
      <c r="I19" s="158"/>
      <c r="J19" s="158"/>
      <c r="K19" s="158"/>
      <c r="L19" s="158"/>
      <c r="M19" s="158"/>
      <c r="N19" s="158"/>
      <c r="O19" s="158"/>
      <c r="P19" s="158"/>
      <c r="Q19" s="158"/>
      <c r="R19" s="158"/>
      <c r="S19" s="158"/>
      <c r="T19" s="158"/>
      <c r="U19" s="158"/>
      <c r="V19" s="158"/>
      <c r="W19" s="158"/>
      <c r="X19" s="158"/>
      <c r="Y19" s="158"/>
      <c r="Z19" s="158"/>
      <c r="AA19" s="158"/>
      <c r="AB19" s="158"/>
      <c r="AC19" s="158"/>
      <c r="AD19" s="158"/>
      <c r="AE19" s="158"/>
      <c r="AF19" s="158"/>
      <c r="AG19" s="158"/>
      <c r="AH19" s="158"/>
      <c r="AI19" s="158"/>
      <c r="AJ19" s="158"/>
      <c r="AK19" s="158"/>
      <c r="AL19" s="158"/>
      <c r="AM19" s="158"/>
      <c r="AN19" s="158"/>
      <c r="AO19" s="158"/>
      <c r="AP19" s="158"/>
      <c r="AQ19" s="158"/>
      <c r="AR19" s="158"/>
      <c r="AS19" s="158"/>
      <c r="AT19" s="158"/>
      <c r="AU19" s="158"/>
      <c r="AV19" s="158"/>
      <c r="AW19" s="158"/>
      <c r="AX19" s="158"/>
      <c r="AY19" s="158"/>
      <c r="AZ19" s="158"/>
      <c r="BA19" s="158"/>
      <c r="BB19" s="158"/>
      <c r="BC19" s="158"/>
      <c r="BD19" s="158"/>
      <c r="BE19" s="158"/>
      <c r="BF19" s="158"/>
      <c r="BG19" s="158"/>
      <c r="BH19" s="158"/>
      <c r="BI19" s="158"/>
      <c r="BJ19" s="158"/>
      <c r="BK19" s="158"/>
      <c r="BL19" s="158"/>
      <c r="BM19" s="158"/>
      <c r="BN19" s="158"/>
      <c r="BO19" s="158"/>
      <c r="BP19" s="158"/>
      <c r="BQ19" s="158"/>
      <c r="BR19" s="158"/>
      <c r="BS19" s="158"/>
      <c r="BT19" s="158"/>
      <c r="BU19" s="158"/>
      <c r="BV19" s="158"/>
      <c r="BW19" s="158"/>
      <c r="BX19" s="158"/>
      <c r="BY19" s="158"/>
      <c r="BZ19" s="158"/>
      <c r="CA19" s="158"/>
      <c r="CB19" s="158"/>
      <c r="CC19" s="158"/>
      <c r="CD19" s="158"/>
      <c r="CE19" s="158"/>
      <c r="CF19" s="158"/>
      <c r="CG19" s="158"/>
      <c r="CH19" s="158"/>
      <c r="CI19" s="158"/>
      <c r="CJ19" s="158"/>
      <c r="CK19" s="158"/>
      <c r="CL19" s="158"/>
      <c r="CM19" s="158"/>
      <c r="CN19" s="158"/>
      <c r="CO19" s="158"/>
      <c r="CP19" s="158"/>
      <c r="CQ19" s="158"/>
      <c r="CR19" s="158"/>
      <c r="CS19" s="158"/>
      <c r="CT19" s="158"/>
      <c r="CU19" s="158"/>
      <c r="CV19" s="158"/>
      <c r="CW19" s="158"/>
      <c r="CX19" s="158"/>
      <c r="CY19" s="158"/>
      <c r="CZ19" s="158"/>
      <c r="DA19" s="158"/>
      <c r="DB19" s="158"/>
      <c r="DC19" s="158"/>
      <c r="DD19" s="158"/>
      <c r="DE19" s="158"/>
      <c r="DF19" s="158"/>
      <c r="DG19" s="158"/>
      <c r="DH19" s="158"/>
      <c r="DI19" s="158"/>
      <c r="DJ19" s="158"/>
      <c r="DK19" s="158"/>
      <c r="DL19" s="158"/>
      <c r="DM19" s="158"/>
      <c r="DN19" s="158"/>
      <c r="DO19" s="158"/>
      <c r="DP19" s="158"/>
      <c r="DQ19" s="158"/>
      <c r="DR19" s="158"/>
      <c r="DS19" s="158"/>
      <c r="DT19" s="158"/>
      <c r="DU19" s="158"/>
      <c r="DV19" s="158"/>
      <c r="DW19" s="158"/>
      <c r="DX19" s="158"/>
      <c r="DY19" s="158"/>
      <c r="DZ19" s="158"/>
      <c r="EA19" s="158"/>
      <c r="EB19" s="158"/>
      <c r="EC19" s="158"/>
      <c r="ED19" s="158"/>
      <c r="EE19" s="158"/>
      <c r="EF19" s="158"/>
      <c r="EG19" s="158"/>
      <c r="EH19" s="158"/>
      <c r="EI19" s="158"/>
      <c r="EJ19" s="158"/>
      <c r="EK19" s="158"/>
      <c r="EL19" s="158"/>
      <c r="EM19" s="158"/>
      <c r="EN19" s="158"/>
      <c r="EO19" s="158"/>
      <c r="EP19" s="158"/>
      <c r="EQ19" s="158"/>
      <c r="ER19" s="158"/>
      <c r="ES19" s="158"/>
      <c r="ET19" s="158"/>
      <c r="EU19" s="158"/>
      <c r="EV19" s="158"/>
      <c r="EW19" s="158"/>
      <c r="EX19" s="158"/>
      <c r="EY19" s="158"/>
      <c r="EZ19" s="158"/>
      <c r="FA19" s="158"/>
      <c r="FB19" s="158"/>
      <c r="FC19" s="158"/>
      <c r="FD19" s="158"/>
      <c r="FE19" s="158"/>
      <c r="FF19" s="158"/>
      <c r="FG19" s="158"/>
      <c r="FH19" s="158"/>
      <c r="FI19" s="158"/>
      <c r="FJ19" s="158"/>
      <c r="FK19" s="158"/>
      <c r="FL19" s="158"/>
      <c r="FM19" s="158"/>
      <c r="FN19" s="158"/>
      <c r="FO19" s="158"/>
      <c r="FP19" s="158"/>
      <c r="FQ19" s="158"/>
      <c r="FR19" s="158"/>
      <c r="FS19" s="158"/>
      <c r="FT19" s="158"/>
      <c r="FU19" s="158"/>
      <c r="FV19" s="158"/>
      <c r="FW19" s="158"/>
      <c r="FX19" s="158"/>
      <c r="FY19" s="158"/>
      <c r="FZ19" s="158"/>
      <c r="GA19" s="158"/>
      <c r="GB19" s="158"/>
      <c r="GC19" s="158"/>
      <c r="GD19" s="158"/>
      <c r="GE19" s="158"/>
      <c r="GF19" s="158"/>
      <c r="GG19" s="158"/>
      <c r="GH19" s="158"/>
      <c r="GI19" s="158"/>
      <c r="GJ19" s="158"/>
      <c r="GK19" s="158"/>
      <c r="GL19" s="158"/>
      <c r="GM19" s="158"/>
      <c r="GN19" s="158"/>
      <c r="GO19" s="158"/>
      <c r="GP19" s="158"/>
      <c r="GQ19" s="158"/>
      <c r="GR19" s="158"/>
      <c r="GS19" s="158"/>
      <c r="GT19" s="158"/>
      <c r="GU19" s="158"/>
      <c r="GV19" s="158"/>
      <c r="GW19" s="158"/>
      <c r="GX19" s="158"/>
      <c r="GY19" s="158"/>
      <c r="GZ19" s="158"/>
      <c r="HA19" s="158"/>
      <c r="HB19" s="158"/>
      <c r="HC19" s="158"/>
      <c r="HD19" s="158"/>
      <c r="HE19" s="158"/>
      <c r="HF19" s="158"/>
      <c r="HG19" s="158"/>
      <c r="HH19" s="158"/>
      <c r="HI19" s="158"/>
      <c r="HJ19" s="158"/>
      <c r="HK19" s="158"/>
      <c r="HL19" s="158"/>
      <c r="HM19" s="158"/>
      <c r="HN19" s="158"/>
      <c r="HO19" s="158"/>
      <c r="HP19" s="158"/>
      <c r="HQ19" s="158"/>
      <c r="HR19" s="158"/>
    </row>
    <row r="20" spans="1:226" s="80" customFormat="1" ht="17.45" hidden="1" customHeight="1">
      <c r="A20" s="49"/>
      <c r="B20" s="49"/>
      <c r="C20" s="158"/>
      <c r="D20" s="158"/>
      <c r="E20" s="158"/>
      <c r="F20" s="158"/>
      <c r="G20" s="158"/>
      <c r="H20" s="158"/>
      <c r="I20" s="158"/>
      <c r="J20" s="158"/>
      <c r="K20" s="158"/>
      <c r="L20" s="158"/>
      <c r="M20" s="158"/>
      <c r="N20" s="158"/>
      <c r="O20" s="158"/>
      <c r="P20" s="158"/>
      <c r="Q20" s="158"/>
      <c r="R20" s="158"/>
      <c r="S20" s="158"/>
      <c r="T20" s="158"/>
      <c r="U20" s="158"/>
      <c r="V20" s="158"/>
      <c r="W20" s="158"/>
      <c r="X20" s="158"/>
      <c r="Y20" s="158"/>
      <c r="Z20" s="158"/>
      <c r="AA20" s="158"/>
      <c r="AB20" s="158"/>
      <c r="AC20" s="158"/>
      <c r="AD20" s="158"/>
      <c r="AE20" s="158"/>
      <c r="AF20" s="158"/>
      <c r="AG20" s="158"/>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c r="BL20" s="158"/>
      <c r="BM20" s="158"/>
      <c r="BN20" s="158"/>
      <c r="BO20" s="158"/>
      <c r="BP20" s="158"/>
      <c r="BQ20" s="158"/>
      <c r="BR20" s="158"/>
      <c r="BS20" s="158"/>
      <c r="BT20" s="158"/>
      <c r="BU20" s="158"/>
      <c r="BV20" s="158"/>
      <c r="BW20" s="158"/>
      <c r="BX20" s="158"/>
      <c r="BY20" s="158"/>
      <c r="BZ20" s="158"/>
      <c r="CA20" s="158"/>
      <c r="CB20" s="158"/>
      <c r="CC20" s="158"/>
      <c r="CD20" s="158"/>
      <c r="CE20" s="158"/>
      <c r="CF20" s="158"/>
      <c r="CG20" s="158"/>
      <c r="CH20" s="158"/>
      <c r="CI20" s="158"/>
      <c r="CJ20" s="158"/>
      <c r="CK20" s="158"/>
      <c r="CL20" s="158"/>
      <c r="CM20" s="158"/>
      <c r="CN20" s="158"/>
      <c r="CO20" s="158"/>
      <c r="CP20" s="158"/>
      <c r="CQ20" s="158"/>
      <c r="CR20" s="158"/>
      <c r="CS20" s="158"/>
      <c r="CT20" s="158"/>
      <c r="CU20" s="158"/>
      <c r="CV20" s="158"/>
      <c r="CW20" s="158"/>
      <c r="CX20" s="158"/>
      <c r="CY20" s="158"/>
      <c r="CZ20" s="158"/>
      <c r="DA20" s="158"/>
      <c r="DB20" s="158"/>
      <c r="DC20" s="158"/>
      <c r="DD20" s="158"/>
      <c r="DE20" s="158"/>
      <c r="DF20" s="158"/>
      <c r="DG20" s="158"/>
      <c r="DH20" s="158"/>
      <c r="DI20" s="158"/>
      <c r="DJ20" s="158"/>
      <c r="DK20" s="158"/>
      <c r="DL20" s="158"/>
      <c r="DM20" s="158"/>
      <c r="DN20" s="158"/>
      <c r="DO20" s="158"/>
      <c r="DP20" s="158"/>
      <c r="DQ20" s="158"/>
      <c r="DR20" s="158"/>
      <c r="DS20" s="158"/>
      <c r="DT20" s="158"/>
      <c r="DU20" s="158"/>
      <c r="DV20" s="158"/>
      <c r="DW20" s="158"/>
      <c r="DX20" s="158"/>
      <c r="DY20" s="158"/>
      <c r="DZ20" s="158"/>
      <c r="EA20" s="158"/>
      <c r="EB20" s="158"/>
      <c r="EC20" s="158"/>
      <c r="ED20" s="158"/>
      <c r="EE20" s="158"/>
      <c r="EF20" s="158"/>
      <c r="EG20" s="158"/>
      <c r="EH20" s="158"/>
      <c r="EI20" s="158"/>
      <c r="EJ20" s="158"/>
      <c r="EK20" s="158"/>
      <c r="EL20" s="158"/>
      <c r="EM20" s="158"/>
      <c r="EN20" s="158"/>
      <c r="EO20" s="158"/>
      <c r="EP20" s="158"/>
      <c r="EQ20" s="158"/>
      <c r="ER20" s="158"/>
      <c r="ES20" s="158"/>
      <c r="ET20" s="158"/>
      <c r="EU20" s="158"/>
      <c r="EV20" s="158"/>
      <c r="EW20" s="158"/>
      <c r="EX20" s="158"/>
      <c r="EY20" s="158"/>
      <c r="EZ20" s="158"/>
      <c r="FA20" s="158"/>
      <c r="FB20" s="158"/>
      <c r="FC20" s="158"/>
      <c r="FD20" s="158"/>
      <c r="FE20" s="158"/>
      <c r="FF20" s="158"/>
      <c r="FG20" s="158"/>
      <c r="FH20" s="158"/>
      <c r="FI20" s="158"/>
      <c r="FJ20" s="158"/>
      <c r="FK20" s="158"/>
      <c r="FL20" s="158"/>
      <c r="FM20" s="158"/>
      <c r="FN20" s="158"/>
      <c r="FO20" s="158"/>
      <c r="FP20" s="158"/>
      <c r="FQ20" s="158"/>
      <c r="FR20" s="158"/>
      <c r="FS20" s="158"/>
      <c r="FT20" s="158"/>
      <c r="FU20" s="158"/>
      <c r="FV20" s="158"/>
      <c r="FW20" s="158"/>
      <c r="FX20" s="158"/>
      <c r="FY20" s="158"/>
      <c r="FZ20" s="158"/>
      <c r="GA20" s="158"/>
      <c r="GB20" s="158"/>
      <c r="GC20" s="158"/>
      <c r="GD20" s="158"/>
      <c r="GE20" s="158"/>
      <c r="GF20" s="158"/>
      <c r="GG20" s="158"/>
      <c r="GH20" s="158"/>
      <c r="GI20" s="158"/>
      <c r="GJ20" s="158"/>
      <c r="GK20" s="158"/>
      <c r="GL20" s="158"/>
      <c r="GM20" s="158"/>
      <c r="GN20" s="158"/>
      <c r="GO20" s="158"/>
      <c r="GP20" s="158"/>
      <c r="GQ20" s="158"/>
      <c r="GR20" s="158"/>
      <c r="GS20" s="158"/>
      <c r="GT20" s="158"/>
      <c r="GU20" s="158"/>
      <c r="GV20" s="158"/>
      <c r="GW20" s="158"/>
      <c r="GX20" s="158"/>
      <c r="GY20" s="158"/>
      <c r="GZ20" s="158"/>
      <c r="HA20" s="158"/>
      <c r="HB20" s="158"/>
      <c r="HC20" s="158"/>
      <c r="HD20" s="158"/>
      <c r="HE20" s="158"/>
      <c r="HF20" s="158"/>
      <c r="HG20" s="158"/>
      <c r="HH20" s="158"/>
      <c r="HI20" s="158"/>
      <c r="HJ20" s="158"/>
      <c r="HK20" s="158"/>
      <c r="HL20" s="158"/>
      <c r="HM20" s="158"/>
      <c r="HN20" s="158"/>
      <c r="HO20" s="158"/>
      <c r="HP20" s="158"/>
      <c r="HQ20" s="158"/>
      <c r="HR20" s="158"/>
    </row>
    <row r="21" spans="1:226" s="80" customFormat="1" ht="14.45" customHeight="1">
      <c r="A21" s="49"/>
      <c r="B21" s="105" t="s">
        <v>153</v>
      </c>
      <c r="C21" s="162" t="s">
        <v>589</v>
      </c>
      <c r="D21" s="145">
        <f>Output_Concentration!F4</f>
        <v>0</v>
      </c>
      <c r="E21" s="158"/>
      <c r="F21" s="158"/>
      <c r="G21" s="158"/>
      <c r="H21" s="158"/>
      <c r="I21" s="158"/>
      <c r="J21" s="158"/>
      <c r="K21" s="158"/>
      <c r="L21" s="158"/>
      <c r="M21" s="158"/>
      <c r="N21" s="158"/>
      <c r="O21" s="158"/>
      <c r="P21" s="158"/>
      <c r="Q21" s="158"/>
      <c r="R21" s="158"/>
      <c r="S21" s="158"/>
      <c r="T21" s="158"/>
      <c r="U21" s="158"/>
      <c r="V21" s="158"/>
      <c r="W21" s="158"/>
      <c r="X21" s="158"/>
      <c r="Y21" s="158"/>
      <c r="Z21" s="158"/>
      <c r="AA21" s="158"/>
      <c r="AB21" s="158"/>
      <c r="AC21" s="158"/>
      <c r="AD21" s="158"/>
      <c r="AE21" s="158"/>
      <c r="AF21" s="158"/>
      <c r="AG21" s="158"/>
      <c r="AH21" s="158"/>
      <c r="AI21" s="158"/>
      <c r="AJ21" s="158"/>
      <c r="AK21" s="158"/>
      <c r="AL21" s="158"/>
      <c r="AM21" s="158"/>
      <c r="AN21" s="158"/>
      <c r="AO21" s="158"/>
      <c r="AP21" s="158"/>
      <c r="AQ21" s="158"/>
      <c r="AR21" s="158"/>
      <c r="AS21" s="158"/>
      <c r="AT21" s="158"/>
      <c r="AU21" s="158"/>
      <c r="AV21" s="158"/>
      <c r="AW21" s="158"/>
      <c r="AX21" s="158"/>
      <c r="AY21" s="158"/>
      <c r="AZ21" s="158"/>
      <c r="BA21" s="158"/>
      <c r="BB21" s="158"/>
      <c r="BC21" s="158"/>
      <c r="BD21" s="158"/>
      <c r="BE21" s="158"/>
      <c r="BF21" s="158"/>
      <c r="BG21" s="158"/>
      <c r="BH21" s="158"/>
      <c r="BI21" s="158"/>
      <c r="BJ21" s="158"/>
      <c r="BK21" s="158"/>
      <c r="BL21" s="158"/>
      <c r="BM21" s="158"/>
      <c r="BN21" s="158"/>
      <c r="BO21" s="158"/>
      <c r="BP21" s="158"/>
      <c r="BQ21" s="158"/>
      <c r="BR21" s="158"/>
      <c r="BS21" s="158"/>
      <c r="BT21" s="158"/>
      <c r="BU21" s="158"/>
      <c r="BV21" s="158"/>
      <c r="BW21" s="158"/>
      <c r="BX21" s="158"/>
      <c r="BY21" s="158"/>
      <c r="BZ21" s="158"/>
      <c r="CA21" s="158"/>
      <c r="CB21" s="158"/>
      <c r="CC21" s="158"/>
      <c r="CD21" s="158"/>
      <c r="CE21" s="158"/>
      <c r="CF21" s="158"/>
      <c r="CG21" s="158"/>
      <c r="CH21" s="158"/>
      <c r="CI21" s="158"/>
      <c r="CJ21" s="158"/>
      <c r="CK21" s="158"/>
      <c r="CL21" s="158"/>
      <c r="CM21" s="158"/>
      <c r="CN21" s="158"/>
      <c r="CO21" s="158"/>
      <c r="CP21" s="158"/>
      <c r="CQ21" s="158"/>
      <c r="CR21" s="158"/>
      <c r="CS21" s="158"/>
      <c r="CT21" s="158"/>
      <c r="CU21" s="158"/>
      <c r="CV21" s="158"/>
      <c r="CW21" s="158"/>
      <c r="CX21" s="158"/>
      <c r="CY21" s="158"/>
      <c r="CZ21" s="158"/>
      <c r="DA21" s="158"/>
      <c r="DB21" s="158"/>
      <c r="DC21" s="158"/>
      <c r="DD21" s="158"/>
      <c r="DE21" s="158"/>
      <c r="DF21" s="158"/>
      <c r="DG21" s="158"/>
      <c r="DH21" s="158"/>
      <c r="DI21" s="158"/>
      <c r="DJ21" s="158"/>
      <c r="DK21" s="158"/>
      <c r="DL21" s="158"/>
      <c r="DM21" s="158"/>
      <c r="DN21" s="158"/>
      <c r="DO21" s="158"/>
      <c r="DP21" s="158"/>
      <c r="DQ21" s="158"/>
      <c r="DR21" s="158"/>
      <c r="DS21" s="158"/>
      <c r="DT21" s="158"/>
      <c r="DU21" s="158"/>
      <c r="DV21" s="158"/>
      <c r="DW21" s="158"/>
      <c r="DX21" s="158"/>
      <c r="DY21" s="158"/>
      <c r="DZ21" s="158"/>
      <c r="EA21" s="158"/>
      <c r="EB21" s="158"/>
      <c r="EC21" s="158"/>
      <c r="ED21" s="158"/>
      <c r="EE21" s="158"/>
      <c r="EF21" s="158"/>
      <c r="EG21" s="158"/>
      <c r="EH21" s="158"/>
      <c r="EI21" s="158"/>
      <c r="EJ21" s="158"/>
      <c r="EK21" s="158"/>
      <c r="EL21" s="158"/>
      <c r="EM21" s="158"/>
      <c r="EN21" s="158"/>
      <c r="EO21" s="158"/>
      <c r="EP21" s="158"/>
      <c r="EQ21" s="158"/>
      <c r="ER21" s="158"/>
      <c r="ES21" s="158"/>
      <c r="ET21" s="158"/>
      <c r="EU21" s="158"/>
      <c r="EV21" s="158"/>
      <c r="EW21" s="158"/>
      <c r="EX21" s="158"/>
      <c r="EY21" s="158"/>
      <c r="EZ21" s="158"/>
      <c r="FA21" s="158"/>
      <c r="FB21" s="158"/>
      <c r="FC21" s="158"/>
      <c r="FD21" s="158"/>
      <c r="FE21" s="158"/>
      <c r="FF21" s="158"/>
      <c r="FG21" s="158"/>
      <c r="FH21" s="158"/>
      <c r="FI21" s="158"/>
      <c r="FJ21" s="158"/>
      <c r="FK21" s="158"/>
      <c r="FL21" s="158"/>
      <c r="FM21" s="158"/>
      <c r="FN21" s="158"/>
      <c r="FO21" s="158"/>
      <c r="FP21" s="158"/>
      <c r="FQ21" s="158"/>
      <c r="FR21" s="158"/>
      <c r="FS21" s="158"/>
      <c r="FT21" s="158"/>
      <c r="FU21" s="158"/>
      <c r="FV21" s="158"/>
      <c r="FW21" s="158"/>
      <c r="FX21" s="158"/>
      <c r="FY21" s="158"/>
      <c r="FZ21" s="158"/>
      <c r="GA21" s="158"/>
      <c r="GB21" s="158"/>
      <c r="GC21" s="158"/>
      <c r="GD21" s="158"/>
      <c r="GE21" s="158"/>
      <c r="GF21" s="158"/>
      <c r="GG21" s="158"/>
      <c r="GH21" s="158"/>
      <c r="GI21" s="158"/>
      <c r="GJ21" s="158"/>
      <c r="GK21" s="158"/>
      <c r="GL21" s="158"/>
      <c r="GM21" s="158"/>
      <c r="GN21" s="158"/>
      <c r="GO21" s="158"/>
      <c r="GP21" s="158"/>
      <c r="GQ21" s="158"/>
      <c r="GR21" s="158"/>
      <c r="GS21" s="158"/>
      <c r="GT21" s="158"/>
      <c r="GU21" s="158"/>
      <c r="GV21" s="158"/>
      <c r="GW21" s="158"/>
      <c r="GX21" s="158"/>
      <c r="GY21" s="158"/>
      <c r="GZ21" s="158"/>
      <c r="HA21" s="158"/>
      <c r="HB21" s="158"/>
      <c r="HC21" s="158"/>
      <c r="HD21" s="158"/>
      <c r="HE21" s="158"/>
      <c r="HF21" s="158"/>
      <c r="HG21" s="158"/>
      <c r="HH21" s="158"/>
      <c r="HI21" s="158"/>
      <c r="HJ21" s="158"/>
      <c r="HK21" s="158"/>
      <c r="HL21" s="158"/>
    </row>
    <row r="22" spans="1:226" s="80" customFormat="1" ht="14.45" customHeight="1">
      <c r="A22" s="49"/>
      <c r="B22" s="105" t="s">
        <v>154</v>
      </c>
      <c r="C22" s="162" t="s">
        <v>590</v>
      </c>
      <c r="D22" s="145">
        <f>Output_Concentration!G4</f>
        <v>0</v>
      </c>
      <c r="E22" s="158"/>
      <c r="F22" s="158"/>
      <c r="G22" s="158"/>
      <c r="H22" s="158"/>
      <c r="I22" s="158"/>
      <c r="J22" s="158"/>
      <c r="K22" s="158"/>
      <c r="L22" s="158"/>
      <c r="M22" s="158"/>
      <c r="N22" s="158"/>
      <c r="O22" s="158"/>
      <c r="P22" s="158"/>
      <c r="Q22" s="158"/>
      <c r="R22" s="158"/>
      <c r="S22" s="158"/>
      <c r="T22" s="158"/>
      <c r="U22" s="158"/>
      <c r="V22" s="158"/>
      <c r="W22" s="158"/>
      <c r="X22" s="158"/>
      <c r="Y22" s="158"/>
      <c r="Z22" s="158"/>
      <c r="AA22" s="158"/>
      <c r="AB22" s="158"/>
      <c r="AC22" s="158"/>
      <c r="AD22" s="158"/>
      <c r="AE22" s="158"/>
      <c r="AF22" s="158"/>
      <c r="AG22" s="158"/>
      <c r="AH22" s="158"/>
      <c r="AI22" s="158"/>
      <c r="AJ22" s="158"/>
      <c r="AK22" s="158"/>
      <c r="AL22" s="158"/>
      <c r="AM22" s="158"/>
      <c r="AN22" s="158"/>
      <c r="AO22" s="158"/>
      <c r="AP22" s="158"/>
      <c r="AQ22" s="158"/>
      <c r="AR22" s="158"/>
      <c r="AS22" s="158"/>
      <c r="AT22" s="158"/>
      <c r="AU22" s="158"/>
      <c r="AV22" s="158"/>
      <c r="AW22" s="158"/>
      <c r="AX22" s="158"/>
      <c r="AY22" s="158"/>
      <c r="AZ22" s="158"/>
      <c r="BA22" s="158"/>
      <c r="BB22" s="158"/>
      <c r="BC22" s="158"/>
      <c r="BD22" s="158"/>
      <c r="BE22" s="158"/>
      <c r="BF22" s="158"/>
      <c r="BG22" s="158"/>
      <c r="BH22" s="158"/>
      <c r="BI22" s="158"/>
      <c r="BJ22" s="158"/>
      <c r="BK22" s="158"/>
      <c r="BL22" s="158"/>
      <c r="BM22" s="158"/>
      <c r="BN22" s="158"/>
      <c r="BO22" s="158"/>
      <c r="BP22" s="158"/>
      <c r="BQ22" s="158"/>
      <c r="BR22" s="158"/>
      <c r="BS22" s="158"/>
      <c r="BT22" s="158"/>
      <c r="BU22" s="158"/>
      <c r="BV22" s="158"/>
      <c r="BW22" s="158"/>
      <c r="BX22" s="158"/>
      <c r="BY22" s="158"/>
      <c r="BZ22" s="158"/>
      <c r="CA22" s="158"/>
      <c r="CB22" s="158"/>
      <c r="CC22" s="158"/>
      <c r="CD22" s="158"/>
      <c r="CE22" s="158"/>
      <c r="CF22" s="158"/>
      <c r="CG22" s="158"/>
      <c r="CH22" s="158"/>
      <c r="CI22" s="158"/>
      <c r="CJ22" s="158"/>
      <c r="CK22" s="158"/>
      <c r="CL22" s="158"/>
      <c r="CM22" s="158"/>
      <c r="CN22" s="158"/>
      <c r="CO22" s="158"/>
      <c r="CP22" s="158"/>
      <c r="CQ22" s="158"/>
      <c r="CR22" s="158"/>
      <c r="CS22" s="158"/>
      <c r="CT22" s="158"/>
      <c r="CU22" s="158"/>
      <c r="CV22" s="158"/>
      <c r="CW22" s="158"/>
      <c r="CX22" s="158"/>
      <c r="CY22" s="158"/>
      <c r="CZ22" s="158"/>
      <c r="DA22" s="158"/>
      <c r="DB22" s="158"/>
      <c r="DC22" s="158"/>
      <c r="DD22" s="158"/>
      <c r="DE22" s="158"/>
      <c r="DF22" s="158"/>
      <c r="DG22" s="158"/>
      <c r="DH22" s="158"/>
      <c r="DI22" s="158"/>
      <c r="DJ22" s="158"/>
      <c r="DK22" s="158"/>
      <c r="DL22" s="158"/>
      <c r="DM22" s="158"/>
      <c r="DN22" s="158"/>
      <c r="DO22" s="158"/>
      <c r="DP22" s="158"/>
      <c r="DQ22" s="158"/>
      <c r="DR22" s="158"/>
      <c r="DS22" s="158"/>
      <c r="DT22" s="158"/>
      <c r="DU22" s="158"/>
      <c r="DV22" s="158"/>
      <c r="DW22" s="158"/>
      <c r="DX22" s="158"/>
      <c r="DY22" s="158"/>
      <c r="DZ22" s="158"/>
      <c r="EA22" s="158"/>
      <c r="EB22" s="158"/>
      <c r="EC22" s="158"/>
      <c r="ED22" s="158"/>
      <c r="EE22" s="158"/>
      <c r="EF22" s="158"/>
      <c r="EG22" s="158"/>
      <c r="EH22" s="158"/>
      <c r="EI22" s="158"/>
      <c r="EJ22" s="158"/>
      <c r="EK22" s="158"/>
      <c r="EL22" s="158"/>
      <c r="EM22" s="158"/>
      <c r="EN22" s="158"/>
      <c r="EO22" s="158"/>
      <c r="EP22" s="158"/>
      <c r="EQ22" s="158"/>
      <c r="ER22" s="158"/>
      <c r="ES22" s="158"/>
      <c r="ET22" s="158"/>
      <c r="EU22" s="158"/>
      <c r="EV22" s="158"/>
      <c r="EW22" s="158"/>
      <c r="EX22" s="158"/>
      <c r="EY22" s="158"/>
      <c r="EZ22" s="158"/>
      <c r="FA22" s="158"/>
      <c r="FB22" s="158"/>
      <c r="FC22" s="158"/>
      <c r="FD22" s="158"/>
      <c r="FE22" s="158"/>
      <c r="FF22" s="158"/>
      <c r="FG22" s="158"/>
      <c r="FH22" s="158"/>
      <c r="FI22" s="158"/>
      <c r="FJ22" s="158"/>
      <c r="FK22" s="158"/>
      <c r="FL22" s="158"/>
      <c r="FM22" s="158"/>
      <c r="FN22" s="158"/>
      <c r="FO22" s="158"/>
      <c r="FP22" s="158"/>
      <c r="FQ22" s="158"/>
      <c r="FR22" s="158"/>
      <c r="FS22" s="158"/>
      <c r="FT22" s="158"/>
      <c r="FU22" s="158"/>
      <c r="FV22" s="158"/>
      <c r="FW22" s="158"/>
      <c r="FX22" s="158"/>
      <c r="FY22" s="158"/>
      <c r="FZ22" s="158"/>
      <c r="GA22" s="158"/>
      <c r="GB22" s="158"/>
      <c r="GC22" s="158"/>
      <c r="GD22" s="158"/>
      <c r="GE22" s="158"/>
      <c r="GF22" s="158"/>
      <c r="GG22" s="158"/>
      <c r="GH22" s="158"/>
      <c r="GI22" s="158"/>
      <c r="GJ22" s="158"/>
      <c r="GK22" s="158"/>
      <c r="GL22" s="158"/>
      <c r="GM22" s="158"/>
      <c r="GN22" s="158"/>
      <c r="GO22" s="158"/>
      <c r="GP22" s="158"/>
      <c r="GQ22" s="158"/>
      <c r="GR22" s="158"/>
      <c r="GS22" s="158"/>
      <c r="GT22" s="158"/>
      <c r="GU22" s="158"/>
      <c r="GV22" s="158"/>
      <c r="GW22" s="158"/>
      <c r="GX22" s="158"/>
      <c r="GY22" s="158"/>
      <c r="GZ22" s="158"/>
      <c r="HA22" s="158"/>
      <c r="HB22" s="158"/>
      <c r="HC22" s="158"/>
      <c r="HD22" s="158"/>
      <c r="HE22" s="158"/>
      <c r="HF22" s="158"/>
      <c r="HG22" s="158"/>
      <c r="HH22" s="158"/>
      <c r="HI22" s="158"/>
      <c r="HJ22" s="158"/>
      <c r="HK22" s="158"/>
      <c r="HL22" s="158"/>
    </row>
    <row r="23" spans="1:226" s="80" customFormat="1" ht="14.45" customHeight="1">
      <c r="A23" s="49"/>
      <c r="B23" s="105" t="s">
        <v>155</v>
      </c>
      <c r="C23" s="162" t="s">
        <v>591</v>
      </c>
      <c r="D23" s="145">
        <f>Output_Concentration!H4</f>
        <v>0</v>
      </c>
      <c r="E23" s="158"/>
      <c r="F23" s="158"/>
      <c r="G23" s="158"/>
      <c r="H23" s="158"/>
      <c r="I23" s="158"/>
      <c r="J23" s="158"/>
      <c r="K23" s="158"/>
      <c r="L23" s="158"/>
      <c r="M23" s="158"/>
      <c r="N23" s="158"/>
      <c r="O23" s="158"/>
      <c r="P23" s="158"/>
      <c r="Q23" s="158"/>
      <c r="R23" s="158"/>
      <c r="S23" s="158"/>
      <c r="T23" s="158"/>
      <c r="U23" s="158"/>
      <c r="V23" s="158"/>
      <c r="W23" s="158"/>
      <c r="X23" s="158"/>
      <c r="Y23" s="158"/>
      <c r="Z23" s="158"/>
      <c r="AA23" s="158"/>
      <c r="AB23" s="158"/>
      <c r="AC23" s="158"/>
      <c r="AD23" s="158"/>
      <c r="AE23" s="158"/>
      <c r="AF23" s="158"/>
      <c r="AG23" s="158"/>
      <c r="AH23" s="158"/>
      <c r="AI23" s="158"/>
      <c r="AJ23" s="158"/>
      <c r="AK23" s="158"/>
      <c r="AL23" s="158"/>
      <c r="AM23" s="158"/>
      <c r="AN23" s="158"/>
      <c r="AO23" s="158"/>
      <c r="AP23" s="158"/>
      <c r="AQ23" s="158"/>
      <c r="AR23" s="158"/>
      <c r="AS23" s="158"/>
      <c r="AT23" s="158"/>
      <c r="AU23" s="158"/>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c r="BR23" s="158"/>
      <c r="BS23" s="158"/>
      <c r="BT23" s="158"/>
      <c r="BU23" s="158"/>
      <c r="BV23" s="158"/>
      <c r="BW23" s="158"/>
      <c r="BX23" s="158"/>
      <c r="BY23" s="158"/>
      <c r="BZ23" s="158"/>
      <c r="CA23" s="158"/>
      <c r="CB23" s="158"/>
      <c r="CC23" s="158"/>
      <c r="CD23" s="158"/>
      <c r="CE23" s="158"/>
      <c r="CF23" s="158"/>
      <c r="CG23" s="158"/>
      <c r="CH23" s="158"/>
      <c r="CI23" s="158"/>
      <c r="CJ23" s="158"/>
      <c r="CK23" s="158"/>
      <c r="CL23" s="158"/>
      <c r="CM23" s="158"/>
      <c r="CN23" s="158"/>
      <c r="CO23" s="158"/>
      <c r="CP23" s="158"/>
      <c r="CQ23" s="158"/>
      <c r="CR23" s="158"/>
      <c r="CS23" s="158"/>
      <c r="CT23" s="158"/>
      <c r="CU23" s="158"/>
      <c r="CV23" s="158"/>
      <c r="CW23" s="158"/>
      <c r="CX23" s="158"/>
      <c r="CY23" s="158"/>
      <c r="CZ23" s="158"/>
      <c r="DA23" s="158"/>
      <c r="DB23" s="158"/>
      <c r="DC23" s="158"/>
      <c r="DD23" s="158"/>
      <c r="DE23" s="158"/>
      <c r="DF23" s="158"/>
      <c r="DG23" s="158"/>
      <c r="DH23" s="158"/>
      <c r="DI23" s="158"/>
      <c r="DJ23" s="158"/>
      <c r="DK23" s="158"/>
      <c r="DL23" s="158"/>
      <c r="DM23" s="158"/>
      <c r="DN23" s="158"/>
      <c r="DO23" s="158"/>
      <c r="DP23" s="158"/>
      <c r="DQ23" s="158"/>
      <c r="DR23" s="158"/>
      <c r="DS23" s="158"/>
      <c r="DT23" s="158"/>
      <c r="DU23" s="158"/>
      <c r="DV23" s="158"/>
      <c r="DW23" s="158"/>
      <c r="DX23" s="158"/>
      <c r="DY23" s="158"/>
      <c r="DZ23" s="158"/>
      <c r="EA23" s="158"/>
      <c r="EB23" s="158"/>
      <c r="EC23" s="158"/>
      <c r="ED23" s="158"/>
      <c r="EE23" s="158"/>
      <c r="EF23" s="158"/>
      <c r="EG23" s="158"/>
      <c r="EH23" s="158"/>
      <c r="EI23" s="158"/>
      <c r="EJ23" s="158"/>
      <c r="EK23" s="158"/>
      <c r="EL23" s="158"/>
      <c r="EM23" s="158"/>
      <c r="EN23" s="158"/>
      <c r="EO23" s="158"/>
      <c r="EP23" s="158"/>
      <c r="EQ23" s="158"/>
      <c r="ER23" s="158"/>
      <c r="ES23" s="158"/>
      <c r="ET23" s="158"/>
      <c r="EU23" s="158"/>
      <c r="EV23" s="158"/>
      <c r="EW23" s="158"/>
      <c r="EX23" s="158"/>
      <c r="EY23" s="158"/>
      <c r="EZ23" s="158"/>
      <c r="FA23" s="158"/>
      <c r="FB23" s="158"/>
      <c r="FC23" s="158"/>
      <c r="FD23" s="158"/>
      <c r="FE23" s="158"/>
      <c r="FF23" s="158"/>
      <c r="FG23" s="158"/>
      <c r="FH23" s="158"/>
      <c r="FI23" s="158"/>
      <c r="FJ23" s="158"/>
      <c r="FK23" s="158"/>
      <c r="FL23" s="158"/>
      <c r="FM23" s="158"/>
      <c r="FN23" s="158"/>
      <c r="FO23" s="158"/>
      <c r="FP23" s="158"/>
      <c r="FQ23" s="158"/>
      <c r="FR23" s="158"/>
      <c r="FS23" s="158"/>
      <c r="FT23" s="158"/>
      <c r="FU23" s="158"/>
      <c r="FV23" s="158"/>
      <c r="FW23" s="158"/>
      <c r="FX23" s="158"/>
      <c r="FY23" s="158"/>
      <c r="FZ23" s="158"/>
      <c r="GA23" s="158"/>
      <c r="GB23" s="158"/>
      <c r="GC23" s="158"/>
      <c r="GD23" s="158"/>
      <c r="GE23" s="158"/>
      <c r="GF23" s="158"/>
      <c r="GG23" s="158"/>
      <c r="GH23" s="158"/>
      <c r="GI23" s="158"/>
      <c r="GJ23" s="158"/>
      <c r="GK23" s="158"/>
      <c r="GL23" s="158"/>
      <c r="GM23" s="158"/>
      <c r="GN23" s="158"/>
      <c r="GO23" s="158"/>
      <c r="GP23" s="158"/>
      <c r="GQ23" s="158"/>
      <c r="GR23" s="158"/>
      <c r="GS23" s="158"/>
      <c r="GT23" s="158"/>
      <c r="GU23" s="158"/>
      <c r="GV23" s="158"/>
      <c r="GW23" s="158"/>
      <c r="GX23" s="158"/>
      <c r="GY23" s="158"/>
      <c r="GZ23" s="158"/>
      <c r="HA23" s="158"/>
      <c r="HB23" s="158"/>
      <c r="HC23" s="158"/>
      <c r="HD23" s="158"/>
      <c r="HE23" s="158"/>
      <c r="HF23" s="158"/>
      <c r="HG23" s="158"/>
      <c r="HH23" s="158"/>
      <c r="HI23" s="158"/>
      <c r="HJ23" s="158"/>
      <c r="HK23" s="158"/>
      <c r="HL23" s="158"/>
    </row>
    <row r="24" spans="1:226" s="80" customFormat="1" ht="14.45" customHeight="1">
      <c r="A24" s="49"/>
      <c r="B24" s="105" t="s">
        <v>156</v>
      </c>
      <c r="C24" s="162" t="s">
        <v>592</v>
      </c>
      <c r="D24" s="145">
        <f>Output_Concentration!I4</f>
        <v>0</v>
      </c>
      <c r="E24" s="158"/>
      <c r="F24" s="158"/>
      <c r="G24" s="158"/>
      <c r="H24" s="158"/>
      <c r="I24" s="158"/>
      <c r="J24" s="158"/>
      <c r="K24" s="158"/>
      <c r="L24" s="158"/>
      <c r="M24" s="158"/>
      <c r="N24" s="158"/>
      <c r="O24" s="158"/>
      <c r="P24" s="158"/>
      <c r="Q24" s="158"/>
      <c r="R24" s="158"/>
      <c r="S24" s="158"/>
      <c r="T24" s="158"/>
      <c r="U24" s="158"/>
      <c r="V24" s="158"/>
      <c r="W24" s="158"/>
      <c r="X24" s="158"/>
      <c r="Y24" s="158"/>
      <c r="Z24" s="158"/>
      <c r="AA24" s="158"/>
      <c r="AB24" s="158"/>
      <c r="AC24" s="158"/>
      <c r="AD24" s="158"/>
      <c r="AE24" s="158"/>
      <c r="AF24" s="158"/>
      <c r="AG24" s="158"/>
      <c r="AH24" s="158"/>
      <c r="AI24" s="158"/>
      <c r="AJ24" s="158"/>
      <c r="AK24" s="158"/>
      <c r="AL24" s="158"/>
      <c r="AM24" s="158"/>
      <c r="AN24" s="158"/>
      <c r="AO24" s="158"/>
      <c r="AP24" s="158"/>
      <c r="AQ24" s="158"/>
      <c r="AR24" s="158"/>
      <c r="AS24" s="158"/>
      <c r="AT24" s="158"/>
      <c r="AU24" s="158"/>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c r="BR24" s="158"/>
      <c r="BS24" s="158"/>
      <c r="BT24" s="158"/>
      <c r="BU24" s="158"/>
      <c r="BV24" s="158"/>
      <c r="BW24" s="158"/>
      <c r="BX24" s="158"/>
      <c r="BY24" s="158"/>
      <c r="BZ24" s="158"/>
      <c r="CA24" s="158"/>
      <c r="CB24" s="158"/>
      <c r="CC24" s="158"/>
      <c r="CD24" s="158"/>
      <c r="CE24" s="158"/>
      <c r="CF24" s="158"/>
      <c r="CG24" s="158"/>
      <c r="CH24" s="158"/>
      <c r="CI24" s="158"/>
      <c r="CJ24" s="158"/>
      <c r="CK24" s="158"/>
      <c r="CL24" s="158"/>
      <c r="CM24" s="158"/>
      <c r="CN24" s="158"/>
      <c r="CO24" s="158"/>
      <c r="CP24" s="158"/>
      <c r="CQ24" s="158"/>
      <c r="CR24" s="158"/>
      <c r="CS24" s="158"/>
      <c r="CT24" s="158"/>
      <c r="CU24" s="158"/>
      <c r="CV24" s="158"/>
      <c r="CW24" s="158"/>
      <c r="CX24" s="158"/>
      <c r="CY24" s="158"/>
      <c r="CZ24" s="158"/>
      <c r="DA24" s="158"/>
      <c r="DB24" s="158"/>
      <c r="DC24" s="158"/>
      <c r="DD24" s="158"/>
      <c r="DE24" s="158"/>
      <c r="DF24" s="158"/>
      <c r="DG24" s="158"/>
      <c r="DH24" s="158"/>
      <c r="DI24" s="158"/>
      <c r="DJ24" s="158"/>
      <c r="DK24" s="158"/>
      <c r="DL24" s="158"/>
      <c r="DM24" s="158"/>
      <c r="DN24" s="158"/>
      <c r="DO24" s="158"/>
      <c r="DP24" s="158"/>
      <c r="DQ24" s="158"/>
      <c r="DR24" s="158"/>
      <c r="DS24" s="158"/>
      <c r="DT24" s="158"/>
      <c r="DU24" s="158"/>
      <c r="DV24" s="158"/>
      <c r="DW24" s="158"/>
      <c r="DX24" s="158"/>
      <c r="DY24" s="158"/>
      <c r="DZ24" s="158"/>
      <c r="EA24" s="158"/>
      <c r="EB24" s="158"/>
      <c r="EC24" s="158"/>
      <c r="ED24" s="158"/>
      <c r="EE24" s="158"/>
      <c r="EF24" s="158"/>
      <c r="EG24" s="158"/>
      <c r="EH24" s="158"/>
      <c r="EI24" s="158"/>
      <c r="EJ24" s="158"/>
      <c r="EK24" s="158"/>
      <c r="EL24" s="158"/>
      <c r="EM24" s="158"/>
      <c r="EN24" s="158"/>
      <c r="EO24" s="158"/>
      <c r="EP24" s="158"/>
      <c r="EQ24" s="158"/>
      <c r="ER24" s="158"/>
      <c r="ES24" s="158"/>
      <c r="ET24" s="158"/>
      <c r="EU24" s="158"/>
      <c r="EV24" s="158"/>
      <c r="EW24" s="158"/>
      <c r="EX24" s="158"/>
      <c r="EY24" s="158"/>
      <c r="EZ24" s="158"/>
      <c r="FA24" s="158"/>
      <c r="FB24" s="158"/>
      <c r="FC24" s="158"/>
      <c r="FD24" s="158"/>
      <c r="FE24" s="158"/>
      <c r="FF24" s="158"/>
      <c r="FG24" s="158"/>
      <c r="FH24" s="158"/>
      <c r="FI24" s="158"/>
      <c r="FJ24" s="158"/>
      <c r="FK24" s="158"/>
      <c r="FL24" s="158"/>
      <c r="FM24" s="158"/>
      <c r="FN24" s="158"/>
      <c r="FO24" s="158"/>
      <c r="FP24" s="158"/>
      <c r="FQ24" s="158"/>
      <c r="FR24" s="158"/>
      <c r="FS24" s="158"/>
      <c r="FT24" s="158"/>
      <c r="FU24" s="158"/>
      <c r="FV24" s="158"/>
      <c r="FW24" s="158"/>
      <c r="FX24" s="158"/>
      <c r="FY24" s="158"/>
      <c r="FZ24" s="158"/>
      <c r="GA24" s="158"/>
      <c r="GB24" s="158"/>
      <c r="GC24" s="158"/>
      <c r="GD24" s="158"/>
      <c r="GE24" s="158"/>
      <c r="GF24" s="158"/>
      <c r="GG24" s="158"/>
      <c r="GH24" s="158"/>
      <c r="GI24" s="158"/>
      <c r="GJ24" s="158"/>
      <c r="GK24" s="158"/>
      <c r="GL24" s="158"/>
      <c r="GM24" s="158"/>
      <c r="GN24" s="158"/>
      <c r="GO24" s="158"/>
      <c r="GP24" s="158"/>
      <c r="GQ24" s="158"/>
      <c r="GR24" s="158"/>
      <c r="GS24" s="158"/>
      <c r="GT24" s="158"/>
      <c r="GU24" s="158"/>
      <c r="GV24" s="158"/>
      <c r="GW24" s="158"/>
      <c r="GX24" s="158"/>
      <c r="GY24" s="158"/>
      <c r="GZ24" s="158"/>
      <c r="HA24" s="158"/>
      <c r="HB24" s="158"/>
      <c r="HC24" s="158"/>
      <c r="HD24" s="158"/>
      <c r="HE24" s="158"/>
      <c r="HF24" s="158"/>
      <c r="HG24" s="158"/>
      <c r="HH24" s="158"/>
      <c r="HI24" s="158"/>
      <c r="HJ24" s="158"/>
      <c r="HK24" s="158"/>
      <c r="HL24" s="158"/>
    </row>
    <row r="25" spans="1:226" s="80" customFormat="1" ht="14.45" customHeight="1">
      <c r="A25" s="49"/>
      <c r="B25" s="105" t="s">
        <v>157</v>
      </c>
      <c r="C25" s="162" t="s">
        <v>593</v>
      </c>
      <c r="D25" s="145">
        <f>Output_Concentration!J4</f>
        <v>0</v>
      </c>
      <c r="E25" s="158"/>
      <c r="F25" s="158"/>
      <c r="G25" s="158"/>
      <c r="H25" s="158"/>
      <c r="I25" s="158"/>
      <c r="J25" s="158"/>
      <c r="K25" s="158"/>
      <c r="L25" s="158"/>
      <c r="M25" s="158"/>
      <c r="N25" s="158"/>
      <c r="O25" s="158"/>
      <c r="P25" s="158"/>
      <c r="Q25" s="158"/>
      <c r="R25" s="158"/>
      <c r="S25" s="158"/>
      <c r="T25" s="158"/>
      <c r="U25" s="158"/>
      <c r="V25" s="158"/>
      <c r="W25" s="158"/>
      <c r="X25" s="158"/>
      <c r="Y25" s="158"/>
      <c r="Z25" s="158"/>
      <c r="AA25" s="158"/>
      <c r="AB25" s="158"/>
      <c r="AC25" s="158"/>
      <c r="AD25" s="158"/>
      <c r="AE25" s="158"/>
      <c r="AF25" s="158"/>
      <c r="AG25" s="158"/>
      <c r="AH25" s="158"/>
      <c r="AI25" s="158"/>
      <c r="AJ25" s="158"/>
      <c r="AK25" s="158"/>
      <c r="AL25" s="158"/>
      <c r="AM25" s="158"/>
      <c r="AN25" s="158"/>
      <c r="AO25" s="158"/>
      <c r="AP25" s="158"/>
      <c r="AQ25" s="158"/>
      <c r="AR25" s="158"/>
      <c r="AS25" s="158"/>
      <c r="AT25" s="158"/>
      <c r="AU25" s="158"/>
      <c r="AV25" s="158"/>
      <c r="AW25" s="158"/>
      <c r="AX25" s="158"/>
      <c r="AY25" s="158"/>
      <c r="AZ25" s="158"/>
      <c r="BA25" s="158"/>
      <c r="BB25" s="158"/>
      <c r="BC25" s="158"/>
      <c r="BD25" s="158"/>
      <c r="BE25" s="158"/>
      <c r="BF25" s="158"/>
      <c r="BG25" s="158"/>
      <c r="BH25" s="158"/>
      <c r="BI25" s="158"/>
      <c r="BJ25" s="158"/>
      <c r="BK25" s="158"/>
      <c r="BL25" s="158"/>
      <c r="BM25" s="158"/>
      <c r="BN25" s="158"/>
      <c r="BO25" s="158"/>
      <c r="BP25" s="158"/>
      <c r="BQ25" s="158"/>
      <c r="BR25" s="158"/>
      <c r="BS25" s="158"/>
      <c r="BT25" s="158"/>
      <c r="BU25" s="158"/>
      <c r="BV25" s="158"/>
      <c r="BW25" s="158"/>
      <c r="BX25" s="158"/>
      <c r="BY25" s="158"/>
      <c r="BZ25" s="158"/>
      <c r="CA25" s="158"/>
      <c r="CB25" s="158"/>
      <c r="CC25" s="158"/>
      <c r="CD25" s="158"/>
      <c r="CE25" s="158"/>
      <c r="CF25" s="158"/>
      <c r="CG25" s="158"/>
      <c r="CH25" s="158"/>
      <c r="CI25" s="158"/>
      <c r="CJ25" s="158"/>
      <c r="CK25" s="158"/>
      <c r="CL25" s="158"/>
      <c r="CM25" s="158"/>
      <c r="CN25" s="158"/>
      <c r="CO25" s="158"/>
      <c r="CP25" s="158"/>
      <c r="CQ25" s="158"/>
      <c r="CR25" s="158"/>
      <c r="CS25" s="158"/>
      <c r="CT25" s="158"/>
      <c r="CU25" s="158"/>
      <c r="CV25" s="158"/>
      <c r="CW25" s="158"/>
      <c r="CX25" s="158"/>
      <c r="CY25" s="158"/>
      <c r="CZ25" s="158"/>
      <c r="DA25" s="158"/>
      <c r="DB25" s="158"/>
      <c r="DC25" s="158"/>
      <c r="DD25" s="158"/>
      <c r="DE25" s="158"/>
      <c r="DF25" s="158"/>
      <c r="DG25" s="158"/>
      <c r="DH25" s="158"/>
      <c r="DI25" s="158"/>
      <c r="DJ25" s="158"/>
      <c r="DK25" s="158"/>
      <c r="DL25" s="158"/>
      <c r="DM25" s="158"/>
      <c r="DN25" s="158"/>
      <c r="DO25" s="158"/>
      <c r="DP25" s="158"/>
      <c r="DQ25" s="158"/>
      <c r="DR25" s="158"/>
      <c r="DS25" s="158"/>
      <c r="DT25" s="158"/>
      <c r="DU25" s="158"/>
      <c r="DV25" s="158"/>
      <c r="DW25" s="158"/>
      <c r="DX25" s="158"/>
      <c r="DY25" s="158"/>
      <c r="DZ25" s="158"/>
      <c r="EA25" s="158"/>
      <c r="EB25" s="158"/>
      <c r="EC25" s="158"/>
      <c r="ED25" s="158"/>
      <c r="EE25" s="158"/>
      <c r="EF25" s="158"/>
      <c r="EG25" s="158"/>
      <c r="EH25" s="158"/>
      <c r="EI25" s="158"/>
      <c r="EJ25" s="158"/>
      <c r="EK25" s="158"/>
      <c r="EL25" s="158"/>
      <c r="EM25" s="158"/>
      <c r="EN25" s="158"/>
      <c r="EO25" s="158"/>
      <c r="EP25" s="158"/>
      <c r="EQ25" s="158"/>
      <c r="ER25" s="158"/>
      <c r="ES25" s="158"/>
      <c r="ET25" s="158"/>
      <c r="EU25" s="158"/>
      <c r="EV25" s="158"/>
      <c r="EW25" s="158"/>
      <c r="EX25" s="158"/>
      <c r="EY25" s="158"/>
      <c r="EZ25" s="158"/>
      <c r="FA25" s="158"/>
      <c r="FB25" s="158"/>
      <c r="FC25" s="158"/>
      <c r="FD25" s="158"/>
      <c r="FE25" s="158"/>
      <c r="FF25" s="158"/>
      <c r="FG25" s="158"/>
      <c r="FH25" s="158"/>
      <c r="FI25" s="158"/>
      <c r="FJ25" s="158"/>
      <c r="FK25" s="158"/>
      <c r="FL25" s="158"/>
      <c r="FM25" s="158"/>
      <c r="FN25" s="158"/>
      <c r="FO25" s="158"/>
      <c r="FP25" s="158"/>
      <c r="FQ25" s="158"/>
      <c r="FR25" s="158"/>
      <c r="FS25" s="158"/>
      <c r="FT25" s="158"/>
      <c r="FU25" s="158"/>
      <c r="FV25" s="158"/>
      <c r="FW25" s="158"/>
      <c r="FX25" s="158"/>
      <c r="FY25" s="158"/>
      <c r="FZ25" s="158"/>
      <c r="GA25" s="158"/>
      <c r="GB25" s="158"/>
      <c r="GC25" s="158"/>
      <c r="GD25" s="158"/>
      <c r="GE25" s="158"/>
      <c r="GF25" s="158"/>
      <c r="GG25" s="158"/>
      <c r="GH25" s="158"/>
      <c r="GI25" s="158"/>
      <c r="GJ25" s="158"/>
      <c r="GK25" s="158"/>
      <c r="GL25" s="158"/>
      <c r="GM25" s="158"/>
      <c r="GN25" s="158"/>
      <c r="GO25" s="158"/>
      <c r="GP25" s="158"/>
      <c r="GQ25" s="158"/>
      <c r="GR25" s="158"/>
      <c r="GS25" s="158"/>
      <c r="GT25" s="158"/>
      <c r="GU25" s="158"/>
      <c r="GV25" s="158"/>
      <c r="GW25" s="158"/>
      <c r="GX25" s="158"/>
      <c r="GY25" s="158"/>
      <c r="GZ25" s="158"/>
      <c r="HA25" s="158"/>
      <c r="HB25" s="158"/>
      <c r="HC25" s="158"/>
      <c r="HD25" s="158"/>
      <c r="HE25" s="158"/>
      <c r="HF25" s="158"/>
      <c r="HG25" s="158"/>
      <c r="HH25" s="158"/>
      <c r="HI25" s="158"/>
      <c r="HJ25" s="158"/>
      <c r="HK25" s="158"/>
      <c r="HL25" s="158"/>
    </row>
    <row r="26" spans="1:226" s="80" customFormat="1" ht="14.45" customHeight="1">
      <c r="A26" s="49"/>
      <c r="B26" s="105" t="s">
        <v>158</v>
      </c>
      <c r="C26" s="162" t="s">
        <v>594</v>
      </c>
      <c r="D26" s="145">
        <f>Output_Concentration!P4</f>
        <v>0</v>
      </c>
      <c r="E26" s="158"/>
      <c r="F26" s="158"/>
      <c r="G26" s="158"/>
      <c r="H26" s="158"/>
      <c r="I26" s="158"/>
      <c r="J26" s="158"/>
      <c r="K26" s="158"/>
      <c r="L26" s="158"/>
      <c r="M26" s="158"/>
      <c r="N26" s="158"/>
      <c r="O26" s="158"/>
      <c r="P26" s="158"/>
      <c r="Q26" s="158"/>
      <c r="R26" s="158"/>
      <c r="S26" s="158"/>
      <c r="T26" s="158"/>
      <c r="U26" s="158"/>
      <c r="V26" s="158"/>
      <c r="W26" s="158"/>
      <c r="X26" s="158"/>
      <c r="Y26" s="158"/>
      <c r="Z26" s="158"/>
      <c r="AA26" s="158"/>
      <c r="AB26" s="158"/>
      <c r="AC26" s="158"/>
      <c r="AD26" s="158"/>
      <c r="AE26" s="158"/>
      <c r="AF26" s="158"/>
      <c r="AG26" s="158"/>
      <c r="AH26" s="158"/>
      <c r="AI26" s="158"/>
      <c r="AJ26" s="158"/>
      <c r="AK26" s="158"/>
      <c r="AL26" s="158"/>
      <c r="AM26" s="158"/>
      <c r="AN26" s="158"/>
      <c r="AO26" s="158"/>
      <c r="AP26" s="158"/>
      <c r="AQ26" s="158"/>
      <c r="AR26" s="158"/>
      <c r="AS26" s="158"/>
      <c r="AT26" s="158"/>
      <c r="AU26" s="158"/>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c r="BR26" s="158"/>
      <c r="BS26" s="158"/>
      <c r="BT26" s="158"/>
      <c r="BU26" s="158"/>
      <c r="BV26" s="158"/>
      <c r="BW26" s="158"/>
      <c r="BX26" s="158"/>
      <c r="BY26" s="158"/>
      <c r="BZ26" s="158"/>
      <c r="CA26" s="158"/>
      <c r="CB26" s="158"/>
      <c r="CC26" s="158"/>
      <c r="CD26" s="158"/>
      <c r="CE26" s="158"/>
      <c r="CF26" s="158"/>
      <c r="CG26" s="158"/>
      <c r="CH26" s="158"/>
      <c r="CI26" s="158"/>
      <c r="CJ26" s="158"/>
      <c r="CK26" s="158"/>
      <c r="CL26" s="158"/>
      <c r="CM26" s="158"/>
      <c r="CN26" s="158"/>
      <c r="CO26" s="158"/>
      <c r="CP26" s="158"/>
      <c r="CQ26" s="158"/>
      <c r="CR26" s="158"/>
      <c r="CS26" s="158"/>
      <c r="CT26" s="158"/>
      <c r="CU26" s="158"/>
      <c r="CV26" s="158"/>
      <c r="CW26" s="158"/>
      <c r="CX26" s="158"/>
      <c r="CY26" s="158"/>
      <c r="CZ26" s="158"/>
      <c r="DA26" s="158"/>
      <c r="DB26" s="158"/>
      <c r="DC26" s="158"/>
      <c r="DD26" s="158"/>
      <c r="DE26" s="158"/>
      <c r="DF26" s="158"/>
      <c r="DG26" s="158"/>
      <c r="DH26" s="158"/>
      <c r="DI26" s="158"/>
      <c r="DJ26" s="158"/>
      <c r="DK26" s="158"/>
      <c r="DL26" s="158"/>
      <c r="DM26" s="158"/>
      <c r="DN26" s="158"/>
      <c r="DO26" s="158"/>
      <c r="DP26" s="158"/>
      <c r="DQ26" s="158"/>
      <c r="DR26" s="158"/>
      <c r="DS26" s="158"/>
      <c r="DT26" s="158"/>
      <c r="DU26" s="158"/>
      <c r="DV26" s="158"/>
      <c r="DW26" s="158"/>
      <c r="DX26" s="158"/>
      <c r="DY26" s="158"/>
      <c r="DZ26" s="158"/>
      <c r="EA26" s="158"/>
      <c r="EB26" s="158"/>
      <c r="EC26" s="158"/>
      <c r="ED26" s="158"/>
      <c r="EE26" s="158"/>
      <c r="EF26" s="158"/>
      <c r="EG26" s="158"/>
      <c r="EH26" s="158"/>
      <c r="EI26" s="158"/>
      <c r="EJ26" s="158"/>
      <c r="EK26" s="158"/>
      <c r="EL26" s="158"/>
      <c r="EM26" s="158"/>
      <c r="EN26" s="158"/>
      <c r="EO26" s="158"/>
      <c r="EP26" s="158"/>
      <c r="EQ26" s="158"/>
      <c r="ER26" s="158"/>
      <c r="ES26" s="158"/>
      <c r="ET26" s="158"/>
      <c r="EU26" s="158"/>
      <c r="EV26" s="158"/>
      <c r="EW26" s="158"/>
      <c r="EX26" s="158"/>
      <c r="EY26" s="158"/>
      <c r="EZ26" s="158"/>
      <c r="FA26" s="158"/>
      <c r="FB26" s="158"/>
      <c r="FC26" s="158"/>
      <c r="FD26" s="158"/>
      <c r="FE26" s="158"/>
      <c r="FF26" s="158"/>
      <c r="FG26" s="158"/>
      <c r="FH26" s="158"/>
      <c r="FI26" s="158"/>
      <c r="FJ26" s="158"/>
      <c r="FK26" s="158"/>
      <c r="FL26" s="158"/>
      <c r="FM26" s="158"/>
      <c r="FN26" s="158"/>
      <c r="FO26" s="158"/>
      <c r="FP26" s="158"/>
      <c r="FQ26" s="158"/>
      <c r="FR26" s="158"/>
      <c r="FS26" s="158"/>
      <c r="FT26" s="158"/>
      <c r="FU26" s="158"/>
      <c r="FV26" s="158"/>
      <c r="FW26" s="158"/>
      <c r="FX26" s="158"/>
      <c r="FY26" s="158"/>
      <c r="FZ26" s="158"/>
      <c r="GA26" s="158"/>
      <c r="GB26" s="158"/>
      <c r="GC26" s="158"/>
      <c r="GD26" s="158"/>
      <c r="GE26" s="158"/>
      <c r="GF26" s="158"/>
      <c r="GG26" s="158"/>
      <c r="GH26" s="158"/>
      <c r="GI26" s="158"/>
      <c r="GJ26" s="158"/>
      <c r="GK26" s="158"/>
      <c r="GL26" s="158"/>
      <c r="GM26" s="158"/>
      <c r="GN26" s="158"/>
      <c r="GO26" s="158"/>
      <c r="GP26" s="158"/>
      <c r="GQ26" s="158"/>
      <c r="GR26" s="158"/>
      <c r="GS26" s="158"/>
      <c r="GT26" s="158"/>
      <c r="GU26" s="158"/>
      <c r="GV26" s="158"/>
      <c r="GW26" s="158"/>
      <c r="GX26" s="158"/>
      <c r="GY26" s="158"/>
      <c r="GZ26" s="158"/>
      <c r="HA26" s="158"/>
      <c r="HB26" s="158"/>
      <c r="HC26" s="158"/>
      <c r="HD26" s="158"/>
      <c r="HE26" s="158"/>
      <c r="HF26" s="158"/>
      <c r="HG26" s="158"/>
      <c r="HH26" s="158"/>
      <c r="HI26" s="158"/>
      <c r="HJ26" s="158"/>
      <c r="HK26" s="158"/>
      <c r="HL26" s="158"/>
    </row>
    <row r="27" spans="1:226" s="80" customFormat="1" ht="14.45" customHeight="1">
      <c r="A27" s="49"/>
      <c r="B27" s="105" t="s">
        <v>159</v>
      </c>
      <c r="C27" s="162" t="s">
        <v>595</v>
      </c>
      <c r="D27" s="145">
        <f>Output_Concentration!Q4</f>
        <v>0</v>
      </c>
      <c r="E27" s="158"/>
      <c r="F27" s="158"/>
      <c r="G27" s="158"/>
      <c r="H27" s="158"/>
      <c r="I27" s="158"/>
      <c r="J27" s="158"/>
      <c r="K27" s="158"/>
      <c r="L27" s="158"/>
      <c r="M27" s="158"/>
      <c r="N27" s="158"/>
      <c r="O27" s="158"/>
      <c r="P27" s="158"/>
      <c r="Q27" s="158"/>
      <c r="R27" s="158"/>
      <c r="S27" s="158"/>
      <c r="T27" s="158"/>
      <c r="U27" s="158"/>
      <c r="V27" s="158"/>
      <c r="W27" s="158"/>
      <c r="X27" s="158"/>
      <c r="Y27" s="158"/>
      <c r="Z27" s="158"/>
      <c r="AA27" s="158"/>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c r="AY27" s="158"/>
      <c r="AZ27" s="158"/>
      <c r="BA27" s="158"/>
      <c r="BB27" s="158"/>
      <c r="BC27" s="158"/>
      <c r="BD27" s="158"/>
      <c r="BE27" s="158"/>
      <c r="BF27" s="158"/>
      <c r="BG27" s="158"/>
      <c r="BH27" s="158"/>
      <c r="BI27" s="158"/>
      <c r="BJ27" s="158"/>
      <c r="BK27" s="158"/>
      <c r="BL27" s="158"/>
      <c r="BM27" s="158"/>
      <c r="BN27" s="158"/>
      <c r="BO27" s="158"/>
      <c r="BP27" s="158"/>
      <c r="BQ27" s="158"/>
      <c r="BR27" s="158"/>
      <c r="BS27" s="158"/>
      <c r="BT27" s="158"/>
      <c r="BU27" s="158"/>
      <c r="BV27" s="158"/>
      <c r="BW27" s="158"/>
      <c r="BX27" s="158"/>
      <c r="BY27" s="158"/>
      <c r="BZ27" s="158"/>
      <c r="CA27" s="158"/>
      <c r="CB27" s="158"/>
      <c r="CC27" s="158"/>
      <c r="CD27" s="158"/>
      <c r="CE27" s="158"/>
      <c r="CF27" s="158"/>
      <c r="CG27" s="158"/>
      <c r="CH27" s="158"/>
      <c r="CI27" s="158"/>
      <c r="CJ27" s="158"/>
      <c r="CK27" s="158"/>
      <c r="CL27" s="158"/>
      <c r="CM27" s="158"/>
      <c r="CN27" s="158"/>
      <c r="CO27" s="158"/>
      <c r="CP27" s="158"/>
      <c r="CQ27" s="158"/>
      <c r="CR27" s="158"/>
      <c r="CS27" s="158"/>
      <c r="CT27" s="158"/>
      <c r="CU27" s="158"/>
      <c r="CV27" s="158"/>
      <c r="CW27" s="158"/>
      <c r="CX27" s="158"/>
      <c r="CY27" s="158"/>
      <c r="CZ27" s="158"/>
      <c r="DA27" s="158"/>
      <c r="DB27" s="158"/>
      <c r="DC27" s="158"/>
      <c r="DD27" s="158"/>
      <c r="DE27" s="158"/>
      <c r="DF27" s="158"/>
      <c r="DG27" s="158"/>
      <c r="DH27" s="158"/>
      <c r="DI27" s="158"/>
      <c r="DJ27" s="158"/>
      <c r="DK27" s="158"/>
      <c r="DL27" s="158"/>
      <c r="DM27" s="158"/>
      <c r="DN27" s="158"/>
      <c r="DO27" s="158"/>
      <c r="DP27" s="158"/>
      <c r="DQ27" s="158"/>
      <c r="DR27" s="158"/>
      <c r="DS27" s="158"/>
      <c r="DT27" s="158"/>
      <c r="DU27" s="158"/>
      <c r="DV27" s="158"/>
      <c r="DW27" s="158"/>
      <c r="DX27" s="158"/>
      <c r="DY27" s="158"/>
      <c r="DZ27" s="158"/>
      <c r="EA27" s="158"/>
      <c r="EB27" s="158"/>
      <c r="EC27" s="158"/>
      <c r="ED27" s="158"/>
      <c r="EE27" s="158"/>
      <c r="EF27" s="158"/>
      <c r="EG27" s="158"/>
      <c r="EH27" s="158"/>
      <c r="EI27" s="158"/>
      <c r="EJ27" s="158"/>
      <c r="EK27" s="158"/>
      <c r="EL27" s="158"/>
      <c r="EM27" s="158"/>
      <c r="EN27" s="158"/>
      <c r="EO27" s="158"/>
      <c r="EP27" s="158"/>
      <c r="EQ27" s="158"/>
      <c r="ER27" s="158"/>
      <c r="ES27" s="158"/>
      <c r="ET27" s="158"/>
      <c r="EU27" s="158"/>
      <c r="EV27" s="158"/>
      <c r="EW27" s="158"/>
      <c r="EX27" s="158"/>
      <c r="EY27" s="158"/>
      <c r="EZ27" s="158"/>
      <c r="FA27" s="158"/>
      <c r="FB27" s="158"/>
      <c r="FC27" s="158"/>
      <c r="FD27" s="158"/>
      <c r="FE27" s="158"/>
      <c r="FF27" s="158"/>
      <c r="FG27" s="158"/>
      <c r="FH27" s="158"/>
      <c r="FI27" s="158"/>
      <c r="FJ27" s="158"/>
      <c r="FK27" s="158"/>
      <c r="FL27" s="158"/>
      <c r="FM27" s="158"/>
      <c r="FN27" s="158"/>
      <c r="FO27" s="158"/>
      <c r="FP27" s="158"/>
      <c r="FQ27" s="158"/>
      <c r="FR27" s="158"/>
      <c r="FS27" s="158"/>
      <c r="FT27" s="158"/>
      <c r="FU27" s="158"/>
      <c r="FV27" s="158"/>
      <c r="FW27" s="158"/>
      <c r="FX27" s="158"/>
      <c r="FY27" s="158"/>
      <c r="FZ27" s="158"/>
      <c r="GA27" s="158"/>
      <c r="GB27" s="158"/>
      <c r="GC27" s="158"/>
      <c r="GD27" s="158"/>
      <c r="GE27" s="158"/>
      <c r="GF27" s="158"/>
      <c r="GG27" s="158"/>
      <c r="GH27" s="158"/>
      <c r="GI27" s="158"/>
      <c r="GJ27" s="158"/>
      <c r="GK27" s="158"/>
      <c r="GL27" s="158"/>
      <c r="GM27" s="158"/>
      <c r="GN27" s="158"/>
      <c r="GO27" s="158"/>
      <c r="GP27" s="158"/>
      <c r="GQ27" s="158"/>
      <c r="GR27" s="158"/>
      <c r="GS27" s="158"/>
      <c r="GT27" s="158"/>
      <c r="GU27" s="158"/>
      <c r="GV27" s="158"/>
      <c r="GW27" s="158"/>
      <c r="GX27" s="158"/>
      <c r="GY27" s="158"/>
      <c r="GZ27" s="158"/>
      <c r="HA27" s="158"/>
      <c r="HB27" s="158"/>
      <c r="HC27" s="158"/>
      <c r="HD27" s="158"/>
      <c r="HE27" s="158"/>
      <c r="HF27" s="158"/>
      <c r="HG27" s="158"/>
      <c r="HH27" s="158"/>
      <c r="HI27" s="158"/>
      <c r="HJ27" s="158"/>
      <c r="HK27" s="158"/>
      <c r="HL27" s="158"/>
    </row>
    <row r="28" spans="1:226" s="80" customFormat="1" ht="14.45" customHeight="1">
      <c r="A28" s="49"/>
      <c r="B28" s="105" t="s">
        <v>160</v>
      </c>
      <c r="C28" s="162" t="s">
        <v>596</v>
      </c>
      <c r="D28" s="145">
        <f>Output_Concentration!R4</f>
        <v>0</v>
      </c>
      <c r="E28" s="158"/>
      <c r="F28" s="158"/>
      <c r="G28" s="158"/>
      <c r="H28" s="158"/>
      <c r="I28" s="158"/>
      <c r="J28" s="158"/>
      <c r="K28" s="158"/>
      <c r="L28" s="158"/>
      <c r="M28" s="158"/>
      <c r="N28" s="158"/>
      <c r="O28" s="158"/>
      <c r="P28" s="158"/>
      <c r="Q28" s="158"/>
      <c r="R28" s="158"/>
      <c r="S28" s="158"/>
      <c r="T28" s="158"/>
      <c r="U28" s="158"/>
      <c r="V28" s="158"/>
      <c r="W28" s="158"/>
      <c r="X28" s="158"/>
      <c r="Y28" s="158"/>
      <c r="Z28" s="158"/>
      <c r="AA28" s="158"/>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c r="BF28" s="158"/>
      <c r="BG28" s="158"/>
      <c r="BH28" s="158"/>
      <c r="BI28" s="158"/>
      <c r="BJ28" s="158"/>
      <c r="BK28" s="158"/>
      <c r="BL28" s="158"/>
      <c r="BM28" s="158"/>
      <c r="BN28" s="158"/>
      <c r="BO28" s="158"/>
      <c r="BP28" s="158"/>
      <c r="BQ28" s="158"/>
      <c r="BR28" s="158"/>
      <c r="BS28" s="158"/>
      <c r="BT28" s="158"/>
      <c r="BU28" s="158"/>
      <c r="BV28" s="158"/>
      <c r="BW28" s="158"/>
      <c r="BX28" s="158"/>
      <c r="BY28" s="158"/>
      <c r="BZ28" s="158"/>
      <c r="CA28" s="158"/>
      <c r="CB28" s="158"/>
      <c r="CC28" s="158"/>
      <c r="CD28" s="158"/>
      <c r="CE28" s="158"/>
      <c r="CF28" s="158"/>
      <c r="CG28" s="158"/>
      <c r="CH28" s="158"/>
      <c r="CI28" s="158"/>
      <c r="CJ28" s="158"/>
      <c r="CK28" s="158"/>
      <c r="CL28" s="158"/>
      <c r="CM28" s="158"/>
      <c r="CN28" s="158"/>
      <c r="CO28" s="158"/>
      <c r="CP28" s="158"/>
      <c r="CQ28" s="158"/>
      <c r="CR28" s="158"/>
      <c r="CS28" s="158"/>
      <c r="CT28" s="158"/>
      <c r="CU28" s="158"/>
      <c r="CV28" s="158"/>
      <c r="CW28" s="158"/>
      <c r="CX28" s="158"/>
      <c r="CY28" s="158"/>
      <c r="CZ28" s="158"/>
      <c r="DA28" s="158"/>
      <c r="DB28" s="158"/>
      <c r="DC28" s="158"/>
      <c r="DD28" s="158"/>
      <c r="DE28" s="158"/>
      <c r="DF28" s="158"/>
      <c r="DG28" s="158"/>
      <c r="DH28" s="158"/>
      <c r="DI28" s="158"/>
      <c r="DJ28" s="158"/>
      <c r="DK28" s="158"/>
      <c r="DL28" s="158"/>
      <c r="DM28" s="158"/>
      <c r="DN28" s="158"/>
      <c r="DO28" s="158"/>
      <c r="DP28" s="158"/>
      <c r="DQ28" s="158"/>
      <c r="DR28" s="158"/>
      <c r="DS28" s="158"/>
      <c r="DT28" s="158"/>
      <c r="DU28" s="158"/>
      <c r="DV28" s="158"/>
      <c r="DW28" s="158"/>
      <c r="DX28" s="158"/>
      <c r="DY28" s="158"/>
      <c r="DZ28" s="158"/>
      <c r="EA28" s="158"/>
      <c r="EB28" s="158"/>
      <c r="EC28" s="158"/>
      <c r="ED28" s="158"/>
      <c r="EE28" s="158"/>
      <c r="EF28" s="158"/>
      <c r="EG28" s="158"/>
      <c r="EH28" s="158"/>
      <c r="EI28" s="158"/>
      <c r="EJ28" s="158"/>
      <c r="EK28" s="158"/>
      <c r="EL28" s="158"/>
      <c r="EM28" s="158"/>
      <c r="EN28" s="158"/>
      <c r="EO28" s="158"/>
      <c r="EP28" s="158"/>
      <c r="EQ28" s="158"/>
      <c r="ER28" s="158"/>
      <c r="ES28" s="158"/>
      <c r="ET28" s="158"/>
      <c r="EU28" s="158"/>
      <c r="EV28" s="158"/>
      <c r="EW28" s="158"/>
      <c r="EX28" s="158"/>
      <c r="EY28" s="158"/>
      <c r="EZ28" s="158"/>
      <c r="FA28" s="158"/>
      <c r="FB28" s="158"/>
      <c r="FC28" s="158"/>
      <c r="FD28" s="158"/>
      <c r="FE28" s="158"/>
      <c r="FF28" s="158"/>
      <c r="FG28" s="158"/>
      <c r="FH28" s="158"/>
      <c r="FI28" s="158"/>
      <c r="FJ28" s="158"/>
      <c r="FK28" s="158"/>
      <c r="FL28" s="158"/>
      <c r="FM28" s="158"/>
      <c r="FN28" s="158"/>
      <c r="FO28" s="158"/>
      <c r="FP28" s="158"/>
      <c r="FQ28" s="158"/>
      <c r="FR28" s="158"/>
      <c r="FS28" s="158"/>
      <c r="FT28" s="158"/>
      <c r="FU28" s="158"/>
      <c r="FV28" s="158"/>
      <c r="FW28" s="158"/>
      <c r="FX28" s="158"/>
      <c r="FY28" s="158"/>
      <c r="FZ28" s="158"/>
      <c r="GA28" s="158"/>
      <c r="GB28" s="158"/>
      <c r="GC28" s="158"/>
      <c r="GD28" s="158"/>
      <c r="GE28" s="158"/>
      <c r="GF28" s="158"/>
      <c r="GG28" s="158"/>
      <c r="GH28" s="158"/>
      <c r="GI28" s="158"/>
      <c r="GJ28" s="158"/>
      <c r="GK28" s="158"/>
      <c r="GL28" s="158"/>
      <c r="GM28" s="158"/>
      <c r="GN28" s="158"/>
      <c r="GO28" s="158"/>
      <c r="GP28" s="158"/>
      <c r="GQ28" s="158"/>
      <c r="GR28" s="158"/>
      <c r="GS28" s="158"/>
      <c r="GT28" s="158"/>
      <c r="GU28" s="158"/>
      <c r="GV28" s="158"/>
      <c r="GW28" s="158"/>
      <c r="GX28" s="158"/>
      <c r="GY28" s="158"/>
      <c r="GZ28" s="158"/>
      <c r="HA28" s="158"/>
      <c r="HB28" s="158"/>
      <c r="HC28" s="158"/>
      <c r="HD28" s="158"/>
      <c r="HE28" s="158"/>
      <c r="HF28" s="158"/>
      <c r="HG28" s="158"/>
      <c r="HH28" s="158"/>
      <c r="HI28" s="158"/>
      <c r="HJ28" s="158"/>
      <c r="HK28" s="158"/>
      <c r="HL28" s="158"/>
    </row>
    <row r="29" spans="1:226" s="80" customFormat="1" ht="14.45" customHeight="1">
      <c r="A29" s="49"/>
      <c r="B29" s="105" t="s">
        <v>161</v>
      </c>
      <c r="C29" s="162" t="s">
        <v>597</v>
      </c>
      <c r="D29" s="145">
        <f>Output_Concentration!S4</f>
        <v>0</v>
      </c>
      <c r="E29" s="158"/>
      <c r="F29" s="158"/>
      <c r="G29" s="158"/>
      <c r="H29" s="158"/>
      <c r="I29" s="158"/>
      <c r="J29" s="158"/>
      <c r="K29" s="158"/>
      <c r="L29" s="158"/>
      <c r="M29" s="158"/>
      <c r="N29" s="158"/>
      <c r="O29" s="158"/>
      <c r="P29" s="158"/>
      <c r="Q29" s="158"/>
      <c r="R29" s="158"/>
      <c r="S29" s="158"/>
      <c r="T29" s="158"/>
      <c r="U29" s="158"/>
      <c r="V29" s="158"/>
      <c r="W29" s="158"/>
      <c r="X29" s="158"/>
      <c r="Y29" s="158"/>
      <c r="Z29" s="158"/>
      <c r="AA29" s="158"/>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c r="BJ29" s="158"/>
      <c r="BK29" s="158"/>
      <c r="BL29" s="158"/>
      <c r="BM29" s="158"/>
      <c r="BN29" s="158"/>
      <c r="BO29" s="158"/>
      <c r="BP29" s="158"/>
      <c r="BQ29" s="158"/>
      <c r="BR29" s="158"/>
      <c r="BS29" s="158"/>
      <c r="BT29" s="158"/>
      <c r="BU29" s="158"/>
      <c r="BV29" s="158"/>
      <c r="BW29" s="158"/>
      <c r="BX29" s="158"/>
      <c r="BY29" s="158"/>
      <c r="BZ29" s="158"/>
      <c r="CA29" s="158"/>
      <c r="CB29" s="158"/>
      <c r="CC29" s="158"/>
      <c r="CD29" s="158"/>
      <c r="CE29" s="158"/>
      <c r="CF29" s="158"/>
      <c r="CG29" s="158"/>
      <c r="CH29" s="158"/>
      <c r="CI29" s="158"/>
      <c r="CJ29" s="158"/>
      <c r="CK29" s="158"/>
      <c r="CL29" s="158"/>
      <c r="CM29" s="158"/>
      <c r="CN29" s="158"/>
      <c r="CO29" s="158"/>
      <c r="CP29" s="158"/>
      <c r="CQ29" s="158"/>
      <c r="CR29" s="158"/>
      <c r="CS29" s="158"/>
      <c r="CT29" s="158"/>
      <c r="CU29" s="158"/>
      <c r="CV29" s="158"/>
      <c r="CW29" s="158"/>
      <c r="CX29" s="158"/>
      <c r="CY29" s="158"/>
      <c r="CZ29" s="158"/>
      <c r="DA29" s="158"/>
      <c r="DB29" s="158"/>
      <c r="DC29" s="158"/>
      <c r="DD29" s="158"/>
      <c r="DE29" s="158"/>
      <c r="DF29" s="158"/>
      <c r="DG29" s="158"/>
      <c r="DH29" s="158"/>
      <c r="DI29" s="158"/>
      <c r="DJ29" s="158"/>
      <c r="DK29" s="158"/>
      <c r="DL29" s="158"/>
      <c r="DM29" s="158"/>
      <c r="DN29" s="158"/>
      <c r="DO29" s="158"/>
      <c r="DP29" s="158"/>
      <c r="DQ29" s="158"/>
      <c r="DR29" s="158"/>
      <c r="DS29" s="158"/>
      <c r="DT29" s="158"/>
      <c r="DU29" s="158"/>
      <c r="DV29" s="158"/>
      <c r="DW29" s="158"/>
      <c r="DX29" s="158"/>
      <c r="DY29" s="158"/>
      <c r="DZ29" s="158"/>
      <c r="EA29" s="158"/>
      <c r="EB29" s="158"/>
      <c r="EC29" s="158"/>
      <c r="ED29" s="158"/>
      <c r="EE29" s="158"/>
      <c r="EF29" s="158"/>
      <c r="EG29" s="158"/>
      <c r="EH29" s="158"/>
      <c r="EI29" s="158"/>
      <c r="EJ29" s="158"/>
      <c r="EK29" s="158"/>
      <c r="EL29" s="158"/>
      <c r="EM29" s="158"/>
      <c r="EN29" s="158"/>
      <c r="EO29" s="158"/>
      <c r="EP29" s="158"/>
      <c r="EQ29" s="158"/>
      <c r="ER29" s="158"/>
      <c r="ES29" s="158"/>
      <c r="ET29" s="158"/>
      <c r="EU29" s="158"/>
      <c r="EV29" s="158"/>
      <c r="EW29" s="158"/>
      <c r="EX29" s="158"/>
      <c r="EY29" s="158"/>
      <c r="EZ29" s="158"/>
      <c r="FA29" s="158"/>
      <c r="FB29" s="158"/>
      <c r="FC29" s="158"/>
      <c r="FD29" s="158"/>
      <c r="FE29" s="158"/>
      <c r="FF29" s="158"/>
      <c r="FG29" s="158"/>
      <c r="FH29" s="158"/>
      <c r="FI29" s="158"/>
      <c r="FJ29" s="158"/>
      <c r="FK29" s="158"/>
      <c r="FL29" s="158"/>
      <c r="FM29" s="158"/>
      <c r="FN29" s="158"/>
      <c r="FO29" s="158"/>
      <c r="FP29" s="158"/>
      <c r="FQ29" s="158"/>
      <c r="FR29" s="158"/>
      <c r="FS29" s="158"/>
      <c r="FT29" s="158"/>
      <c r="FU29" s="158"/>
      <c r="FV29" s="158"/>
      <c r="FW29" s="158"/>
      <c r="FX29" s="158"/>
      <c r="FY29" s="158"/>
      <c r="FZ29" s="158"/>
      <c r="GA29" s="158"/>
      <c r="GB29" s="158"/>
      <c r="GC29" s="158"/>
      <c r="GD29" s="158"/>
      <c r="GE29" s="158"/>
      <c r="GF29" s="158"/>
      <c r="GG29" s="158"/>
      <c r="GH29" s="158"/>
      <c r="GI29" s="158"/>
      <c r="GJ29" s="158"/>
      <c r="GK29" s="158"/>
      <c r="GL29" s="158"/>
      <c r="GM29" s="158"/>
      <c r="GN29" s="158"/>
      <c r="GO29" s="158"/>
      <c r="GP29" s="158"/>
      <c r="GQ29" s="158"/>
      <c r="GR29" s="158"/>
      <c r="GS29" s="158"/>
      <c r="GT29" s="158"/>
      <c r="GU29" s="158"/>
      <c r="GV29" s="158"/>
      <c r="GW29" s="158"/>
      <c r="GX29" s="158"/>
      <c r="GY29" s="158"/>
      <c r="GZ29" s="158"/>
      <c r="HA29" s="158"/>
      <c r="HB29" s="158"/>
      <c r="HC29" s="158"/>
      <c r="HD29" s="158"/>
      <c r="HE29" s="158"/>
      <c r="HF29" s="158"/>
      <c r="HG29" s="158"/>
      <c r="HH29" s="158"/>
      <c r="HI29" s="158"/>
      <c r="HJ29" s="158"/>
      <c r="HK29" s="158"/>
      <c r="HL29" s="158"/>
    </row>
    <row r="30" spans="1:226" s="80" customFormat="1" ht="14.45" customHeight="1">
      <c r="A30" s="49"/>
      <c r="B30" s="105" t="s">
        <v>162</v>
      </c>
      <c r="C30" s="162" t="s">
        <v>598</v>
      </c>
      <c r="D30" s="145">
        <f>Output_Concentration!T4</f>
        <v>0</v>
      </c>
      <c r="E30" s="158"/>
      <c r="F30" s="158"/>
      <c r="G30" s="158"/>
      <c r="H30" s="158"/>
      <c r="I30" s="158"/>
      <c r="J30" s="158"/>
      <c r="K30" s="158"/>
      <c r="L30" s="158"/>
      <c r="M30" s="158"/>
      <c r="N30" s="158"/>
      <c r="O30" s="158"/>
      <c r="P30" s="158"/>
      <c r="Q30" s="158"/>
      <c r="R30" s="158"/>
      <c r="S30" s="158"/>
      <c r="T30" s="158"/>
      <c r="U30" s="158"/>
      <c r="V30" s="158"/>
      <c r="W30" s="158"/>
      <c r="X30" s="158"/>
      <c r="Y30" s="158"/>
      <c r="Z30" s="158"/>
      <c r="AA30" s="158"/>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c r="BF30" s="158"/>
      <c r="BG30" s="158"/>
      <c r="BH30" s="158"/>
      <c r="BI30" s="158"/>
      <c r="BJ30" s="158"/>
      <c r="BK30" s="158"/>
      <c r="BL30" s="158"/>
      <c r="BM30" s="158"/>
      <c r="BN30" s="158"/>
      <c r="BO30" s="158"/>
      <c r="BP30" s="158"/>
      <c r="BQ30" s="158"/>
      <c r="BR30" s="158"/>
      <c r="BS30" s="158"/>
      <c r="BT30" s="158"/>
      <c r="BU30" s="158"/>
      <c r="BV30" s="158"/>
      <c r="BW30" s="158"/>
      <c r="BX30" s="158"/>
      <c r="BY30" s="158"/>
      <c r="BZ30" s="158"/>
      <c r="CA30" s="158"/>
      <c r="CB30" s="158"/>
      <c r="CC30" s="158"/>
      <c r="CD30" s="158"/>
      <c r="CE30" s="158"/>
      <c r="CF30" s="158"/>
      <c r="CG30" s="158"/>
      <c r="CH30" s="158"/>
      <c r="CI30" s="158"/>
      <c r="CJ30" s="158"/>
      <c r="CK30" s="158"/>
      <c r="CL30" s="158"/>
      <c r="CM30" s="158"/>
      <c r="CN30" s="158"/>
      <c r="CO30" s="158"/>
      <c r="CP30" s="158"/>
      <c r="CQ30" s="158"/>
      <c r="CR30" s="158"/>
      <c r="CS30" s="158"/>
      <c r="CT30" s="158"/>
      <c r="CU30" s="158"/>
      <c r="CV30" s="158"/>
      <c r="CW30" s="158"/>
      <c r="CX30" s="158"/>
      <c r="CY30" s="158"/>
      <c r="CZ30" s="158"/>
      <c r="DA30" s="158"/>
      <c r="DB30" s="158"/>
      <c r="DC30" s="158"/>
      <c r="DD30" s="158"/>
      <c r="DE30" s="158"/>
      <c r="DF30" s="158"/>
      <c r="DG30" s="158"/>
      <c r="DH30" s="158"/>
      <c r="DI30" s="158"/>
      <c r="DJ30" s="158"/>
      <c r="DK30" s="158"/>
      <c r="DL30" s="158"/>
      <c r="DM30" s="158"/>
      <c r="DN30" s="158"/>
      <c r="DO30" s="158"/>
      <c r="DP30" s="158"/>
      <c r="DQ30" s="158"/>
      <c r="DR30" s="158"/>
      <c r="DS30" s="158"/>
      <c r="DT30" s="158"/>
      <c r="DU30" s="158"/>
      <c r="DV30" s="158"/>
      <c r="DW30" s="158"/>
      <c r="DX30" s="158"/>
      <c r="DY30" s="158"/>
      <c r="DZ30" s="158"/>
      <c r="EA30" s="158"/>
      <c r="EB30" s="158"/>
      <c r="EC30" s="158"/>
      <c r="ED30" s="158"/>
      <c r="EE30" s="158"/>
      <c r="EF30" s="158"/>
      <c r="EG30" s="158"/>
      <c r="EH30" s="158"/>
      <c r="EI30" s="158"/>
      <c r="EJ30" s="158"/>
      <c r="EK30" s="158"/>
      <c r="EL30" s="158"/>
      <c r="EM30" s="158"/>
      <c r="EN30" s="158"/>
      <c r="EO30" s="158"/>
      <c r="EP30" s="158"/>
      <c r="EQ30" s="158"/>
      <c r="ER30" s="158"/>
      <c r="ES30" s="158"/>
      <c r="ET30" s="158"/>
      <c r="EU30" s="158"/>
      <c r="EV30" s="158"/>
      <c r="EW30" s="158"/>
      <c r="EX30" s="158"/>
      <c r="EY30" s="158"/>
      <c r="EZ30" s="158"/>
      <c r="FA30" s="158"/>
      <c r="FB30" s="158"/>
      <c r="FC30" s="158"/>
      <c r="FD30" s="158"/>
      <c r="FE30" s="158"/>
      <c r="FF30" s="158"/>
      <c r="FG30" s="158"/>
      <c r="FH30" s="158"/>
      <c r="FI30" s="158"/>
      <c r="FJ30" s="158"/>
      <c r="FK30" s="158"/>
      <c r="FL30" s="158"/>
      <c r="FM30" s="158"/>
      <c r="FN30" s="158"/>
      <c r="FO30" s="158"/>
      <c r="FP30" s="158"/>
      <c r="FQ30" s="158"/>
      <c r="FR30" s="158"/>
      <c r="FS30" s="158"/>
      <c r="FT30" s="158"/>
      <c r="FU30" s="158"/>
      <c r="FV30" s="158"/>
      <c r="FW30" s="158"/>
      <c r="FX30" s="158"/>
      <c r="FY30" s="158"/>
      <c r="FZ30" s="158"/>
      <c r="GA30" s="158"/>
      <c r="GB30" s="158"/>
      <c r="GC30" s="158"/>
      <c r="GD30" s="158"/>
      <c r="GE30" s="158"/>
      <c r="GF30" s="158"/>
      <c r="GG30" s="158"/>
      <c r="GH30" s="158"/>
      <c r="GI30" s="158"/>
      <c r="GJ30" s="158"/>
      <c r="GK30" s="158"/>
      <c r="GL30" s="158"/>
      <c r="GM30" s="158"/>
      <c r="GN30" s="158"/>
      <c r="GO30" s="158"/>
      <c r="GP30" s="158"/>
      <c r="GQ30" s="158"/>
      <c r="GR30" s="158"/>
      <c r="GS30" s="158"/>
      <c r="GT30" s="158"/>
      <c r="GU30" s="158"/>
      <c r="GV30" s="158"/>
      <c r="GW30" s="158"/>
      <c r="GX30" s="158"/>
      <c r="GY30" s="158"/>
      <c r="GZ30" s="158"/>
      <c r="HA30" s="158"/>
      <c r="HB30" s="158"/>
      <c r="HC30" s="158"/>
      <c r="HD30" s="158"/>
      <c r="HE30" s="158"/>
      <c r="HF30" s="158"/>
      <c r="HG30" s="158"/>
      <c r="HH30" s="158"/>
      <c r="HI30" s="158"/>
      <c r="HJ30" s="158"/>
      <c r="HK30" s="158"/>
      <c r="HL30" s="158"/>
    </row>
    <row r="31" spans="1:226" s="80" customFormat="1" ht="14.45" customHeight="1">
      <c r="A31" s="49"/>
      <c r="B31" s="105" t="s">
        <v>163</v>
      </c>
      <c r="C31" s="162" t="s">
        <v>599</v>
      </c>
      <c r="D31" s="145">
        <f>Output_Concentration!U4</f>
        <v>0</v>
      </c>
      <c r="E31" s="158"/>
      <c r="F31" s="158"/>
      <c r="G31" s="158"/>
      <c r="H31" s="158"/>
      <c r="I31" s="158"/>
      <c r="J31" s="158"/>
      <c r="K31" s="158"/>
      <c r="L31" s="158"/>
      <c r="M31" s="158"/>
      <c r="N31" s="158"/>
      <c r="O31" s="158"/>
      <c r="P31" s="158"/>
      <c r="Q31" s="158"/>
      <c r="R31" s="158"/>
      <c r="S31" s="158"/>
      <c r="T31" s="158"/>
      <c r="U31" s="158"/>
      <c r="V31" s="158"/>
      <c r="W31" s="158"/>
      <c r="X31" s="158"/>
      <c r="Y31" s="158"/>
      <c r="Z31" s="158"/>
      <c r="AA31" s="158"/>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c r="BF31" s="158"/>
      <c r="BG31" s="158"/>
      <c r="BH31" s="158"/>
      <c r="BI31" s="158"/>
      <c r="BJ31" s="158"/>
      <c r="BK31" s="158"/>
      <c r="BL31" s="158"/>
      <c r="BM31" s="158"/>
      <c r="BN31" s="158"/>
      <c r="BO31" s="158"/>
      <c r="BP31" s="158"/>
      <c r="BQ31" s="158"/>
      <c r="BR31" s="158"/>
      <c r="BS31" s="158"/>
      <c r="BT31" s="158"/>
      <c r="BU31" s="158"/>
      <c r="BV31" s="158"/>
      <c r="BW31" s="158"/>
      <c r="BX31" s="158"/>
      <c r="BY31" s="158"/>
      <c r="BZ31" s="158"/>
      <c r="CA31" s="158"/>
      <c r="CB31" s="158"/>
      <c r="CC31" s="158"/>
      <c r="CD31" s="158"/>
      <c r="CE31" s="158"/>
      <c r="CF31" s="158"/>
      <c r="CG31" s="158"/>
      <c r="CH31" s="158"/>
      <c r="CI31" s="158"/>
      <c r="CJ31" s="158"/>
      <c r="CK31" s="158"/>
      <c r="CL31" s="158"/>
      <c r="CM31" s="158"/>
      <c r="CN31" s="158"/>
      <c r="CO31" s="158"/>
      <c r="CP31" s="158"/>
      <c r="CQ31" s="158"/>
      <c r="CR31" s="158"/>
      <c r="CS31" s="158"/>
      <c r="CT31" s="158"/>
      <c r="CU31" s="158"/>
      <c r="CV31" s="158"/>
      <c r="CW31" s="158"/>
      <c r="CX31" s="158"/>
      <c r="CY31" s="158"/>
      <c r="CZ31" s="158"/>
      <c r="DA31" s="158"/>
      <c r="DB31" s="158"/>
      <c r="DC31" s="158"/>
      <c r="DD31" s="158"/>
      <c r="DE31" s="158"/>
      <c r="DF31" s="158"/>
      <c r="DG31" s="158"/>
      <c r="DH31" s="158"/>
      <c r="DI31" s="158"/>
      <c r="DJ31" s="158"/>
      <c r="DK31" s="158"/>
      <c r="DL31" s="158"/>
      <c r="DM31" s="158"/>
      <c r="DN31" s="158"/>
      <c r="DO31" s="158"/>
      <c r="DP31" s="158"/>
      <c r="DQ31" s="158"/>
      <c r="DR31" s="158"/>
      <c r="DS31" s="158"/>
      <c r="DT31" s="158"/>
      <c r="DU31" s="158"/>
      <c r="DV31" s="158"/>
      <c r="DW31" s="158"/>
      <c r="DX31" s="158"/>
      <c r="DY31" s="158"/>
      <c r="DZ31" s="158"/>
      <c r="EA31" s="158"/>
      <c r="EB31" s="158"/>
      <c r="EC31" s="158"/>
      <c r="ED31" s="158"/>
      <c r="EE31" s="158"/>
      <c r="EF31" s="158"/>
      <c r="EG31" s="158"/>
      <c r="EH31" s="158"/>
      <c r="EI31" s="158"/>
      <c r="EJ31" s="158"/>
      <c r="EK31" s="158"/>
      <c r="EL31" s="158"/>
      <c r="EM31" s="158"/>
      <c r="EN31" s="158"/>
      <c r="EO31" s="158"/>
      <c r="EP31" s="158"/>
      <c r="EQ31" s="158"/>
      <c r="ER31" s="158"/>
      <c r="ES31" s="158"/>
      <c r="ET31" s="158"/>
      <c r="EU31" s="158"/>
      <c r="EV31" s="158"/>
      <c r="EW31" s="158"/>
      <c r="EX31" s="158"/>
      <c r="EY31" s="158"/>
      <c r="EZ31" s="158"/>
      <c r="FA31" s="158"/>
      <c r="FB31" s="158"/>
      <c r="FC31" s="158"/>
      <c r="FD31" s="158"/>
      <c r="FE31" s="158"/>
      <c r="FF31" s="158"/>
      <c r="FG31" s="158"/>
      <c r="FH31" s="158"/>
      <c r="FI31" s="158"/>
      <c r="FJ31" s="158"/>
      <c r="FK31" s="158"/>
      <c r="FL31" s="158"/>
      <c r="FM31" s="158"/>
      <c r="FN31" s="158"/>
      <c r="FO31" s="158"/>
      <c r="FP31" s="158"/>
      <c r="FQ31" s="158"/>
      <c r="FR31" s="158"/>
      <c r="FS31" s="158"/>
      <c r="FT31" s="158"/>
      <c r="FU31" s="158"/>
      <c r="FV31" s="158"/>
      <c r="FW31" s="158"/>
      <c r="FX31" s="158"/>
      <c r="FY31" s="158"/>
      <c r="FZ31" s="158"/>
      <c r="GA31" s="158"/>
      <c r="GB31" s="158"/>
      <c r="GC31" s="158"/>
      <c r="GD31" s="158"/>
      <c r="GE31" s="158"/>
      <c r="GF31" s="158"/>
      <c r="GG31" s="158"/>
      <c r="GH31" s="158"/>
      <c r="GI31" s="158"/>
      <c r="GJ31" s="158"/>
      <c r="GK31" s="158"/>
      <c r="GL31" s="158"/>
      <c r="GM31" s="158"/>
      <c r="GN31" s="158"/>
      <c r="GO31" s="158"/>
      <c r="GP31" s="158"/>
      <c r="GQ31" s="158"/>
      <c r="GR31" s="158"/>
      <c r="GS31" s="158"/>
      <c r="GT31" s="158"/>
      <c r="GU31" s="158"/>
      <c r="GV31" s="158"/>
      <c r="GW31" s="158"/>
      <c r="GX31" s="158"/>
      <c r="GY31" s="158"/>
      <c r="GZ31" s="158"/>
      <c r="HA31" s="158"/>
      <c r="HB31" s="158"/>
      <c r="HC31" s="158"/>
      <c r="HD31" s="158"/>
      <c r="HE31" s="158"/>
      <c r="HF31" s="158"/>
      <c r="HG31" s="158"/>
      <c r="HH31" s="158"/>
      <c r="HI31" s="158"/>
      <c r="HJ31" s="158"/>
      <c r="HK31" s="158"/>
      <c r="HL31" s="158"/>
    </row>
    <row r="32" spans="1:226" s="80" customFormat="1" ht="14.45" customHeight="1">
      <c r="A32" s="49"/>
      <c r="B32" s="105" t="s">
        <v>164</v>
      </c>
      <c r="C32" s="162" t="s">
        <v>600</v>
      </c>
      <c r="D32" s="145">
        <f>Output_Concentration!V4</f>
        <v>0</v>
      </c>
      <c r="E32" s="158"/>
      <c r="F32" s="158"/>
      <c r="G32" s="158"/>
      <c r="H32" s="158"/>
      <c r="I32" s="158"/>
      <c r="J32" s="158"/>
      <c r="K32" s="158"/>
      <c r="L32" s="158"/>
      <c r="M32" s="158"/>
      <c r="N32" s="158"/>
      <c r="O32" s="158"/>
      <c r="P32" s="158"/>
      <c r="Q32" s="158"/>
      <c r="R32" s="158"/>
      <c r="S32" s="158"/>
      <c r="T32" s="158"/>
      <c r="U32" s="158"/>
      <c r="V32" s="158"/>
      <c r="W32" s="158"/>
      <c r="X32" s="158"/>
      <c r="Y32" s="158"/>
      <c r="Z32" s="158"/>
      <c r="AA32" s="158"/>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c r="BF32" s="158"/>
      <c r="BG32" s="158"/>
      <c r="BH32" s="158"/>
      <c r="BI32" s="158"/>
      <c r="BJ32" s="158"/>
      <c r="BK32" s="158"/>
      <c r="BL32" s="158"/>
      <c r="BM32" s="158"/>
      <c r="BN32" s="158"/>
      <c r="BO32" s="158"/>
      <c r="BP32" s="158"/>
      <c r="BQ32" s="158"/>
      <c r="BR32" s="158"/>
      <c r="BS32" s="158"/>
      <c r="BT32" s="158"/>
      <c r="BU32" s="158"/>
      <c r="BV32" s="158"/>
      <c r="BW32" s="158"/>
      <c r="BX32" s="158"/>
      <c r="BY32" s="158"/>
      <c r="BZ32" s="158"/>
      <c r="CA32" s="158"/>
      <c r="CB32" s="158"/>
      <c r="CC32" s="158"/>
      <c r="CD32" s="158"/>
      <c r="CE32" s="158"/>
      <c r="CF32" s="158"/>
      <c r="CG32" s="158"/>
      <c r="CH32" s="158"/>
      <c r="CI32" s="158"/>
      <c r="CJ32" s="158"/>
      <c r="CK32" s="158"/>
      <c r="CL32" s="158"/>
      <c r="CM32" s="158"/>
      <c r="CN32" s="158"/>
      <c r="CO32" s="158"/>
      <c r="CP32" s="158"/>
      <c r="CQ32" s="158"/>
      <c r="CR32" s="158"/>
      <c r="CS32" s="158"/>
      <c r="CT32" s="158"/>
      <c r="CU32" s="158"/>
      <c r="CV32" s="158"/>
      <c r="CW32" s="158"/>
      <c r="CX32" s="158"/>
      <c r="CY32" s="158"/>
      <c r="CZ32" s="158"/>
      <c r="DA32" s="158"/>
      <c r="DB32" s="158"/>
      <c r="DC32" s="158"/>
      <c r="DD32" s="158"/>
      <c r="DE32" s="158"/>
      <c r="DF32" s="158"/>
      <c r="DG32" s="158"/>
      <c r="DH32" s="158"/>
      <c r="DI32" s="158"/>
      <c r="DJ32" s="158"/>
      <c r="DK32" s="158"/>
      <c r="DL32" s="158"/>
      <c r="DM32" s="158"/>
      <c r="DN32" s="158"/>
      <c r="DO32" s="158"/>
      <c r="DP32" s="158"/>
      <c r="DQ32" s="158"/>
      <c r="DR32" s="158"/>
      <c r="DS32" s="158"/>
      <c r="DT32" s="158"/>
      <c r="DU32" s="158"/>
      <c r="DV32" s="158"/>
      <c r="DW32" s="158"/>
      <c r="DX32" s="158"/>
      <c r="DY32" s="158"/>
      <c r="DZ32" s="158"/>
      <c r="EA32" s="158"/>
      <c r="EB32" s="158"/>
      <c r="EC32" s="158"/>
      <c r="ED32" s="158"/>
      <c r="EE32" s="158"/>
      <c r="EF32" s="158"/>
      <c r="EG32" s="158"/>
      <c r="EH32" s="158"/>
      <c r="EI32" s="158"/>
      <c r="EJ32" s="158"/>
      <c r="EK32" s="158"/>
      <c r="EL32" s="158"/>
      <c r="EM32" s="158"/>
      <c r="EN32" s="158"/>
      <c r="EO32" s="158"/>
      <c r="EP32" s="158"/>
      <c r="EQ32" s="158"/>
      <c r="ER32" s="158"/>
      <c r="ES32" s="158"/>
      <c r="ET32" s="158"/>
      <c r="EU32" s="158"/>
      <c r="EV32" s="158"/>
      <c r="EW32" s="158"/>
      <c r="EX32" s="158"/>
      <c r="EY32" s="158"/>
      <c r="EZ32" s="158"/>
      <c r="FA32" s="158"/>
      <c r="FB32" s="158"/>
      <c r="FC32" s="158"/>
      <c r="FD32" s="158"/>
      <c r="FE32" s="158"/>
      <c r="FF32" s="158"/>
      <c r="FG32" s="158"/>
      <c r="FH32" s="158"/>
      <c r="FI32" s="158"/>
      <c r="FJ32" s="158"/>
      <c r="FK32" s="158"/>
      <c r="FL32" s="158"/>
      <c r="FM32" s="158"/>
      <c r="FN32" s="158"/>
      <c r="FO32" s="158"/>
      <c r="FP32" s="158"/>
      <c r="FQ32" s="158"/>
      <c r="FR32" s="158"/>
      <c r="FS32" s="158"/>
      <c r="FT32" s="158"/>
      <c r="FU32" s="158"/>
      <c r="FV32" s="158"/>
      <c r="FW32" s="158"/>
      <c r="FX32" s="158"/>
      <c r="FY32" s="158"/>
      <c r="FZ32" s="158"/>
      <c r="GA32" s="158"/>
      <c r="GB32" s="158"/>
      <c r="GC32" s="158"/>
      <c r="GD32" s="158"/>
      <c r="GE32" s="158"/>
      <c r="GF32" s="158"/>
      <c r="GG32" s="158"/>
      <c r="GH32" s="158"/>
      <c r="GI32" s="158"/>
      <c r="GJ32" s="158"/>
      <c r="GK32" s="158"/>
      <c r="GL32" s="158"/>
      <c r="GM32" s="158"/>
      <c r="GN32" s="158"/>
      <c r="GO32" s="158"/>
      <c r="GP32" s="158"/>
      <c r="GQ32" s="158"/>
      <c r="GR32" s="158"/>
      <c r="GS32" s="158"/>
      <c r="GT32" s="158"/>
      <c r="GU32" s="158"/>
      <c r="GV32" s="158"/>
      <c r="GW32" s="158"/>
      <c r="GX32" s="158"/>
      <c r="GY32" s="158"/>
      <c r="GZ32" s="158"/>
      <c r="HA32" s="158"/>
      <c r="HB32" s="158"/>
      <c r="HC32" s="158"/>
      <c r="HD32" s="158"/>
      <c r="HE32" s="158"/>
      <c r="HF32" s="158"/>
      <c r="HG32" s="158"/>
      <c r="HH32" s="158"/>
      <c r="HI32" s="158"/>
      <c r="HJ32" s="158"/>
      <c r="HK32" s="158"/>
      <c r="HL32" s="158"/>
    </row>
    <row r="33" spans="1:220" s="80" customFormat="1" ht="14.45" customHeight="1">
      <c r="A33" s="49"/>
      <c r="B33" s="105" t="s">
        <v>165</v>
      </c>
      <c r="C33" s="162" t="s">
        <v>601</v>
      </c>
      <c r="D33" s="145">
        <f>Output_Concentration!W4</f>
        <v>0</v>
      </c>
      <c r="E33" s="158"/>
      <c r="F33" s="158"/>
      <c r="G33" s="158"/>
      <c r="H33" s="158"/>
      <c r="I33" s="158"/>
      <c r="J33" s="158"/>
      <c r="K33" s="158"/>
      <c r="L33" s="158"/>
      <c r="M33" s="158"/>
      <c r="N33" s="158"/>
      <c r="O33" s="158"/>
      <c r="P33" s="158"/>
      <c r="Q33" s="158"/>
      <c r="R33" s="158"/>
      <c r="S33" s="158"/>
      <c r="T33" s="158"/>
      <c r="U33" s="158"/>
      <c r="V33" s="158"/>
      <c r="W33" s="158"/>
      <c r="X33" s="158"/>
      <c r="Y33" s="158"/>
      <c r="Z33" s="158"/>
      <c r="AA33" s="158"/>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c r="BF33" s="158"/>
      <c r="BG33" s="158"/>
      <c r="BH33" s="158"/>
      <c r="BI33" s="158"/>
      <c r="BJ33" s="158"/>
      <c r="BK33" s="158"/>
      <c r="BL33" s="158"/>
      <c r="BM33" s="158"/>
      <c r="BN33" s="158"/>
      <c r="BO33" s="158"/>
      <c r="BP33" s="158"/>
      <c r="BQ33" s="158"/>
      <c r="BR33" s="158"/>
      <c r="BS33" s="158"/>
      <c r="BT33" s="158"/>
      <c r="BU33" s="158"/>
      <c r="BV33" s="158"/>
      <c r="BW33" s="158"/>
      <c r="BX33" s="158"/>
      <c r="BY33" s="158"/>
      <c r="BZ33" s="158"/>
      <c r="CA33" s="158"/>
      <c r="CB33" s="158"/>
      <c r="CC33" s="158"/>
      <c r="CD33" s="158"/>
      <c r="CE33" s="158"/>
      <c r="CF33" s="158"/>
      <c r="CG33" s="158"/>
      <c r="CH33" s="158"/>
      <c r="CI33" s="158"/>
      <c r="CJ33" s="158"/>
      <c r="CK33" s="158"/>
      <c r="CL33" s="158"/>
      <c r="CM33" s="158"/>
      <c r="CN33" s="158"/>
      <c r="CO33" s="158"/>
      <c r="CP33" s="158"/>
      <c r="CQ33" s="158"/>
      <c r="CR33" s="158"/>
      <c r="CS33" s="158"/>
      <c r="CT33" s="158"/>
      <c r="CU33" s="158"/>
      <c r="CV33" s="158"/>
      <c r="CW33" s="158"/>
      <c r="CX33" s="158"/>
      <c r="CY33" s="158"/>
      <c r="CZ33" s="158"/>
      <c r="DA33" s="158"/>
      <c r="DB33" s="158"/>
      <c r="DC33" s="158"/>
      <c r="DD33" s="158"/>
      <c r="DE33" s="158"/>
      <c r="DF33" s="158"/>
      <c r="DG33" s="158"/>
      <c r="DH33" s="158"/>
      <c r="DI33" s="158"/>
      <c r="DJ33" s="158"/>
      <c r="DK33" s="158"/>
      <c r="DL33" s="158"/>
      <c r="DM33" s="158"/>
      <c r="DN33" s="158"/>
      <c r="DO33" s="158"/>
      <c r="DP33" s="158"/>
      <c r="DQ33" s="158"/>
      <c r="DR33" s="158"/>
      <c r="DS33" s="158"/>
      <c r="DT33" s="158"/>
      <c r="DU33" s="158"/>
      <c r="DV33" s="158"/>
      <c r="DW33" s="158"/>
      <c r="DX33" s="158"/>
      <c r="DY33" s="158"/>
      <c r="DZ33" s="158"/>
      <c r="EA33" s="158"/>
      <c r="EB33" s="158"/>
      <c r="EC33" s="158"/>
      <c r="ED33" s="158"/>
      <c r="EE33" s="158"/>
      <c r="EF33" s="158"/>
      <c r="EG33" s="158"/>
      <c r="EH33" s="158"/>
      <c r="EI33" s="158"/>
      <c r="EJ33" s="158"/>
      <c r="EK33" s="158"/>
      <c r="EL33" s="158"/>
      <c r="EM33" s="158"/>
      <c r="EN33" s="158"/>
      <c r="EO33" s="158"/>
      <c r="EP33" s="158"/>
      <c r="EQ33" s="158"/>
      <c r="ER33" s="158"/>
      <c r="ES33" s="158"/>
      <c r="ET33" s="158"/>
      <c r="EU33" s="158"/>
      <c r="EV33" s="158"/>
      <c r="EW33" s="158"/>
      <c r="EX33" s="158"/>
      <c r="EY33" s="158"/>
      <c r="EZ33" s="158"/>
      <c r="FA33" s="158"/>
      <c r="FB33" s="158"/>
      <c r="FC33" s="158"/>
      <c r="FD33" s="158"/>
      <c r="FE33" s="158"/>
      <c r="FF33" s="158"/>
      <c r="FG33" s="158"/>
      <c r="FH33" s="158"/>
      <c r="FI33" s="158"/>
      <c r="FJ33" s="158"/>
      <c r="FK33" s="158"/>
      <c r="FL33" s="158"/>
      <c r="FM33" s="158"/>
      <c r="FN33" s="158"/>
      <c r="FO33" s="158"/>
      <c r="FP33" s="158"/>
      <c r="FQ33" s="158"/>
      <c r="FR33" s="158"/>
      <c r="FS33" s="158"/>
      <c r="FT33" s="158"/>
      <c r="FU33" s="158"/>
      <c r="FV33" s="158"/>
      <c r="FW33" s="158"/>
      <c r="FX33" s="158"/>
      <c r="FY33" s="158"/>
      <c r="FZ33" s="158"/>
      <c r="GA33" s="158"/>
      <c r="GB33" s="158"/>
      <c r="GC33" s="158"/>
      <c r="GD33" s="158"/>
      <c r="GE33" s="158"/>
      <c r="GF33" s="158"/>
      <c r="GG33" s="158"/>
      <c r="GH33" s="158"/>
      <c r="GI33" s="158"/>
      <c r="GJ33" s="158"/>
      <c r="GK33" s="158"/>
      <c r="GL33" s="158"/>
      <c r="GM33" s="158"/>
      <c r="GN33" s="158"/>
      <c r="GO33" s="158"/>
      <c r="GP33" s="158"/>
      <c r="GQ33" s="158"/>
      <c r="GR33" s="158"/>
      <c r="GS33" s="158"/>
      <c r="GT33" s="158"/>
      <c r="GU33" s="158"/>
      <c r="GV33" s="158"/>
      <c r="GW33" s="158"/>
      <c r="GX33" s="158"/>
      <c r="GY33" s="158"/>
      <c r="GZ33" s="158"/>
      <c r="HA33" s="158"/>
      <c r="HB33" s="158"/>
      <c r="HC33" s="158"/>
      <c r="HD33" s="158"/>
      <c r="HE33" s="158"/>
      <c r="HF33" s="158"/>
      <c r="HG33" s="158"/>
      <c r="HH33" s="158"/>
      <c r="HI33" s="158"/>
      <c r="HJ33" s="158"/>
      <c r="HK33" s="158"/>
      <c r="HL33" s="158"/>
    </row>
    <row r="34" spans="1:220" s="80" customFormat="1" ht="14.45" customHeight="1">
      <c r="A34" s="49"/>
      <c r="B34" s="105" t="s">
        <v>166</v>
      </c>
      <c r="C34" s="162" t="s">
        <v>602</v>
      </c>
      <c r="D34" s="145">
        <f>Output_Concentration!Z4</f>
        <v>0</v>
      </c>
      <c r="E34" s="158"/>
      <c r="F34" s="158"/>
      <c r="G34" s="158"/>
      <c r="H34" s="158"/>
      <c r="I34" s="158"/>
      <c r="J34" s="158"/>
      <c r="K34" s="158"/>
      <c r="L34" s="158"/>
      <c r="M34" s="158"/>
      <c r="N34" s="158"/>
      <c r="O34" s="158"/>
      <c r="P34" s="158"/>
      <c r="Q34" s="158"/>
      <c r="R34" s="197"/>
      <c r="S34" s="158"/>
      <c r="T34" s="158"/>
      <c r="U34" s="158"/>
      <c r="V34" s="158"/>
      <c r="W34" s="158"/>
      <c r="X34" s="158"/>
      <c r="Y34" s="158"/>
      <c r="Z34" s="158"/>
      <c r="AA34" s="158"/>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c r="BJ34" s="158"/>
      <c r="BK34" s="158"/>
      <c r="BL34" s="158"/>
      <c r="BM34" s="158"/>
      <c r="BN34" s="158"/>
      <c r="BO34" s="158"/>
      <c r="BP34" s="158"/>
      <c r="BQ34" s="158"/>
      <c r="BR34" s="158"/>
      <c r="BS34" s="158"/>
      <c r="BT34" s="158"/>
      <c r="BU34" s="158"/>
      <c r="BV34" s="158"/>
      <c r="BW34" s="158"/>
      <c r="BX34" s="158"/>
      <c r="BY34" s="158"/>
      <c r="BZ34" s="158"/>
      <c r="CA34" s="158"/>
      <c r="CB34" s="158"/>
      <c r="CC34" s="158"/>
      <c r="CD34" s="158"/>
      <c r="CE34" s="158"/>
      <c r="CF34" s="158"/>
      <c r="CG34" s="158"/>
      <c r="CH34" s="158"/>
      <c r="CI34" s="158"/>
      <c r="CJ34" s="158"/>
      <c r="CK34" s="158"/>
      <c r="CL34" s="158"/>
      <c r="CM34" s="158"/>
      <c r="CN34" s="158"/>
      <c r="CO34" s="158"/>
      <c r="CP34" s="158"/>
      <c r="CQ34" s="158"/>
      <c r="CR34" s="158"/>
      <c r="CS34" s="158"/>
      <c r="CT34" s="158"/>
      <c r="CU34" s="158"/>
      <c r="CV34" s="158"/>
      <c r="CW34" s="158"/>
      <c r="CX34" s="158"/>
      <c r="CY34" s="158"/>
      <c r="CZ34" s="158"/>
      <c r="DA34" s="158"/>
      <c r="DB34" s="158"/>
      <c r="DC34" s="158"/>
      <c r="DD34" s="158"/>
      <c r="DE34" s="158"/>
      <c r="DF34" s="158"/>
      <c r="DG34" s="158"/>
      <c r="DH34" s="158"/>
      <c r="DI34" s="158"/>
      <c r="DJ34" s="158"/>
      <c r="DK34" s="158"/>
      <c r="DL34" s="158"/>
      <c r="DM34" s="158"/>
      <c r="DN34" s="158"/>
      <c r="DO34" s="158"/>
      <c r="DP34" s="158"/>
      <c r="DQ34" s="158"/>
      <c r="DR34" s="158"/>
      <c r="DS34" s="158"/>
      <c r="DT34" s="158"/>
      <c r="DU34" s="158"/>
      <c r="DV34" s="158"/>
      <c r="DW34" s="158"/>
      <c r="DX34" s="158"/>
      <c r="DY34" s="158"/>
      <c r="DZ34" s="158"/>
      <c r="EA34" s="158"/>
      <c r="EB34" s="158"/>
      <c r="EC34" s="158"/>
      <c r="ED34" s="158"/>
      <c r="EE34" s="158"/>
      <c r="EF34" s="158"/>
      <c r="EG34" s="158"/>
      <c r="EH34" s="158"/>
      <c r="EI34" s="158"/>
      <c r="EJ34" s="158"/>
      <c r="EK34" s="158"/>
      <c r="EL34" s="158"/>
      <c r="EM34" s="158"/>
      <c r="EN34" s="158"/>
      <c r="EO34" s="158"/>
      <c r="EP34" s="158"/>
      <c r="EQ34" s="158"/>
      <c r="ER34" s="158"/>
      <c r="ES34" s="158"/>
      <c r="ET34" s="158"/>
      <c r="EU34" s="158"/>
      <c r="EV34" s="158"/>
      <c r="EW34" s="158"/>
      <c r="EX34" s="158"/>
      <c r="EY34" s="158"/>
      <c r="EZ34" s="158"/>
      <c r="FA34" s="158"/>
      <c r="FB34" s="158"/>
      <c r="FC34" s="158"/>
      <c r="FD34" s="158"/>
      <c r="FE34" s="158"/>
      <c r="FF34" s="158"/>
      <c r="FG34" s="158"/>
      <c r="FH34" s="158"/>
      <c r="FI34" s="158"/>
      <c r="FJ34" s="158"/>
      <c r="FK34" s="158"/>
      <c r="FL34" s="158"/>
      <c r="FM34" s="158"/>
      <c r="FN34" s="158"/>
      <c r="FO34" s="158"/>
      <c r="FP34" s="158"/>
      <c r="FQ34" s="158"/>
      <c r="FR34" s="158"/>
      <c r="FS34" s="158"/>
      <c r="FT34" s="158"/>
      <c r="FU34" s="158"/>
      <c r="FV34" s="158"/>
      <c r="FW34" s="158"/>
      <c r="FX34" s="158"/>
      <c r="FY34" s="158"/>
      <c r="FZ34" s="158"/>
      <c r="GA34" s="158"/>
      <c r="GB34" s="158"/>
      <c r="GC34" s="158"/>
      <c r="GD34" s="158"/>
      <c r="GE34" s="158"/>
      <c r="GF34" s="158"/>
      <c r="GG34" s="158"/>
      <c r="GH34" s="158"/>
      <c r="GI34" s="158"/>
      <c r="GJ34" s="158"/>
      <c r="GK34" s="158"/>
      <c r="GL34" s="158"/>
      <c r="GM34" s="158"/>
      <c r="GN34" s="158"/>
      <c r="GO34" s="158"/>
      <c r="GP34" s="158"/>
      <c r="GQ34" s="158"/>
      <c r="GR34" s="158"/>
      <c r="GS34" s="158"/>
      <c r="GT34" s="158"/>
      <c r="GU34" s="158"/>
      <c r="GV34" s="158"/>
      <c r="GW34" s="158"/>
      <c r="GX34" s="158"/>
      <c r="GY34" s="158"/>
      <c r="GZ34" s="158"/>
      <c r="HA34" s="158"/>
      <c r="HB34" s="158"/>
      <c r="HC34" s="158"/>
      <c r="HD34" s="158"/>
      <c r="HE34" s="158"/>
      <c r="HF34" s="158"/>
      <c r="HG34" s="158"/>
      <c r="HH34" s="158"/>
      <c r="HI34" s="158"/>
      <c r="HJ34" s="158"/>
      <c r="HK34" s="158"/>
      <c r="HL34" s="158"/>
    </row>
    <row r="35" spans="1:220" s="80" customFormat="1" ht="14.45" customHeight="1">
      <c r="A35" s="49"/>
      <c r="B35" s="105" t="s">
        <v>167</v>
      </c>
      <c r="C35" s="162" t="s">
        <v>603</v>
      </c>
      <c r="D35" s="145">
        <f>Output_Concentration!AA4</f>
        <v>0</v>
      </c>
      <c r="E35" s="158"/>
      <c r="F35" s="158"/>
      <c r="G35" s="158"/>
      <c r="H35" s="158"/>
      <c r="I35" s="158"/>
      <c r="J35" s="158"/>
      <c r="K35" s="158"/>
      <c r="L35" s="158"/>
      <c r="M35" s="158"/>
      <c r="N35" s="158"/>
      <c r="O35" s="158"/>
      <c r="P35" s="158"/>
      <c r="Q35" s="158"/>
      <c r="R35" s="158"/>
      <c r="S35" s="158"/>
      <c r="T35" s="158"/>
      <c r="U35" s="158"/>
      <c r="V35" s="158"/>
      <c r="W35" s="158"/>
      <c r="X35" s="158"/>
      <c r="Y35" s="158"/>
      <c r="Z35" s="158"/>
      <c r="AA35" s="158"/>
      <c r="AB35" s="158"/>
      <c r="AC35" s="158"/>
      <c r="AD35" s="158"/>
      <c r="AE35" s="158"/>
      <c r="AF35" s="158"/>
      <c r="AG35" s="158"/>
      <c r="AH35" s="158"/>
      <c r="AI35" s="158"/>
      <c r="AJ35" s="158"/>
      <c r="AK35" s="158"/>
      <c r="AL35" s="158"/>
      <c r="AM35" s="158"/>
      <c r="AN35" s="158"/>
      <c r="AO35" s="158"/>
      <c r="AP35" s="158"/>
      <c r="AQ35" s="158"/>
      <c r="AR35" s="158"/>
      <c r="AS35" s="158"/>
      <c r="AT35" s="158"/>
      <c r="AU35" s="158"/>
      <c r="AV35" s="158"/>
      <c r="AW35" s="158"/>
      <c r="AX35" s="158"/>
      <c r="AY35" s="158"/>
      <c r="AZ35" s="158"/>
      <c r="BA35" s="158"/>
      <c r="BB35" s="158"/>
      <c r="BC35" s="158"/>
      <c r="BD35" s="158"/>
      <c r="BE35" s="158"/>
      <c r="BF35" s="158"/>
      <c r="BG35" s="158"/>
      <c r="BH35" s="158"/>
      <c r="BI35" s="158"/>
      <c r="BJ35" s="158"/>
      <c r="BK35" s="158"/>
      <c r="BL35" s="158"/>
      <c r="BM35" s="158"/>
      <c r="BN35" s="158"/>
      <c r="BO35" s="158"/>
      <c r="BP35" s="158"/>
      <c r="BQ35" s="158"/>
      <c r="BR35" s="158"/>
      <c r="BS35" s="158"/>
      <c r="BT35" s="158"/>
      <c r="BU35" s="158"/>
      <c r="BV35" s="158"/>
      <c r="BW35" s="158"/>
      <c r="BX35" s="158"/>
      <c r="BY35" s="158"/>
      <c r="BZ35" s="158"/>
      <c r="CA35" s="158"/>
      <c r="CB35" s="158"/>
      <c r="CC35" s="158"/>
      <c r="CD35" s="158"/>
      <c r="CE35" s="158"/>
      <c r="CF35" s="158"/>
      <c r="CG35" s="158"/>
      <c r="CH35" s="158"/>
      <c r="CI35" s="158"/>
      <c r="CJ35" s="158"/>
      <c r="CK35" s="158"/>
      <c r="CL35" s="158"/>
      <c r="CM35" s="158"/>
      <c r="CN35" s="158"/>
      <c r="CO35" s="158"/>
      <c r="CP35" s="158"/>
      <c r="CQ35" s="158"/>
      <c r="CR35" s="158"/>
      <c r="CS35" s="158"/>
      <c r="CT35" s="158"/>
      <c r="CU35" s="158"/>
      <c r="CV35" s="158"/>
      <c r="CW35" s="158"/>
      <c r="CX35" s="158"/>
      <c r="CY35" s="158"/>
      <c r="CZ35" s="158"/>
      <c r="DA35" s="158"/>
      <c r="DB35" s="158"/>
      <c r="DC35" s="158"/>
      <c r="DD35" s="158"/>
      <c r="DE35" s="158"/>
      <c r="DF35" s="158"/>
      <c r="DG35" s="158"/>
      <c r="DH35" s="158"/>
      <c r="DI35" s="158"/>
      <c r="DJ35" s="158"/>
      <c r="DK35" s="158"/>
      <c r="DL35" s="158"/>
      <c r="DM35" s="158"/>
      <c r="DN35" s="158"/>
      <c r="DO35" s="158"/>
      <c r="DP35" s="158"/>
      <c r="DQ35" s="158"/>
      <c r="DR35" s="158"/>
      <c r="DS35" s="158"/>
      <c r="DT35" s="158"/>
      <c r="DU35" s="158"/>
      <c r="DV35" s="158"/>
      <c r="DW35" s="158"/>
      <c r="DX35" s="158"/>
      <c r="DY35" s="158"/>
      <c r="DZ35" s="158"/>
      <c r="EA35" s="158"/>
      <c r="EB35" s="158"/>
      <c r="EC35" s="158"/>
      <c r="ED35" s="158"/>
      <c r="EE35" s="158"/>
      <c r="EF35" s="158"/>
      <c r="EG35" s="158"/>
      <c r="EH35" s="158"/>
      <c r="EI35" s="158"/>
      <c r="EJ35" s="158"/>
      <c r="EK35" s="158"/>
      <c r="EL35" s="158"/>
      <c r="EM35" s="158"/>
      <c r="EN35" s="158"/>
      <c r="EO35" s="158"/>
      <c r="EP35" s="158"/>
      <c r="EQ35" s="158"/>
      <c r="ER35" s="158"/>
      <c r="ES35" s="158"/>
      <c r="ET35" s="158"/>
      <c r="EU35" s="158"/>
      <c r="EV35" s="158"/>
      <c r="EW35" s="158"/>
      <c r="EX35" s="158"/>
      <c r="EY35" s="158"/>
      <c r="EZ35" s="158"/>
      <c r="FA35" s="158"/>
      <c r="FB35" s="158"/>
      <c r="FC35" s="158"/>
      <c r="FD35" s="158"/>
      <c r="FE35" s="158"/>
      <c r="FF35" s="158"/>
      <c r="FG35" s="158"/>
      <c r="FH35" s="158"/>
      <c r="FI35" s="158"/>
      <c r="FJ35" s="158"/>
      <c r="FK35" s="158"/>
      <c r="FL35" s="158"/>
      <c r="FM35" s="158"/>
      <c r="FN35" s="158"/>
      <c r="FO35" s="158"/>
      <c r="FP35" s="158"/>
      <c r="FQ35" s="158"/>
      <c r="FR35" s="158"/>
      <c r="FS35" s="158"/>
      <c r="FT35" s="158"/>
      <c r="FU35" s="158"/>
      <c r="FV35" s="158"/>
      <c r="FW35" s="158"/>
      <c r="FX35" s="158"/>
      <c r="FY35" s="158"/>
      <c r="FZ35" s="158"/>
      <c r="GA35" s="158"/>
      <c r="GB35" s="158"/>
      <c r="GC35" s="158"/>
      <c r="GD35" s="158"/>
      <c r="GE35" s="158"/>
      <c r="GF35" s="158"/>
      <c r="GG35" s="158"/>
      <c r="GH35" s="158"/>
      <c r="GI35" s="158"/>
      <c r="GJ35" s="158"/>
      <c r="GK35" s="158"/>
      <c r="GL35" s="158"/>
      <c r="GM35" s="158"/>
      <c r="GN35" s="158"/>
      <c r="GO35" s="158"/>
      <c r="GP35" s="158"/>
      <c r="GQ35" s="158"/>
      <c r="GR35" s="158"/>
      <c r="GS35" s="158"/>
      <c r="GT35" s="158"/>
      <c r="GU35" s="158"/>
      <c r="GV35" s="158"/>
      <c r="GW35" s="158"/>
      <c r="GX35" s="158"/>
      <c r="GY35" s="158"/>
      <c r="GZ35" s="158"/>
      <c r="HA35" s="158"/>
      <c r="HB35" s="158"/>
      <c r="HC35" s="158"/>
      <c r="HD35" s="158"/>
      <c r="HE35" s="158"/>
      <c r="HF35" s="158"/>
      <c r="HG35" s="158"/>
      <c r="HH35" s="158"/>
      <c r="HI35" s="158"/>
      <c r="HJ35" s="158"/>
      <c r="HK35" s="158"/>
      <c r="HL35" s="158"/>
    </row>
    <row r="36" spans="1:220" s="80" customFormat="1" ht="14.45" customHeight="1">
      <c r="A36" s="49"/>
      <c r="B36" s="105" t="s">
        <v>280</v>
      </c>
      <c r="C36" s="162" t="s">
        <v>604</v>
      </c>
      <c r="D36" s="145">
        <f>Output_Concentration!AB4</f>
        <v>0</v>
      </c>
      <c r="E36" s="158"/>
      <c r="F36" s="158"/>
      <c r="G36" s="158"/>
      <c r="H36" s="158"/>
      <c r="I36" s="158"/>
      <c r="J36" s="158"/>
      <c r="K36" s="158"/>
      <c r="L36" s="158"/>
      <c r="M36" s="158"/>
      <c r="N36" s="158"/>
      <c r="O36" s="158"/>
      <c r="P36" s="158"/>
      <c r="Q36" s="158"/>
      <c r="R36" s="158"/>
      <c r="S36" s="158"/>
      <c r="T36" s="158"/>
      <c r="U36" s="158"/>
      <c r="V36" s="158"/>
      <c r="W36" s="197"/>
      <c r="X36" s="158"/>
      <c r="Y36" s="158"/>
      <c r="Z36" s="158"/>
      <c r="AA36" s="158"/>
      <c r="AB36" s="158"/>
      <c r="AC36" s="158"/>
      <c r="AD36" s="158"/>
      <c r="AE36" s="158"/>
      <c r="AF36" s="158"/>
      <c r="AG36" s="158"/>
      <c r="AH36" s="158"/>
      <c r="AI36" s="158"/>
      <c r="AJ36" s="158"/>
      <c r="AK36" s="158"/>
      <c r="AL36" s="158"/>
      <c r="AM36" s="158"/>
      <c r="AN36" s="158"/>
      <c r="AO36" s="158"/>
      <c r="AP36" s="158"/>
      <c r="AQ36" s="158"/>
      <c r="AR36" s="158"/>
      <c r="AS36" s="158"/>
      <c r="AT36" s="158"/>
      <c r="AU36" s="158"/>
      <c r="AV36" s="158"/>
      <c r="AW36" s="158"/>
      <c r="AX36" s="158"/>
      <c r="AY36" s="158"/>
      <c r="AZ36" s="158"/>
      <c r="BA36" s="158"/>
      <c r="BB36" s="158"/>
      <c r="BC36" s="158"/>
      <c r="BD36" s="158"/>
      <c r="BE36" s="158"/>
      <c r="BF36" s="158"/>
      <c r="BG36" s="158"/>
      <c r="BH36" s="158"/>
      <c r="BI36" s="158"/>
      <c r="BJ36" s="158"/>
      <c r="BK36" s="158"/>
      <c r="BL36" s="158"/>
      <c r="BM36" s="158"/>
      <c r="BN36" s="158"/>
      <c r="BO36" s="158"/>
      <c r="BP36" s="158"/>
      <c r="BQ36" s="158"/>
      <c r="BR36" s="158"/>
      <c r="BS36" s="158"/>
      <c r="BT36" s="158"/>
      <c r="BU36" s="158"/>
      <c r="BV36" s="158"/>
      <c r="BW36" s="158"/>
      <c r="BX36" s="158"/>
      <c r="BY36" s="158"/>
      <c r="BZ36" s="158"/>
      <c r="CA36" s="158"/>
      <c r="CB36" s="158"/>
      <c r="CC36" s="158"/>
      <c r="CD36" s="158"/>
      <c r="CE36" s="158"/>
      <c r="CF36" s="158"/>
      <c r="CG36" s="158"/>
      <c r="CH36" s="158"/>
      <c r="CI36" s="158"/>
      <c r="CJ36" s="158"/>
      <c r="CK36" s="158"/>
      <c r="CL36" s="158"/>
      <c r="CM36" s="158"/>
      <c r="CN36" s="158"/>
      <c r="CO36" s="158"/>
      <c r="CP36" s="158"/>
      <c r="CQ36" s="158"/>
      <c r="CR36" s="158"/>
      <c r="CS36" s="158"/>
      <c r="CT36" s="158"/>
      <c r="CU36" s="158"/>
      <c r="CV36" s="158"/>
      <c r="CW36" s="158"/>
      <c r="CX36" s="158"/>
      <c r="CY36" s="158"/>
      <c r="CZ36" s="158"/>
      <c r="DA36" s="158"/>
      <c r="DB36" s="158"/>
      <c r="DC36" s="158"/>
      <c r="DD36" s="158"/>
      <c r="DE36" s="158"/>
      <c r="DF36" s="158"/>
      <c r="DG36" s="158"/>
      <c r="DH36" s="158"/>
      <c r="DI36" s="158"/>
      <c r="DJ36" s="158"/>
      <c r="DK36" s="158"/>
      <c r="DL36" s="158"/>
      <c r="DM36" s="158"/>
      <c r="DN36" s="158"/>
      <c r="DO36" s="158"/>
      <c r="DP36" s="158"/>
      <c r="DQ36" s="158"/>
      <c r="DR36" s="158"/>
      <c r="DS36" s="158"/>
      <c r="DT36" s="158"/>
      <c r="DU36" s="158"/>
      <c r="DV36" s="158"/>
      <c r="DW36" s="158"/>
      <c r="DX36" s="158"/>
      <c r="DY36" s="158"/>
      <c r="DZ36" s="158"/>
      <c r="EA36" s="158"/>
      <c r="EB36" s="158"/>
      <c r="EC36" s="158"/>
      <c r="ED36" s="158"/>
      <c r="EE36" s="158"/>
      <c r="EF36" s="158"/>
      <c r="EG36" s="158"/>
      <c r="EH36" s="158"/>
      <c r="EI36" s="158"/>
      <c r="EJ36" s="158"/>
      <c r="EK36" s="158"/>
      <c r="EL36" s="158"/>
      <c r="EM36" s="158"/>
      <c r="EN36" s="158"/>
      <c r="EO36" s="158"/>
      <c r="EP36" s="158"/>
      <c r="EQ36" s="158"/>
      <c r="ER36" s="158"/>
      <c r="ES36" s="158"/>
      <c r="ET36" s="158"/>
      <c r="EU36" s="158"/>
      <c r="EV36" s="158"/>
      <c r="EW36" s="158"/>
      <c r="EX36" s="158"/>
      <c r="EY36" s="158"/>
      <c r="EZ36" s="158"/>
      <c r="FA36" s="158"/>
      <c r="FB36" s="158"/>
      <c r="FC36" s="158"/>
      <c r="FD36" s="158"/>
      <c r="FE36" s="158"/>
      <c r="FF36" s="158"/>
      <c r="FG36" s="158"/>
      <c r="FH36" s="158"/>
      <c r="FI36" s="158"/>
      <c r="FJ36" s="158"/>
      <c r="FK36" s="158"/>
      <c r="FL36" s="158"/>
      <c r="FM36" s="158"/>
      <c r="FN36" s="158"/>
      <c r="FO36" s="158"/>
      <c r="FP36" s="158"/>
      <c r="FQ36" s="158"/>
      <c r="FR36" s="158"/>
      <c r="FS36" s="158"/>
      <c r="FT36" s="158"/>
      <c r="FU36" s="158"/>
      <c r="FV36" s="158"/>
      <c r="FW36" s="158"/>
      <c r="FX36" s="158"/>
      <c r="FY36" s="158"/>
      <c r="FZ36" s="158"/>
      <c r="GA36" s="158"/>
      <c r="GB36" s="158"/>
      <c r="GC36" s="158"/>
      <c r="GD36" s="158"/>
      <c r="GE36" s="158"/>
      <c r="GF36" s="158"/>
      <c r="GG36" s="158"/>
      <c r="GH36" s="158"/>
      <c r="GI36" s="158"/>
      <c r="GJ36" s="158"/>
      <c r="GK36" s="158"/>
      <c r="GL36" s="158"/>
      <c r="GM36" s="158"/>
      <c r="GN36" s="158"/>
      <c r="GO36" s="158"/>
      <c r="GP36" s="158"/>
      <c r="GQ36" s="158"/>
      <c r="GR36" s="158"/>
      <c r="GS36" s="158"/>
      <c r="GT36" s="158"/>
      <c r="GU36" s="158"/>
      <c r="GV36" s="158"/>
      <c r="GW36" s="158"/>
      <c r="GX36" s="158"/>
      <c r="GY36" s="158"/>
      <c r="GZ36" s="158"/>
      <c r="HA36" s="158"/>
      <c r="HB36" s="158"/>
      <c r="HC36" s="158"/>
      <c r="HD36" s="158"/>
      <c r="HE36" s="158"/>
      <c r="HF36" s="158"/>
      <c r="HG36" s="158"/>
      <c r="HH36" s="158"/>
      <c r="HI36" s="158"/>
      <c r="HJ36" s="158"/>
      <c r="HK36" s="158"/>
      <c r="HL36" s="158"/>
    </row>
    <row r="37" spans="1:220" s="80" customFormat="1" ht="14.45" customHeight="1">
      <c r="A37" s="49"/>
      <c r="B37" s="105" t="s">
        <v>281</v>
      </c>
      <c r="C37" s="162" t="s">
        <v>605</v>
      </c>
      <c r="D37" s="145">
        <f>Output_Concentration!AC4</f>
        <v>0</v>
      </c>
      <c r="E37" s="158"/>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c r="BJ37" s="158"/>
      <c r="BK37" s="158"/>
      <c r="BL37" s="158"/>
      <c r="BM37" s="158"/>
      <c r="BN37" s="158"/>
      <c r="BO37" s="158"/>
      <c r="BP37" s="158"/>
      <c r="BQ37" s="158"/>
      <c r="BR37" s="158"/>
      <c r="BS37" s="158"/>
      <c r="BT37" s="158"/>
      <c r="BU37" s="158"/>
      <c r="BV37" s="158"/>
      <c r="BW37" s="158"/>
      <c r="BX37" s="158"/>
      <c r="BY37" s="158"/>
      <c r="BZ37" s="158"/>
      <c r="CA37" s="158"/>
      <c r="CB37" s="158"/>
      <c r="CC37" s="158"/>
      <c r="CD37" s="158"/>
      <c r="CE37" s="158"/>
      <c r="CF37" s="158"/>
      <c r="CG37" s="158"/>
      <c r="CH37" s="158"/>
      <c r="CI37" s="158"/>
      <c r="CJ37" s="158"/>
      <c r="CK37" s="158"/>
      <c r="CL37" s="158"/>
      <c r="CM37" s="158"/>
      <c r="CN37" s="158"/>
      <c r="CO37" s="158"/>
      <c r="CP37" s="158"/>
      <c r="CQ37" s="158"/>
      <c r="CR37" s="158"/>
      <c r="CS37" s="158"/>
      <c r="CT37" s="158"/>
      <c r="CU37" s="158"/>
      <c r="CV37" s="158"/>
      <c r="CW37" s="158"/>
      <c r="CX37" s="158"/>
      <c r="CY37" s="158"/>
      <c r="CZ37" s="158"/>
      <c r="DA37" s="158"/>
      <c r="DB37" s="158"/>
      <c r="DC37" s="158"/>
      <c r="DD37" s="158"/>
      <c r="DE37" s="158"/>
      <c r="DF37" s="158"/>
      <c r="DG37" s="158"/>
      <c r="DH37" s="158"/>
      <c r="DI37" s="158"/>
      <c r="DJ37" s="158"/>
      <c r="DK37" s="158"/>
      <c r="DL37" s="158"/>
      <c r="DM37" s="158"/>
      <c r="DN37" s="158"/>
      <c r="DO37" s="158"/>
      <c r="DP37" s="158"/>
      <c r="DQ37" s="158"/>
      <c r="DR37" s="158"/>
      <c r="DS37" s="158"/>
      <c r="DT37" s="158"/>
      <c r="DU37" s="158"/>
      <c r="DV37" s="158"/>
      <c r="DW37" s="158"/>
      <c r="DX37" s="158"/>
      <c r="DY37" s="158"/>
      <c r="DZ37" s="158"/>
      <c r="EA37" s="158"/>
      <c r="EB37" s="158"/>
      <c r="EC37" s="158"/>
      <c r="ED37" s="158"/>
      <c r="EE37" s="158"/>
      <c r="EF37" s="158"/>
      <c r="EG37" s="158"/>
      <c r="EH37" s="158"/>
      <c r="EI37" s="158"/>
      <c r="EJ37" s="158"/>
      <c r="EK37" s="158"/>
      <c r="EL37" s="158"/>
      <c r="EM37" s="158"/>
      <c r="EN37" s="158"/>
      <c r="EO37" s="158"/>
      <c r="EP37" s="158"/>
      <c r="EQ37" s="158"/>
      <c r="ER37" s="158"/>
      <c r="ES37" s="158"/>
      <c r="ET37" s="158"/>
      <c r="EU37" s="158"/>
      <c r="EV37" s="158"/>
      <c r="EW37" s="158"/>
      <c r="EX37" s="158"/>
      <c r="EY37" s="158"/>
      <c r="EZ37" s="158"/>
      <c r="FA37" s="158"/>
      <c r="FB37" s="158"/>
      <c r="FC37" s="158"/>
      <c r="FD37" s="158"/>
      <c r="FE37" s="158"/>
      <c r="FF37" s="158"/>
      <c r="FG37" s="158"/>
      <c r="FH37" s="158"/>
      <c r="FI37" s="158"/>
      <c r="FJ37" s="158"/>
      <c r="FK37" s="158"/>
      <c r="FL37" s="158"/>
      <c r="FM37" s="158"/>
      <c r="FN37" s="158"/>
      <c r="FO37" s="158"/>
      <c r="FP37" s="158"/>
      <c r="FQ37" s="158"/>
      <c r="FR37" s="158"/>
      <c r="FS37" s="158"/>
      <c r="FT37" s="158"/>
      <c r="FU37" s="158"/>
      <c r="FV37" s="158"/>
      <c r="FW37" s="158"/>
      <c r="FX37" s="158"/>
      <c r="FY37" s="158"/>
      <c r="FZ37" s="158"/>
      <c r="GA37" s="158"/>
      <c r="GB37" s="158"/>
      <c r="GC37" s="158"/>
      <c r="GD37" s="158"/>
      <c r="GE37" s="158"/>
      <c r="GF37" s="158"/>
      <c r="GG37" s="158"/>
      <c r="GH37" s="158"/>
      <c r="GI37" s="158"/>
      <c r="GJ37" s="158"/>
      <c r="GK37" s="158"/>
      <c r="GL37" s="158"/>
      <c r="GM37" s="158"/>
      <c r="GN37" s="158"/>
      <c r="GO37" s="158"/>
      <c r="GP37" s="158"/>
      <c r="GQ37" s="158"/>
      <c r="GR37" s="158"/>
      <c r="GS37" s="158"/>
      <c r="GT37" s="158"/>
      <c r="GU37" s="158"/>
      <c r="GV37" s="158"/>
      <c r="GW37" s="158"/>
      <c r="GX37" s="158"/>
      <c r="GY37" s="158"/>
      <c r="GZ37" s="158"/>
      <c r="HA37" s="158"/>
      <c r="HB37" s="158"/>
      <c r="HC37" s="158"/>
      <c r="HD37" s="158"/>
      <c r="HE37" s="158"/>
      <c r="HF37" s="158"/>
      <c r="HG37" s="158"/>
      <c r="HH37" s="158"/>
      <c r="HI37" s="158"/>
      <c r="HJ37" s="158"/>
      <c r="HK37" s="158"/>
      <c r="HL37" s="158"/>
    </row>
    <row r="38" spans="1:220" s="80" customFormat="1" ht="14.45" customHeight="1">
      <c r="A38" s="49"/>
      <c r="B38" s="105" t="s">
        <v>282</v>
      </c>
      <c r="C38" s="162" t="s">
        <v>606</v>
      </c>
      <c r="D38" s="145">
        <f>Output_Concentration!AD4</f>
        <v>0</v>
      </c>
      <c r="E38" s="158"/>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c r="BF38" s="158"/>
      <c r="BG38" s="158"/>
      <c r="BH38" s="158"/>
      <c r="BI38" s="158"/>
      <c r="BJ38" s="158"/>
      <c r="BK38" s="158"/>
      <c r="BL38" s="158"/>
      <c r="BM38" s="158"/>
      <c r="BN38" s="158"/>
      <c r="BO38" s="158"/>
      <c r="BP38" s="158"/>
      <c r="BQ38" s="158"/>
      <c r="BR38" s="158"/>
      <c r="BS38" s="158"/>
      <c r="BT38" s="158"/>
      <c r="BU38" s="158"/>
      <c r="BV38" s="158"/>
      <c r="BW38" s="158"/>
      <c r="BX38" s="158"/>
      <c r="BY38" s="158"/>
      <c r="BZ38" s="158"/>
      <c r="CA38" s="158"/>
      <c r="CB38" s="158"/>
      <c r="CC38" s="158"/>
      <c r="CD38" s="158"/>
      <c r="CE38" s="158"/>
      <c r="CF38" s="158"/>
      <c r="CG38" s="158"/>
      <c r="CH38" s="158"/>
      <c r="CI38" s="158"/>
      <c r="CJ38" s="158"/>
      <c r="CK38" s="158"/>
      <c r="CL38" s="158"/>
      <c r="CM38" s="158"/>
      <c r="CN38" s="158"/>
      <c r="CO38" s="158"/>
      <c r="CP38" s="158"/>
      <c r="CQ38" s="158"/>
      <c r="CR38" s="158"/>
      <c r="CS38" s="158"/>
      <c r="CT38" s="158"/>
      <c r="CU38" s="158"/>
      <c r="CV38" s="158"/>
      <c r="CW38" s="158"/>
      <c r="CX38" s="158"/>
      <c r="CY38" s="158"/>
      <c r="CZ38" s="158"/>
      <c r="DA38" s="158"/>
      <c r="DB38" s="158"/>
      <c r="DC38" s="158"/>
      <c r="DD38" s="158"/>
      <c r="DE38" s="158"/>
      <c r="DF38" s="158"/>
      <c r="DG38" s="158"/>
      <c r="DH38" s="158"/>
      <c r="DI38" s="158"/>
      <c r="DJ38" s="158"/>
      <c r="DK38" s="158"/>
      <c r="DL38" s="158"/>
      <c r="DM38" s="158"/>
      <c r="DN38" s="158"/>
      <c r="DO38" s="158"/>
      <c r="DP38" s="158"/>
      <c r="DQ38" s="158"/>
      <c r="DR38" s="158"/>
      <c r="DS38" s="158"/>
      <c r="DT38" s="158"/>
      <c r="DU38" s="158"/>
      <c r="DV38" s="158"/>
      <c r="DW38" s="158"/>
      <c r="DX38" s="158"/>
      <c r="DY38" s="158"/>
      <c r="DZ38" s="158"/>
      <c r="EA38" s="158"/>
      <c r="EB38" s="158"/>
      <c r="EC38" s="158"/>
      <c r="ED38" s="158"/>
      <c r="EE38" s="158"/>
      <c r="EF38" s="158"/>
      <c r="EG38" s="158"/>
      <c r="EH38" s="158"/>
      <c r="EI38" s="158"/>
      <c r="EJ38" s="158"/>
      <c r="EK38" s="158"/>
      <c r="EL38" s="158"/>
      <c r="EM38" s="158"/>
      <c r="EN38" s="158"/>
      <c r="EO38" s="158"/>
      <c r="EP38" s="158"/>
      <c r="EQ38" s="158"/>
      <c r="ER38" s="158"/>
      <c r="ES38" s="158"/>
      <c r="ET38" s="158"/>
      <c r="EU38" s="158"/>
      <c r="EV38" s="158"/>
      <c r="EW38" s="158"/>
      <c r="EX38" s="158"/>
      <c r="EY38" s="158"/>
      <c r="EZ38" s="158"/>
      <c r="FA38" s="158"/>
      <c r="FB38" s="158"/>
      <c r="FC38" s="158"/>
      <c r="FD38" s="158"/>
      <c r="FE38" s="158"/>
      <c r="FF38" s="158"/>
      <c r="FG38" s="158"/>
      <c r="FH38" s="158"/>
      <c r="FI38" s="158"/>
      <c r="FJ38" s="158"/>
      <c r="FK38" s="158"/>
      <c r="FL38" s="158"/>
      <c r="FM38" s="158"/>
      <c r="FN38" s="158"/>
      <c r="FO38" s="158"/>
      <c r="FP38" s="158"/>
      <c r="FQ38" s="158"/>
      <c r="FR38" s="158"/>
      <c r="FS38" s="158"/>
      <c r="FT38" s="158"/>
      <c r="FU38" s="158"/>
      <c r="FV38" s="158"/>
      <c r="FW38" s="158"/>
      <c r="FX38" s="158"/>
      <c r="FY38" s="158"/>
      <c r="FZ38" s="158"/>
      <c r="GA38" s="158"/>
      <c r="GB38" s="158"/>
      <c r="GC38" s="158"/>
      <c r="GD38" s="158"/>
      <c r="GE38" s="158"/>
      <c r="GF38" s="158"/>
      <c r="GG38" s="158"/>
      <c r="GH38" s="158"/>
      <c r="GI38" s="158"/>
      <c r="GJ38" s="158"/>
      <c r="GK38" s="158"/>
      <c r="GL38" s="158"/>
      <c r="GM38" s="158"/>
      <c r="GN38" s="158"/>
      <c r="GO38" s="158"/>
      <c r="GP38" s="158"/>
      <c r="GQ38" s="158"/>
      <c r="GR38" s="158"/>
      <c r="GS38" s="158"/>
      <c r="GT38" s="158"/>
      <c r="GU38" s="158"/>
      <c r="GV38" s="158"/>
      <c r="GW38" s="158"/>
      <c r="GX38" s="158"/>
      <c r="GY38" s="158"/>
      <c r="GZ38" s="158"/>
      <c r="HA38" s="158"/>
      <c r="HB38" s="158"/>
      <c r="HC38" s="158"/>
      <c r="HD38" s="158"/>
      <c r="HE38" s="158"/>
      <c r="HF38" s="158"/>
      <c r="HG38" s="158"/>
      <c r="HH38" s="158"/>
      <c r="HI38" s="158"/>
      <c r="HJ38" s="158"/>
      <c r="HK38" s="158"/>
      <c r="HL38" s="158"/>
    </row>
    <row r="39" spans="1:220" s="80" customFormat="1" ht="14.45" customHeight="1">
      <c r="A39" s="49"/>
      <c r="B39" s="105" t="s">
        <v>283</v>
      </c>
      <c r="C39" s="162" t="s">
        <v>607</v>
      </c>
      <c r="D39" s="145">
        <f>Output_Concentration!AE4</f>
        <v>0</v>
      </c>
      <c r="E39" s="158"/>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c r="BJ39" s="158"/>
      <c r="BK39" s="158"/>
      <c r="BL39" s="158"/>
      <c r="BM39" s="158"/>
      <c r="BN39" s="158"/>
      <c r="BO39" s="158"/>
      <c r="BP39" s="158"/>
      <c r="BQ39" s="158"/>
      <c r="BR39" s="158"/>
      <c r="BS39" s="158"/>
      <c r="BT39" s="158"/>
      <c r="BU39" s="158"/>
      <c r="BV39" s="158"/>
      <c r="BW39" s="158"/>
      <c r="BX39" s="158"/>
      <c r="BY39" s="158"/>
      <c r="BZ39" s="158"/>
      <c r="CA39" s="158"/>
      <c r="CB39" s="158"/>
      <c r="CC39" s="158"/>
      <c r="CD39" s="158"/>
      <c r="CE39" s="158"/>
      <c r="CF39" s="158"/>
      <c r="CG39" s="158"/>
      <c r="CH39" s="158"/>
      <c r="CI39" s="158"/>
      <c r="CJ39" s="158"/>
      <c r="CK39" s="158"/>
      <c r="CL39" s="158"/>
      <c r="CM39" s="158"/>
      <c r="CN39" s="158"/>
      <c r="CO39" s="158"/>
      <c r="CP39" s="158"/>
      <c r="CQ39" s="158"/>
      <c r="CR39" s="158"/>
      <c r="CS39" s="158"/>
      <c r="CT39" s="158"/>
      <c r="CU39" s="158"/>
      <c r="CV39" s="158"/>
      <c r="CW39" s="158"/>
      <c r="CX39" s="158"/>
      <c r="CY39" s="158"/>
      <c r="CZ39" s="158"/>
      <c r="DA39" s="158"/>
      <c r="DB39" s="158"/>
      <c r="DC39" s="158"/>
      <c r="DD39" s="158"/>
      <c r="DE39" s="158"/>
      <c r="DF39" s="158"/>
      <c r="DG39" s="158"/>
      <c r="DH39" s="158"/>
      <c r="DI39" s="158"/>
      <c r="DJ39" s="158"/>
      <c r="DK39" s="158"/>
      <c r="DL39" s="158"/>
      <c r="DM39" s="158"/>
      <c r="DN39" s="158"/>
      <c r="DO39" s="158"/>
      <c r="DP39" s="158"/>
      <c r="DQ39" s="158"/>
      <c r="DR39" s="158"/>
      <c r="DS39" s="158"/>
      <c r="DT39" s="158"/>
      <c r="DU39" s="158"/>
      <c r="DV39" s="158"/>
      <c r="DW39" s="158"/>
      <c r="DX39" s="158"/>
      <c r="DY39" s="158"/>
      <c r="DZ39" s="158"/>
      <c r="EA39" s="158"/>
      <c r="EB39" s="158"/>
      <c r="EC39" s="158"/>
      <c r="ED39" s="158"/>
      <c r="EE39" s="158"/>
      <c r="EF39" s="158"/>
      <c r="EG39" s="158"/>
      <c r="EH39" s="158"/>
      <c r="EI39" s="158"/>
      <c r="EJ39" s="158"/>
      <c r="EK39" s="158"/>
      <c r="EL39" s="158"/>
      <c r="EM39" s="158"/>
      <c r="EN39" s="158"/>
      <c r="EO39" s="158"/>
      <c r="EP39" s="158"/>
      <c r="EQ39" s="158"/>
      <c r="ER39" s="158"/>
      <c r="ES39" s="158"/>
      <c r="ET39" s="158"/>
      <c r="EU39" s="158"/>
      <c r="EV39" s="158"/>
      <c r="EW39" s="158"/>
      <c r="EX39" s="158"/>
      <c r="EY39" s="158"/>
      <c r="EZ39" s="158"/>
      <c r="FA39" s="158"/>
      <c r="FB39" s="158"/>
      <c r="FC39" s="158"/>
      <c r="FD39" s="158"/>
      <c r="FE39" s="158"/>
      <c r="FF39" s="158"/>
      <c r="FG39" s="158"/>
      <c r="FH39" s="158"/>
      <c r="FI39" s="158"/>
      <c r="FJ39" s="158"/>
      <c r="FK39" s="158"/>
      <c r="FL39" s="158"/>
      <c r="FM39" s="158"/>
      <c r="FN39" s="158"/>
      <c r="FO39" s="158"/>
      <c r="FP39" s="158"/>
      <c r="FQ39" s="158"/>
      <c r="FR39" s="158"/>
      <c r="FS39" s="158"/>
      <c r="FT39" s="158"/>
      <c r="FU39" s="158"/>
      <c r="FV39" s="158"/>
      <c r="FW39" s="158"/>
      <c r="FX39" s="158"/>
      <c r="FY39" s="158"/>
      <c r="FZ39" s="158"/>
      <c r="GA39" s="158"/>
      <c r="GB39" s="158"/>
      <c r="GC39" s="158"/>
      <c r="GD39" s="158"/>
      <c r="GE39" s="158"/>
      <c r="GF39" s="158"/>
      <c r="GG39" s="158"/>
      <c r="GH39" s="158"/>
      <c r="GI39" s="158"/>
      <c r="GJ39" s="158"/>
      <c r="GK39" s="158"/>
      <c r="GL39" s="158"/>
      <c r="GM39" s="158"/>
      <c r="GN39" s="158"/>
      <c r="GO39" s="158"/>
      <c r="GP39" s="158"/>
      <c r="GQ39" s="158"/>
      <c r="GR39" s="158"/>
      <c r="GS39" s="158"/>
      <c r="GT39" s="158"/>
      <c r="GU39" s="158"/>
      <c r="GV39" s="158"/>
      <c r="GW39" s="158"/>
      <c r="GX39" s="158"/>
      <c r="GY39" s="158"/>
      <c r="GZ39" s="158"/>
      <c r="HA39" s="158"/>
      <c r="HB39" s="158"/>
      <c r="HC39" s="158"/>
      <c r="HD39" s="158"/>
      <c r="HE39" s="158"/>
      <c r="HF39" s="158"/>
      <c r="HG39" s="158"/>
      <c r="HH39" s="158"/>
      <c r="HI39" s="158"/>
      <c r="HJ39" s="158"/>
      <c r="HK39" s="158"/>
      <c r="HL39" s="158"/>
    </row>
    <row r="40" spans="1:220" s="80" customFormat="1" ht="14.45" customHeight="1">
      <c r="A40" s="49"/>
      <c r="B40" s="105" t="s">
        <v>284</v>
      </c>
      <c r="C40" s="162" t="s">
        <v>608</v>
      </c>
      <c r="D40" s="145">
        <f>Output_Concentration!AF4</f>
        <v>0</v>
      </c>
      <c r="E40" s="158"/>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c r="BJ40" s="158"/>
      <c r="BK40" s="158"/>
      <c r="BL40" s="158"/>
      <c r="BM40" s="158"/>
      <c r="BN40" s="158"/>
      <c r="BO40" s="158"/>
      <c r="BP40" s="158"/>
      <c r="BQ40" s="158"/>
      <c r="BR40" s="158"/>
      <c r="BS40" s="158"/>
      <c r="BT40" s="158"/>
      <c r="BU40" s="158"/>
      <c r="BV40" s="158"/>
      <c r="BW40" s="158"/>
      <c r="BX40" s="158"/>
      <c r="BY40" s="158"/>
      <c r="BZ40" s="158"/>
      <c r="CA40" s="158"/>
      <c r="CB40" s="158"/>
      <c r="CC40" s="158"/>
      <c r="CD40" s="158"/>
      <c r="CE40" s="158"/>
      <c r="CF40" s="158"/>
      <c r="CG40" s="158"/>
      <c r="CH40" s="158"/>
      <c r="CI40" s="158"/>
      <c r="CJ40" s="158"/>
      <c r="CK40" s="158"/>
      <c r="CL40" s="158"/>
      <c r="CM40" s="158"/>
      <c r="CN40" s="158"/>
      <c r="CO40" s="158"/>
      <c r="CP40" s="158"/>
      <c r="CQ40" s="158"/>
      <c r="CR40" s="158"/>
      <c r="CS40" s="158"/>
      <c r="CT40" s="158"/>
      <c r="CU40" s="158"/>
      <c r="CV40" s="158"/>
      <c r="CW40" s="158"/>
      <c r="CX40" s="158"/>
      <c r="CY40" s="158"/>
      <c r="CZ40" s="158"/>
      <c r="DA40" s="158"/>
      <c r="DB40" s="158"/>
      <c r="DC40" s="158"/>
      <c r="DD40" s="158"/>
      <c r="DE40" s="158"/>
      <c r="DF40" s="158"/>
      <c r="DG40" s="158"/>
      <c r="DH40" s="158"/>
      <c r="DI40" s="158"/>
      <c r="DJ40" s="158"/>
      <c r="DK40" s="158"/>
      <c r="DL40" s="158"/>
      <c r="DM40" s="158"/>
      <c r="DN40" s="158"/>
      <c r="DO40" s="158"/>
      <c r="DP40" s="158"/>
      <c r="DQ40" s="158"/>
      <c r="DR40" s="158"/>
      <c r="DS40" s="158"/>
      <c r="DT40" s="158"/>
      <c r="DU40" s="158"/>
      <c r="DV40" s="158"/>
      <c r="DW40" s="158"/>
      <c r="DX40" s="158"/>
      <c r="DY40" s="158"/>
      <c r="DZ40" s="158"/>
      <c r="EA40" s="158"/>
      <c r="EB40" s="158"/>
      <c r="EC40" s="158"/>
      <c r="ED40" s="158"/>
      <c r="EE40" s="158"/>
      <c r="EF40" s="158"/>
      <c r="EG40" s="158"/>
      <c r="EH40" s="158"/>
      <c r="EI40" s="158"/>
      <c r="EJ40" s="158"/>
      <c r="EK40" s="158"/>
      <c r="EL40" s="158"/>
      <c r="EM40" s="158"/>
      <c r="EN40" s="158"/>
      <c r="EO40" s="158"/>
      <c r="EP40" s="158"/>
      <c r="EQ40" s="158"/>
      <c r="ER40" s="158"/>
      <c r="ES40" s="158"/>
      <c r="ET40" s="158"/>
      <c r="EU40" s="158"/>
      <c r="EV40" s="158"/>
      <c r="EW40" s="158"/>
      <c r="EX40" s="158"/>
      <c r="EY40" s="158"/>
      <c r="EZ40" s="158"/>
      <c r="FA40" s="158"/>
      <c r="FB40" s="158"/>
      <c r="FC40" s="158"/>
      <c r="FD40" s="158"/>
      <c r="FE40" s="158"/>
      <c r="FF40" s="158"/>
      <c r="FG40" s="158"/>
      <c r="FH40" s="158"/>
      <c r="FI40" s="158"/>
      <c r="FJ40" s="158"/>
      <c r="FK40" s="158"/>
      <c r="FL40" s="158"/>
      <c r="FM40" s="158"/>
      <c r="FN40" s="158"/>
      <c r="FO40" s="158"/>
      <c r="FP40" s="158"/>
      <c r="FQ40" s="158"/>
      <c r="FR40" s="158"/>
      <c r="FS40" s="158"/>
      <c r="FT40" s="158"/>
      <c r="FU40" s="158"/>
      <c r="FV40" s="158"/>
      <c r="FW40" s="158"/>
      <c r="FX40" s="158"/>
      <c r="FY40" s="158"/>
      <c r="FZ40" s="158"/>
      <c r="GA40" s="158"/>
      <c r="GB40" s="158"/>
      <c r="GC40" s="158"/>
      <c r="GD40" s="158"/>
      <c r="GE40" s="158"/>
      <c r="GF40" s="158"/>
      <c r="GG40" s="158"/>
      <c r="GH40" s="158"/>
      <c r="GI40" s="158"/>
      <c r="GJ40" s="158"/>
      <c r="GK40" s="158"/>
      <c r="GL40" s="158"/>
      <c r="GM40" s="158"/>
      <c r="GN40" s="158"/>
      <c r="GO40" s="158"/>
      <c r="GP40" s="158"/>
      <c r="GQ40" s="158"/>
      <c r="GR40" s="158"/>
      <c r="GS40" s="158"/>
      <c r="GT40" s="158"/>
      <c r="GU40" s="158"/>
      <c r="GV40" s="158"/>
      <c r="GW40" s="158"/>
      <c r="GX40" s="158"/>
      <c r="GY40" s="158"/>
      <c r="GZ40" s="158"/>
      <c r="HA40" s="158"/>
      <c r="HB40" s="158"/>
      <c r="HC40" s="158"/>
      <c r="HD40" s="158"/>
      <c r="HE40" s="158"/>
      <c r="HF40" s="158"/>
      <c r="HG40" s="158"/>
      <c r="HH40" s="158"/>
      <c r="HI40" s="158"/>
      <c r="HJ40" s="158"/>
      <c r="HK40" s="158"/>
      <c r="HL40" s="158"/>
    </row>
    <row r="41" spans="1:220" s="80" customFormat="1" ht="14.45" customHeight="1">
      <c r="A41" s="49"/>
      <c r="B41" s="105" t="s">
        <v>288</v>
      </c>
      <c r="C41" s="162" t="s">
        <v>609</v>
      </c>
      <c r="D41" s="145">
        <f>Output_Concentration!AG4</f>
        <v>0</v>
      </c>
      <c r="E41" s="158"/>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c r="BJ41" s="158"/>
      <c r="BK41" s="158"/>
      <c r="BL41" s="158"/>
      <c r="BM41" s="158"/>
      <c r="BN41" s="158"/>
      <c r="BO41" s="158"/>
      <c r="BP41" s="158"/>
      <c r="BQ41" s="158"/>
      <c r="BR41" s="158"/>
      <c r="BS41" s="158"/>
      <c r="BT41" s="158"/>
      <c r="BU41" s="158"/>
      <c r="BV41" s="158"/>
      <c r="BW41" s="158"/>
      <c r="BX41" s="158"/>
      <c r="BY41" s="158"/>
      <c r="BZ41" s="158"/>
      <c r="CA41" s="158"/>
      <c r="CB41" s="158"/>
      <c r="CC41" s="158"/>
      <c r="CD41" s="158"/>
      <c r="CE41" s="158"/>
      <c r="CF41" s="158"/>
      <c r="CG41" s="158"/>
      <c r="CH41" s="158"/>
      <c r="CI41" s="158"/>
      <c r="CJ41" s="158"/>
      <c r="CK41" s="158"/>
      <c r="CL41" s="158"/>
      <c r="CM41" s="158"/>
      <c r="CN41" s="158"/>
      <c r="CO41" s="158"/>
      <c r="CP41" s="158"/>
      <c r="CQ41" s="158"/>
      <c r="CR41" s="158"/>
      <c r="CS41" s="158"/>
      <c r="CT41" s="158"/>
      <c r="CU41" s="158"/>
      <c r="CV41" s="158"/>
      <c r="CW41" s="158"/>
      <c r="CX41" s="158"/>
      <c r="CY41" s="158"/>
      <c r="CZ41" s="158"/>
      <c r="DA41" s="158"/>
      <c r="DB41" s="158"/>
      <c r="DC41" s="158"/>
      <c r="DD41" s="158"/>
      <c r="DE41" s="158"/>
      <c r="DF41" s="158"/>
      <c r="DG41" s="158"/>
      <c r="DH41" s="158"/>
      <c r="DI41" s="158"/>
      <c r="DJ41" s="158"/>
      <c r="DK41" s="158"/>
      <c r="DL41" s="158"/>
      <c r="DM41" s="158"/>
      <c r="DN41" s="158"/>
      <c r="DO41" s="158"/>
      <c r="DP41" s="158"/>
      <c r="DQ41" s="158"/>
      <c r="DR41" s="158"/>
      <c r="DS41" s="158"/>
      <c r="DT41" s="158"/>
      <c r="DU41" s="158"/>
      <c r="DV41" s="158"/>
      <c r="DW41" s="158"/>
      <c r="DX41" s="158"/>
      <c r="DY41" s="158"/>
      <c r="DZ41" s="158"/>
      <c r="EA41" s="158"/>
      <c r="EB41" s="158"/>
      <c r="EC41" s="158"/>
      <c r="ED41" s="158"/>
      <c r="EE41" s="158"/>
      <c r="EF41" s="158"/>
      <c r="EG41" s="158"/>
      <c r="EH41" s="158"/>
      <c r="EI41" s="158"/>
      <c r="EJ41" s="158"/>
      <c r="EK41" s="158"/>
      <c r="EL41" s="158"/>
      <c r="EM41" s="158"/>
      <c r="EN41" s="158"/>
      <c r="EO41" s="158"/>
      <c r="EP41" s="158"/>
      <c r="EQ41" s="158"/>
      <c r="ER41" s="158"/>
      <c r="ES41" s="158"/>
      <c r="ET41" s="158"/>
      <c r="EU41" s="158"/>
      <c r="EV41" s="158"/>
      <c r="EW41" s="158"/>
      <c r="EX41" s="158"/>
      <c r="EY41" s="158"/>
      <c r="EZ41" s="158"/>
      <c r="FA41" s="158"/>
      <c r="FB41" s="158"/>
      <c r="FC41" s="158"/>
      <c r="FD41" s="158"/>
      <c r="FE41" s="158"/>
      <c r="FF41" s="158"/>
      <c r="FG41" s="158"/>
      <c r="FH41" s="158"/>
      <c r="FI41" s="158"/>
      <c r="FJ41" s="158"/>
      <c r="FK41" s="158"/>
      <c r="FL41" s="158"/>
      <c r="FM41" s="158"/>
      <c r="FN41" s="158"/>
      <c r="FO41" s="158"/>
      <c r="FP41" s="158"/>
      <c r="FQ41" s="158"/>
      <c r="FR41" s="158"/>
      <c r="FS41" s="158"/>
      <c r="FT41" s="158"/>
      <c r="FU41" s="158"/>
      <c r="FV41" s="158"/>
      <c r="FW41" s="158"/>
      <c r="FX41" s="158"/>
      <c r="FY41" s="158"/>
      <c r="FZ41" s="158"/>
      <c r="GA41" s="158"/>
      <c r="GB41" s="158"/>
      <c r="GC41" s="158"/>
      <c r="GD41" s="158"/>
      <c r="GE41" s="158"/>
      <c r="GF41" s="158"/>
      <c r="GG41" s="158"/>
      <c r="GH41" s="158"/>
      <c r="GI41" s="158"/>
      <c r="GJ41" s="158"/>
      <c r="GK41" s="158"/>
      <c r="GL41" s="158"/>
      <c r="GM41" s="158"/>
      <c r="GN41" s="158"/>
      <c r="GO41" s="158"/>
      <c r="GP41" s="158"/>
      <c r="GQ41" s="158"/>
      <c r="GR41" s="158"/>
      <c r="GS41" s="158"/>
      <c r="GT41" s="158"/>
      <c r="GU41" s="158"/>
      <c r="GV41" s="158"/>
      <c r="GW41" s="158"/>
      <c r="GX41" s="158"/>
      <c r="GY41" s="158"/>
      <c r="GZ41" s="158"/>
      <c r="HA41" s="158"/>
      <c r="HB41" s="158"/>
      <c r="HC41" s="158"/>
      <c r="HD41" s="158"/>
      <c r="HE41" s="158"/>
      <c r="HF41" s="158"/>
      <c r="HG41" s="158"/>
      <c r="HH41" s="158"/>
      <c r="HI41" s="158"/>
      <c r="HJ41" s="158"/>
      <c r="HK41" s="158"/>
      <c r="HL41" s="158"/>
    </row>
    <row r="42" spans="1:220" s="80" customFormat="1" ht="14.45" customHeight="1">
      <c r="A42" s="49"/>
      <c r="B42" s="105" t="s">
        <v>289</v>
      </c>
      <c r="C42" s="162" t="s">
        <v>610</v>
      </c>
      <c r="D42" s="145">
        <f>Output_Concentration!AH4</f>
        <v>0</v>
      </c>
      <c r="E42" s="158"/>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c r="BF42" s="158"/>
      <c r="BG42" s="158"/>
      <c r="BH42" s="158"/>
      <c r="BI42" s="158"/>
      <c r="BJ42" s="158"/>
      <c r="BK42" s="158"/>
      <c r="BL42" s="158"/>
      <c r="BM42" s="158"/>
      <c r="BN42" s="158"/>
      <c r="BO42" s="158"/>
      <c r="BP42" s="158"/>
      <c r="BQ42" s="158"/>
      <c r="BR42" s="158"/>
      <c r="BS42" s="158"/>
      <c r="BT42" s="158"/>
      <c r="BU42" s="158"/>
      <c r="BV42" s="158"/>
      <c r="BW42" s="158"/>
      <c r="BX42" s="158"/>
      <c r="BY42" s="158"/>
      <c r="BZ42" s="158"/>
      <c r="CA42" s="158"/>
      <c r="CB42" s="158"/>
      <c r="CC42" s="158"/>
      <c r="CD42" s="158"/>
      <c r="CE42" s="158"/>
      <c r="CF42" s="158"/>
      <c r="CG42" s="158"/>
      <c r="CH42" s="158"/>
      <c r="CI42" s="158"/>
      <c r="CJ42" s="158"/>
      <c r="CK42" s="158"/>
      <c r="CL42" s="158"/>
      <c r="CM42" s="158"/>
      <c r="CN42" s="158"/>
      <c r="CO42" s="158"/>
      <c r="CP42" s="158"/>
      <c r="CQ42" s="158"/>
      <c r="CR42" s="158"/>
      <c r="CS42" s="158"/>
      <c r="CT42" s="158"/>
      <c r="CU42" s="158"/>
      <c r="CV42" s="158"/>
      <c r="CW42" s="158"/>
      <c r="CX42" s="158"/>
      <c r="CY42" s="158"/>
      <c r="CZ42" s="158"/>
      <c r="DA42" s="158"/>
      <c r="DB42" s="158"/>
      <c r="DC42" s="158"/>
      <c r="DD42" s="158"/>
      <c r="DE42" s="158"/>
      <c r="DF42" s="158"/>
      <c r="DG42" s="158"/>
      <c r="DH42" s="158"/>
      <c r="DI42" s="158"/>
      <c r="DJ42" s="158"/>
      <c r="DK42" s="158"/>
      <c r="DL42" s="158"/>
      <c r="DM42" s="158"/>
      <c r="DN42" s="158"/>
      <c r="DO42" s="158"/>
      <c r="DP42" s="158"/>
      <c r="DQ42" s="158"/>
      <c r="DR42" s="158"/>
      <c r="DS42" s="158"/>
      <c r="DT42" s="158"/>
      <c r="DU42" s="158"/>
      <c r="DV42" s="158"/>
      <c r="DW42" s="158"/>
      <c r="DX42" s="158"/>
      <c r="DY42" s="158"/>
      <c r="DZ42" s="158"/>
      <c r="EA42" s="158"/>
      <c r="EB42" s="158"/>
      <c r="EC42" s="158"/>
      <c r="ED42" s="158"/>
      <c r="EE42" s="158"/>
      <c r="EF42" s="158"/>
      <c r="EG42" s="158"/>
      <c r="EH42" s="158"/>
      <c r="EI42" s="158"/>
      <c r="EJ42" s="158"/>
      <c r="EK42" s="158"/>
      <c r="EL42" s="158"/>
      <c r="EM42" s="158"/>
      <c r="EN42" s="158"/>
      <c r="EO42" s="158"/>
      <c r="EP42" s="158"/>
      <c r="EQ42" s="158"/>
      <c r="ER42" s="158"/>
      <c r="ES42" s="158"/>
      <c r="ET42" s="158"/>
      <c r="EU42" s="158"/>
      <c r="EV42" s="158"/>
      <c r="EW42" s="158"/>
      <c r="EX42" s="158"/>
      <c r="EY42" s="158"/>
      <c r="EZ42" s="158"/>
      <c r="FA42" s="158"/>
      <c r="FB42" s="158"/>
      <c r="FC42" s="158"/>
      <c r="FD42" s="158"/>
      <c r="FE42" s="158"/>
      <c r="FF42" s="158"/>
      <c r="FG42" s="158"/>
      <c r="FH42" s="158"/>
      <c r="FI42" s="158"/>
      <c r="FJ42" s="158"/>
      <c r="FK42" s="158"/>
      <c r="FL42" s="158"/>
      <c r="FM42" s="158"/>
      <c r="FN42" s="158"/>
      <c r="FO42" s="158"/>
      <c r="FP42" s="158"/>
      <c r="FQ42" s="158"/>
      <c r="FR42" s="158"/>
      <c r="FS42" s="158"/>
      <c r="FT42" s="158"/>
      <c r="FU42" s="158"/>
      <c r="FV42" s="158"/>
      <c r="FW42" s="158"/>
      <c r="FX42" s="158"/>
      <c r="FY42" s="158"/>
      <c r="FZ42" s="158"/>
      <c r="GA42" s="158"/>
      <c r="GB42" s="158"/>
      <c r="GC42" s="158"/>
      <c r="GD42" s="158"/>
      <c r="GE42" s="158"/>
      <c r="GF42" s="158"/>
      <c r="GG42" s="158"/>
      <c r="GH42" s="158"/>
      <c r="GI42" s="158"/>
      <c r="GJ42" s="158"/>
      <c r="GK42" s="158"/>
      <c r="GL42" s="158"/>
      <c r="GM42" s="158"/>
      <c r="GN42" s="158"/>
      <c r="GO42" s="158"/>
      <c r="GP42" s="158"/>
      <c r="GQ42" s="158"/>
      <c r="GR42" s="158"/>
      <c r="GS42" s="158"/>
      <c r="GT42" s="158"/>
      <c r="GU42" s="158"/>
      <c r="GV42" s="158"/>
      <c r="GW42" s="158"/>
      <c r="GX42" s="158"/>
      <c r="GY42" s="158"/>
      <c r="GZ42" s="158"/>
      <c r="HA42" s="158"/>
      <c r="HB42" s="158"/>
      <c r="HC42" s="158"/>
      <c r="HD42" s="158"/>
      <c r="HE42" s="158"/>
      <c r="HF42" s="158"/>
      <c r="HG42" s="158"/>
      <c r="HH42" s="158"/>
      <c r="HI42" s="158"/>
      <c r="HJ42" s="158"/>
      <c r="HK42" s="158"/>
      <c r="HL42" s="158"/>
    </row>
    <row r="43" spans="1:220" s="80" customFormat="1" ht="14.45" customHeight="1">
      <c r="A43" s="49"/>
      <c r="B43" s="105" t="s">
        <v>290</v>
      </c>
      <c r="C43" s="162" t="s">
        <v>637</v>
      </c>
      <c r="D43" s="145">
        <f>Output_Inventory!F4</f>
        <v>0</v>
      </c>
      <c r="E43" s="158"/>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c r="BF43" s="158"/>
      <c r="BG43" s="158"/>
      <c r="BH43" s="158"/>
      <c r="BI43" s="158"/>
      <c r="BJ43" s="158"/>
      <c r="BK43" s="158"/>
      <c r="BL43" s="158"/>
      <c r="BM43" s="158"/>
      <c r="BN43" s="158"/>
      <c r="BO43" s="158"/>
      <c r="BP43" s="158"/>
      <c r="BQ43" s="158"/>
      <c r="BR43" s="158"/>
      <c r="BS43" s="158"/>
      <c r="BT43" s="158"/>
      <c r="BU43" s="158"/>
      <c r="BV43" s="158"/>
      <c r="BW43" s="158"/>
      <c r="BX43" s="158"/>
      <c r="BY43" s="158"/>
      <c r="BZ43" s="158"/>
      <c r="CA43" s="158"/>
      <c r="CB43" s="158"/>
      <c r="CC43" s="158"/>
      <c r="CD43" s="158"/>
      <c r="CE43" s="158"/>
      <c r="CF43" s="158"/>
      <c r="CG43" s="158"/>
      <c r="CH43" s="158"/>
      <c r="CI43" s="158"/>
      <c r="CJ43" s="158"/>
      <c r="CK43" s="158"/>
      <c r="CL43" s="158"/>
      <c r="CM43" s="158"/>
      <c r="CN43" s="158"/>
      <c r="CO43" s="158"/>
      <c r="CP43" s="158"/>
      <c r="CQ43" s="158"/>
      <c r="CR43" s="158"/>
      <c r="CS43" s="158"/>
      <c r="CT43" s="158"/>
      <c r="CU43" s="158"/>
      <c r="CV43" s="158"/>
      <c r="CW43" s="158"/>
      <c r="CX43" s="158"/>
      <c r="CY43" s="158"/>
      <c r="CZ43" s="158"/>
      <c r="DA43" s="158"/>
      <c r="DB43" s="158"/>
      <c r="DC43" s="158"/>
      <c r="DD43" s="158"/>
      <c r="DE43" s="158"/>
      <c r="DF43" s="158"/>
      <c r="DG43" s="158"/>
      <c r="DH43" s="158"/>
      <c r="DI43" s="158"/>
      <c r="DJ43" s="158"/>
      <c r="DK43" s="158"/>
      <c r="DL43" s="158"/>
      <c r="DM43" s="158"/>
      <c r="DN43" s="158"/>
      <c r="DO43" s="158"/>
      <c r="DP43" s="158"/>
      <c r="DQ43" s="158"/>
      <c r="DR43" s="158"/>
      <c r="DS43" s="158"/>
      <c r="DT43" s="158"/>
      <c r="DU43" s="158"/>
      <c r="DV43" s="158"/>
      <c r="DW43" s="158"/>
      <c r="DX43" s="158"/>
      <c r="DY43" s="158"/>
      <c r="DZ43" s="158"/>
      <c r="EA43" s="158"/>
      <c r="EB43" s="158"/>
      <c r="EC43" s="158"/>
      <c r="ED43" s="158"/>
      <c r="EE43" s="158"/>
      <c r="EF43" s="158"/>
      <c r="EG43" s="158"/>
      <c r="EH43" s="158"/>
      <c r="EI43" s="158"/>
      <c r="EJ43" s="158"/>
      <c r="EK43" s="158"/>
      <c r="EL43" s="158"/>
      <c r="EM43" s="158"/>
      <c r="EN43" s="158"/>
      <c r="EO43" s="158"/>
      <c r="EP43" s="158"/>
      <c r="EQ43" s="158"/>
      <c r="ER43" s="158"/>
      <c r="ES43" s="158"/>
      <c r="ET43" s="158"/>
      <c r="EU43" s="158"/>
      <c r="EV43" s="158"/>
      <c r="EW43" s="158"/>
      <c r="EX43" s="158"/>
      <c r="EY43" s="158"/>
      <c r="EZ43" s="158"/>
      <c r="FA43" s="158"/>
      <c r="FB43" s="158"/>
      <c r="FC43" s="158"/>
      <c r="FD43" s="158"/>
      <c r="FE43" s="158"/>
      <c r="FF43" s="158"/>
      <c r="FG43" s="158"/>
      <c r="FH43" s="158"/>
      <c r="FI43" s="158"/>
      <c r="FJ43" s="158"/>
      <c r="FK43" s="158"/>
      <c r="FL43" s="158"/>
      <c r="FM43" s="158"/>
      <c r="FN43" s="158"/>
      <c r="FO43" s="158"/>
      <c r="FP43" s="158"/>
      <c r="FQ43" s="158"/>
      <c r="FR43" s="158"/>
      <c r="FS43" s="158"/>
      <c r="FT43" s="158"/>
      <c r="FU43" s="158"/>
      <c r="FV43" s="158"/>
      <c r="FW43" s="158"/>
      <c r="FX43" s="158"/>
      <c r="FY43" s="158"/>
      <c r="FZ43" s="158"/>
      <c r="GA43" s="158"/>
      <c r="GB43" s="158"/>
      <c r="GC43" s="158"/>
      <c r="GD43" s="158"/>
      <c r="GE43" s="158"/>
      <c r="GF43" s="158"/>
      <c r="GG43" s="158"/>
      <c r="GH43" s="158"/>
      <c r="GI43" s="158"/>
      <c r="GJ43" s="158"/>
      <c r="GK43" s="158"/>
      <c r="GL43" s="158"/>
      <c r="GM43" s="158"/>
      <c r="GN43" s="158"/>
      <c r="GO43" s="158"/>
      <c r="GP43" s="158"/>
      <c r="GQ43" s="158"/>
      <c r="GR43" s="158"/>
      <c r="GS43" s="158"/>
      <c r="GT43" s="158"/>
      <c r="GU43" s="158"/>
      <c r="GV43" s="158"/>
      <c r="GW43" s="158"/>
      <c r="GX43" s="158"/>
      <c r="GY43" s="158"/>
      <c r="GZ43" s="158"/>
      <c r="HA43" s="158"/>
      <c r="HB43" s="158"/>
      <c r="HC43" s="158"/>
      <c r="HD43" s="158"/>
      <c r="HE43" s="158"/>
      <c r="HF43" s="158"/>
      <c r="HG43" s="158"/>
      <c r="HH43" s="158"/>
      <c r="HI43" s="158"/>
      <c r="HJ43" s="158"/>
      <c r="HK43" s="158"/>
      <c r="HL43" s="158"/>
    </row>
    <row r="44" spans="1:220" s="80" customFormat="1" ht="14.45" customHeight="1">
      <c r="A44" s="49"/>
      <c r="B44" s="105" t="s">
        <v>291</v>
      </c>
      <c r="C44" s="162" t="s">
        <v>638</v>
      </c>
      <c r="D44" s="145">
        <f>Output_Inventory!G4</f>
        <v>0</v>
      </c>
      <c r="E44" s="158"/>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c r="BJ44" s="158"/>
      <c r="BK44" s="158"/>
      <c r="BL44" s="158"/>
      <c r="BM44" s="158"/>
      <c r="BN44" s="158"/>
      <c r="BO44" s="158"/>
      <c r="BP44" s="158"/>
      <c r="BQ44" s="158"/>
      <c r="BR44" s="158"/>
      <c r="BS44" s="158"/>
      <c r="BT44" s="158"/>
      <c r="BU44" s="158"/>
      <c r="BV44" s="158"/>
      <c r="BW44" s="158"/>
      <c r="BX44" s="158"/>
      <c r="BY44" s="158"/>
      <c r="BZ44" s="158"/>
      <c r="CA44" s="158"/>
      <c r="CB44" s="158"/>
      <c r="CC44" s="158"/>
      <c r="CD44" s="158"/>
      <c r="CE44" s="158"/>
      <c r="CF44" s="158"/>
      <c r="CG44" s="158"/>
      <c r="CH44" s="158"/>
      <c r="CI44" s="158"/>
      <c r="CJ44" s="158"/>
      <c r="CK44" s="158"/>
      <c r="CL44" s="158"/>
      <c r="CM44" s="158"/>
      <c r="CN44" s="158"/>
      <c r="CO44" s="158"/>
      <c r="CP44" s="158"/>
      <c r="CQ44" s="158"/>
      <c r="CR44" s="158"/>
      <c r="CS44" s="158"/>
      <c r="CT44" s="158"/>
      <c r="CU44" s="158"/>
      <c r="CV44" s="158"/>
      <c r="CW44" s="158"/>
      <c r="CX44" s="158"/>
      <c r="CY44" s="158"/>
      <c r="CZ44" s="158"/>
      <c r="DA44" s="158"/>
      <c r="DB44" s="158"/>
      <c r="DC44" s="158"/>
      <c r="DD44" s="158"/>
      <c r="DE44" s="158"/>
      <c r="DF44" s="158"/>
      <c r="DG44" s="158"/>
      <c r="DH44" s="158"/>
      <c r="DI44" s="158"/>
      <c r="DJ44" s="158"/>
      <c r="DK44" s="158"/>
      <c r="DL44" s="158"/>
      <c r="DM44" s="158"/>
      <c r="DN44" s="158"/>
      <c r="DO44" s="158"/>
      <c r="DP44" s="158"/>
      <c r="DQ44" s="158"/>
      <c r="DR44" s="158"/>
      <c r="DS44" s="158"/>
      <c r="DT44" s="158"/>
      <c r="DU44" s="158"/>
      <c r="DV44" s="158"/>
      <c r="DW44" s="158"/>
      <c r="DX44" s="158"/>
      <c r="DY44" s="158"/>
      <c r="DZ44" s="158"/>
      <c r="EA44" s="158"/>
      <c r="EB44" s="158"/>
      <c r="EC44" s="158"/>
      <c r="ED44" s="158"/>
      <c r="EE44" s="158"/>
      <c r="EF44" s="158"/>
      <c r="EG44" s="158"/>
      <c r="EH44" s="158"/>
      <c r="EI44" s="158"/>
      <c r="EJ44" s="158"/>
      <c r="EK44" s="158"/>
      <c r="EL44" s="158"/>
      <c r="EM44" s="158"/>
      <c r="EN44" s="158"/>
      <c r="EO44" s="158"/>
      <c r="EP44" s="158"/>
      <c r="EQ44" s="158"/>
      <c r="ER44" s="158"/>
      <c r="ES44" s="158"/>
      <c r="ET44" s="158"/>
      <c r="EU44" s="158"/>
      <c r="EV44" s="158"/>
      <c r="EW44" s="158"/>
      <c r="EX44" s="158"/>
      <c r="EY44" s="158"/>
      <c r="EZ44" s="158"/>
      <c r="FA44" s="158"/>
      <c r="FB44" s="158"/>
      <c r="FC44" s="158"/>
      <c r="FD44" s="158"/>
      <c r="FE44" s="158"/>
      <c r="FF44" s="158"/>
      <c r="FG44" s="158"/>
      <c r="FH44" s="158"/>
      <c r="FI44" s="158"/>
      <c r="FJ44" s="158"/>
      <c r="FK44" s="158"/>
      <c r="FL44" s="158"/>
      <c r="FM44" s="158"/>
      <c r="FN44" s="158"/>
      <c r="FO44" s="158"/>
      <c r="FP44" s="158"/>
      <c r="FQ44" s="158"/>
      <c r="FR44" s="158"/>
      <c r="FS44" s="158"/>
      <c r="FT44" s="158"/>
      <c r="FU44" s="158"/>
      <c r="FV44" s="158"/>
      <c r="FW44" s="158"/>
      <c r="FX44" s="158"/>
      <c r="FY44" s="158"/>
      <c r="FZ44" s="158"/>
      <c r="GA44" s="158"/>
      <c r="GB44" s="158"/>
      <c r="GC44" s="158"/>
      <c r="GD44" s="158"/>
      <c r="GE44" s="158"/>
      <c r="GF44" s="158"/>
      <c r="GG44" s="158"/>
      <c r="GH44" s="158"/>
      <c r="GI44" s="158"/>
      <c r="GJ44" s="158"/>
      <c r="GK44" s="158"/>
      <c r="GL44" s="158"/>
      <c r="GM44" s="158"/>
      <c r="GN44" s="158"/>
      <c r="GO44" s="158"/>
      <c r="GP44" s="158"/>
      <c r="GQ44" s="158"/>
      <c r="GR44" s="158"/>
      <c r="GS44" s="158"/>
      <c r="GT44" s="158"/>
      <c r="GU44" s="158"/>
      <c r="GV44" s="158"/>
      <c r="GW44" s="158"/>
      <c r="GX44" s="158"/>
      <c r="GY44" s="158"/>
      <c r="GZ44" s="158"/>
      <c r="HA44" s="158"/>
      <c r="HB44" s="158"/>
      <c r="HC44" s="158"/>
      <c r="HD44" s="158"/>
      <c r="HE44" s="158"/>
      <c r="HF44" s="158"/>
      <c r="HG44" s="158"/>
      <c r="HH44" s="158"/>
      <c r="HI44" s="158"/>
      <c r="HJ44" s="158"/>
      <c r="HK44" s="158"/>
      <c r="HL44" s="158"/>
    </row>
    <row r="45" spans="1:220" s="80" customFormat="1" ht="14.45" customHeight="1">
      <c r="A45" s="49"/>
      <c r="B45" s="105" t="s">
        <v>292</v>
      </c>
      <c r="C45" s="162" t="s">
        <v>639</v>
      </c>
      <c r="D45" s="145">
        <f>Output_Inventory!H4</f>
        <v>0</v>
      </c>
      <c r="E45" s="158"/>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c r="BF45" s="158"/>
      <c r="BG45" s="158"/>
      <c r="BH45" s="158"/>
      <c r="BI45" s="158"/>
      <c r="BJ45" s="158"/>
      <c r="BK45" s="158"/>
      <c r="BL45" s="158"/>
      <c r="BM45" s="158"/>
      <c r="BN45" s="158"/>
      <c r="BO45" s="158"/>
      <c r="BP45" s="158"/>
      <c r="BQ45" s="158"/>
      <c r="BR45" s="158"/>
      <c r="BS45" s="158"/>
      <c r="BT45" s="158"/>
      <c r="BU45" s="158"/>
      <c r="BV45" s="158"/>
      <c r="BW45" s="158"/>
      <c r="BX45" s="158"/>
      <c r="BY45" s="158"/>
      <c r="BZ45" s="158"/>
      <c r="CA45" s="158"/>
      <c r="CB45" s="158"/>
      <c r="CC45" s="158"/>
      <c r="CD45" s="158"/>
      <c r="CE45" s="158"/>
      <c r="CF45" s="158"/>
      <c r="CG45" s="158"/>
      <c r="CH45" s="158"/>
      <c r="CI45" s="158"/>
      <c r="CJ45" s="158"/>
      <c r="CK45" s="158"/>
      <c r="CL45" s="158"/>
      <c r="CM45" s="158"/>
      <c r="CN45" s="158"/>
      <c r="CO45" s="158"/>
      <c r="CP45" s="158"/>
      <c r="CQ45" s="158"/>
      <c r="CR45" s="158"/>
      <c r="CS45" s="158"/>
      <c r="CT45" s="158"/>
      <c r="CU45" s="158"/>
      <c r="CV45" s="158"/>
      <c r="CW45" s="158"/>
      <c r="CX45" s="158"/>
      <c r="CY45" s="158"/>
      <c r="CZ45" s="158"/>
      <c r="DA45" s="158"/>
      <c r="DB45" s="158"/>
      <c r="DC45" s="158"/>
      <c r="DD45" s="158"/>
      <c r="DE45" s="158"/>
      <c r="DF45" s="158"/>
      <c r="DG45" s="158"/>
      <c r="DH45" s="158"/>
      <c r="DI45" s="158"/>
      <c r="DJ45" s="158"/>
      <c r="DK45" s="158"/>
      <c r="DL45" s="158"/>
      <c r="DM45" s="158"/>
      <c r="DN45" s="158"/>
      <c r="DO45" s="158"/>
      <c r="DP45" s="158"/>
      <c r="DQ45" s="158"/>
      <c r="DR45" s="158"/>
      <c r="DS45" s="158"/>
      <c r="DT45" s="158"/>
      <c r="DU45" s="158"/>
      <c r="DV45" s="158"/>
      <c r="DW45" s="158"/>
      <c r="DX45" s="158"/>
      <c r="DY45" s="158"/>
      <c r="DZ45" s="158"/>
      <c r="EA45" s="158"/>
      <c r="EB45" s="158"/>
      <c r="EC45" s="158"/>
      <c r="ED45" s="158"/>
      <c r="EE45" s="158"/>
      <c r="EF45" s="158"/>
      <c r="EG45" s="158"/>
      <c r="EH45" s="158"/>
      <c r="EI45" s="158"/>
      <c r="EJ45" s="158"/>
      <c r="EK45" s="158"/>
      <c r="EL45" s="158"/>
      <c r="EM45" s="158"/>
      <c r="EN45" s="158"/>
      <c r="EO45" s="158"/>
      <c r="EP45" s="158"/>
      <c r="EQ45" s="158"/>
      <c r="ER45" s="158"/>
      <c r="ES45" s="158"/>
      <c r="ET45" s="158"/>
      <c r="EU45" s="158"/>
      <c r="EV45" s="158"/>
      <c r="EW45" s="158"/>
      <c r="EX45" s="158"/>
      <c r="EY45" s="158"/>
      <c r="EZ45" s="158"/>
      <c r="FA45" s="158"/>
      <c r="FB45" s="158"/>
      <c r="FC45" s="158"/>
      <c r="FD45" s="158"/>
      <c r="FE45" s="158"/>
      <c r="FF45" s="158"/>
      <c r="FG45" s="158"/>
      <c r="FH45" s="158"/>
      <c r="FI45" s="158"/>
      <c r="FJ45" s="158"/>
      <c r="FK45" s="158"/>
      <c r="FL45" s="158"/>
      <c r="FM45" s="158"/>
      <c r="FN45" s="158"/>
      <c r="FO45" s="158"/>
      <c r="FP45" s="158"/>
      <c r="FQ45" s="158"/>
      <c r="FR45" s="158"/>
      <c r="FS45" s="158"/>
      <c r="FT45" s="158"/>
      <c r="FU45" s="158"/>
      <c r="FV45" s="158"/>
      <c r="FW45" s="158"/>
      <c r="FX45" s="158"/>
      <c r="FY45" s="158"/>
      <c r="FZ45" s="158"/>
      <c r="GA45" s="158"/>
      <c r="GB45" s="158"/>
      <c r="GC45" s="158"/>
      <c r="GD45" s="158"/>
      <c r="GE45" s="158"/>
      <c r="GF45" s="158"/>
      <c r="GG45" s="158"/>
      <c r="GH45" s="158"/>
      <c r="GI45" s="158"/>
      <c r="GJ45" s="158"/>
      <c r="GK45" s="158"/>
      <c r="GL45" s="158"/>
      <c r="GM45" s="158"/>
      <c r="GN45" s="158"/>
      <c r="GO45" s="158"/>
      <c r="GP45" s="158"/>
      <c r="GQ45" s="158"/>
      <c r="GR45" s="158"/>
      <c r="GS45" s="158"/>
      <c r="GT45" s="158"/>
      <c r="GU45" s="158"/>
      <c r="GV45" s="158"/>
      <c r="GW45" s="158"/>
      <c r="GX45" s="158"/>
      <c r="GY45" s="158"/>
      <c r="GZ45" s="158"/>
      <c r="HA45" s="158"/>
      <c r="HB45" s="158"/>
      <c r="HC45" s="158"/>
      <c r="HD45" s="158"/>
      <c r="HE45" s="158"/>
      <c r="HF45" s="158"/>
      <c r="HG45" s="158"/>
      <c r="HH45" s="158"/>
      <c r="HI45" s="158"/>
      <c r="HJ45" s="158"/>
      <c r="HK45" s="158"/>
      <c r="HL45" s="158"/>
    </row>
    <row r="46" spans="1:220" s="80" customFormat="1" ht="14.45" customHeight="1">
      <c r="A46" s="49"/>
      <c r="B46" s="105" t="s">
        <v>293</v>
      </c>
      <c r="C46" s="162" t="s">
        <v>640</v>
      </c>
      <c r="D46" s="145">
        <f>Output_Inventory!I4</f>
        <v>0</v>
      </c>
      <c r="E46" s="158"/>
      <c r="F46" s="158"/>
      <c r="G46" s="158"/>
      <c r="H46" s="158"/>
      <c r="I46" s="158"/>
      <c r="J46" s="158"/>
      <c r="K46" s="158"/>
      <c r="L46" s="158"/>
      <c r="M46" s="158"/>
      <c r="N46" s="158"/>
      <c r="O46" s="158"/>
      <c r="P46" s="158"/>
      <c r="Q46" s="158"/>
      <c r="R46" s="197"/>
      <c r="S46" s="158"/>
      <c r="T46" s="158"/>
      <c r="U46" s="158"/>
      <c r="V46" s="197"/>
      <c r="W46" s="158"/>
      <c r="X46" s="158"/>
      <c r="Y46" s="158"/>
      <c r="Z46" s="158"/>
      <c r="AA46" s="158"/>
      <c r="AB46" s="158"/>
      <c r="AC46" s="158"/>
      <c r="AD46" s="158"/>
      <c r="AE46" s="158"/>
      <c r="AF46" s="158"/>
      <c r="AG46" s="158"/>
      <c r="AH46" s="158"/>
      <c r="AI46" s="158"/>
      <c r="AJ46" s="158"/>
      <c r="AK46" s="158"/>
      <c r="AL46" s="158"/>
      <c r="AM46" s="158"/>
      <c r="AN46" s="158"/>
      <c r="AO46" s="158"/>
      <c r="AP46" s="158"/>
      <c r="AQ46" s="158"/>
      <c r="AR46" s="158"/>
      <c r="AS46" s="158"/>
      <c r="AT46" s="158"/>
      <c r="AU46" s="158"/>
      <c r="AV46" s="158"/>
      <c r="AW46" s="158"/>
      <c r="AX46" s="158"/>
      <c r="AY46" s="158"/>
      <c r="AZ46" s="158"/>
      <c r="BA46" s="158"/>
      <c r="BB46" s="158"/>
      <c r="BC46" s="158"/>
      <c r="BD46" s="158"/>
      <c r="BE46" s="158"/>
      <c r="BF46" s="158"/>
      <c r="BG46" s="158"/>
      <c r="BH46" s="158"/>
      <c r="BI46" s="158"/>
      <c r="BJ46" s="158"/>
      <c r="BK46" s="158"/>
      <c r="BL46" s="158"/>
      <c r="BM46" s="158"/>
      <c r="BN46" s="158"/>
      <c r="BO46" s="158"/>
      <c r="BP46" s="158"/>
      <c r="BQ46" s="158"/>
      <c r="BR46" s="158"/>
      <c r="BS46" s="158"/>
      <c r="BT46" s="158"/>
      <c r="BU46" s="158"/>
      <c r="BV46" s="158"/>
      <c r="BW46" s="158"/>
      <c r="BX46" s="158"/>
      <c r="BY46" s="158"/>
      <c r="BZ46" s="158"/>
      <c r="CA46" s="158"/>
      <c r="CB46" s="158"/>
      <c r="CC46" s="158"/>
      <c r="CD46" s="158"/>
      <c r="CE46" s="158"/>
      <c r="CF46" s="158"/>
      <c r="CG46" s="158"/>
      <c r="CH46" s="158"/>
      <c r="CI46" s="158"/>
      <c r="CJ46" s="158"/>
      <c r="CK46" s="158"/>
      <c r="CL46" s="158"/>
      <c r="CM46" s="158"/>
      <c r="CN46" s="158"/>
      <c r="CO46" s="158"/>
      <c r="CP46" s="158"/>
      <c r="CQ46" s="158"/>
      <c r="CR46" s="158"/>
      <c r="CS46" s="158"/>
      <c r="CT46" s="158"/>
      <c r="CU46" s="158"/>
      <c r="CV46" s="158"/>
      <c r="CW46" s="158"/>
      <c r="CX46" s="158"/>
      <c r="CY46" s="158"/>
      <c r="CZ46" s="158"/>
      <c r="DA46" s="158"/>
      <c r="DB46" s="158"/>
      <c r="DC46" s="158"/>
      <c r="DD46" s="158"/>
      <c r="DE46" s="158"/>
      <c r="DF46" s="158"/>
      <c r="DG46" s="158"/>
      <c r="DH46" s="158"/>
      <c r="DI46" s="158"/>
      <c r="DJ46" s="158"/>
      <c r="DK46" s="158"/>
      <c r="DL46" s="158"/>
      <c r="DM46" s="158"/>
      <c r="DN46" s="158"/>
      <c r="DO46" s="158"/>
      <c r="DP46" s="158"/>
      <c r="DQ46" s="158"/>
      <c r="DR46" s="158"/>
      <c r="DS46" s="158"/>
      <c r="DT46" s="158"/>
      <c r="DU46" s="158"/>
      <c r="DV46" s="158"/>
      <c r="DW46" s="158"/>
      <c r="DX46" s="158"/>
      <c r="DY46" s="158"/>
      <c r="DZ46" s="158"/>
      <c r="EA46" s="158"/>
      <c r="EB46" s="158"/>
      <c r="EC46" s="158"/>
      <c r="ED46" s="158"/>
      <c r="EE46" s="158"/>
      <c r="EF46" s="158"/>
      <c r="EG46" s="158"/>
      <c r="EH46" s="158"/>
      <c r="EI46" s="158"/>
      <c r="EJ46" s="158"/>
      <c r="EK46" s="158"/>
      <c r="EL46" s="158"/>
      <c r="EM46" s="158"/>
      <c r="EN46" s="158"/>
      <c r="EO46" s="158"/>
      <c r="EP46" s="158"/>
      <c r="EQ46" s="158"/>
      <c r="ER46" s="158"/>
      <c r="ES46" s="158"/>
      <c r="ET46" s="158"/>
      <c r="EU46" s="158"/>
      <c r="EV46" s="158"/>
      <c r="EW46" s="158"/>
      <c r="EX46" s="158"/>
      <c r="EY46" s="158"/>
      <c r="EZ46" s="158"/>
      <c r="FA46" s="158"/>
      <c r="FB46" s="158"/>
      <c r="FC46" s="158"/>
      <c r="FD46" s="158"/>
      <c r="FE46" s="158"/>
      <c r="FF46" s="158"/>
      <c r="FG46" s="158"/>
      <c r="FH46" s="158"/>
      <c r="FI46" s="158"/>
      <c r="FJ46" s="158"/>
      <c r="FK46" s="158"/>
      <c r="FL46" s="158"/>
      <c r="FM46" s="158"/>
      <c r="FN46" s="158"/>
      <c r="FO46" s="158"/>
      <c r="FP46" s="158"/>
      <c r="FQ46" s="158"/>
      <c r="FR46" s="158"/>
      <c r="FS46" s="158"/>
      <c r="FT46" s="158"/>
      <c r="FU46" s="158"/>
      <c r="FV46" s="158"/>
      <c r="FW46" s="158"/>
      <c r="FX46" s="158"/>
      <c r="FY46" s="158"/>
      <c r="FZ46" s="158"/>
      <c r="GA46" s="158"/>
      <c r="GB46" s="158"/>
      <c r="GC46" s="158"/>
      <c r="GD46" s="158"/>
      <c r="GE46" s="158"/>
      <c r="GF46" s="158"/>
      <c r="GG46" s="158"/>
      <c r="GH46" s="158"/>
      <c r="GI46" s="158"/>
      <c r="GJ46" s="158"/>
      <c r="GK46" s="158"/>
      <c r="GL46" s="158"/>
      <c r="GM46" s="158"/>
      <c r="GN46" s="158"/>
      <c r="GO46" s="158"/>
      <c r="GP46" s="158"/>
      <c r="GQ46" s="158"/>
      <c r="GR46" s="158"/>
      <c r="GS46" s="158"/>
      <c r="GT46" s="158"/>
      <c r="GU46" s="158"/>
      <c r="GV46" s="158"/>
      <c r="GW46" s="158"/>
      <c r="GX46" s="158"/>
      <c r="GY46" s="158"/>
      <c r="GZ46" s="158"/>
      <c r="HA46" s="158"/>
      <c r="HB46" s="158"/>
      <c r="HC46" s="158"/>
      <c r="HD46" s="158"/>
      <c r="HE46" s="158"/>
      <c r="HF46" s="158"/>
      <c r="HG46" s="158"/>
      <c r="HH46" s="158"/>
      <c r="HI46" s="158"/>
      <c r="HJ46" s="158"/>
      <c r="HK46" s="158"/>
      <c r="HL46" s="158"/>
    </row>
    <row r="47" spans="1:220" s="80" customFormat="1" ht="14.45" customHeight="1">
      <c r="A47" s="49"/>
      <c r="B47" s="105" t="s">
        <v>294</v>
      </c>
      <c r="C47" s="162" t="s">
        <v>641</v>
      </c>
      <c r="D47" s="145">
        <f>Output_Inventory!J4</f>
        <v>0</v>
      </c>
      <c r="E47" s="158"/>
      <c r="F47" s="158"/>
      <c r="G47" s="158"/>
      <c r="H47" s="158"/>
      <c r="I47" s="158"/>
      <c r="J47" s="158"/>
      <c r="K47" s="158"/>
      <c r="L47" s="158"/>
      <c r="M47" s="158"/>
      <c r="N47" s="158"/>
      <c r="O47" s="158"/>
      <c r="P47" s="158"/>
      <c r="Q47" s="158"/>
      <c r="R47" s="158"/>
      <c r="S47" s="158"/>
      <c r="T47" s="158"/>
      <c r="U47" s="158"/>
      <c r="V47" s="158"/>
      <c r="W47" s="158"/>
      <c r="X47" s="158"/>
      <c r="Y47" s="158"/>
      <c r="Z47" s="158"/>
      <c r="AA47" s="158"/>
      <c r="AB47" s="158"/>
      <c r="AC47" s="158"/>
      <c r="AD47" s="158"/>
      <c r="AE47" s="158"/>
      <c r="AF47" s="158"/>
      <c r="AG47" s="158"/>
      <c r="AH47" s="158"/>
      <c r="AI47" s="158"/>
      <c r="AJ47" s="158"/>
      <c r="AK47" s="158"/>
      <c r="AL47" s="158"/>
      <c r="AM47" s="158"/>
      <c r="AN47" s="158"/>
      <c r="AO47" s="158"/>
      <c r="AP47" s="158"/>
      <c r="AQ47" s="158"/>
      <c r="AR47" s="158"/>
      <c r="AS47" s="158"/>
      <c r="AT47" s="158"/>
      <c r="AU47" s="158"/>
      <c r="AV47" s="158"/>
      <c r="AW47" s="158"/>
      <c r="AX47" s="158"/>
      <c r="AY47" s="158"/>
      <c r="AZ47" s="158"/>
      <c r="BA47" s="158"/>
      <c r="BB47" s="158"/>
      <c r="BC47" s="158"/>
      <c r="BD47" s="158"/>
      <c r="BE47" s="158"/>
      <c r="BF47" s="158"/>
      <c r="BG47" s="158"/>
      <c r="BH47" s="158"/>
      <c r="BI47" s="158"/>
      <c r="BJ47" s="158"/>
      <c r="BK47" s="158"/>
      <c r="BL47" s="158"/>
      <c r="BM47" s="158"/>
      <c r="BN47" s="158"/>
      <c r="BO47" s="158"/>
      <c r="BP47" s="158"/>
      <c r="BQ47" s="158"/>
      <c r="BR47" s="158"/>
      <c r="BS47" s="158"/>
      <c r="BT47" s="158"/>
      <c r="BU47" s="158"/>
      <c r="BV47" s="158"/>
      <c r="BW47" s="158"/>
      <c r="BX47" s="158"/>
      <c r="BY47" s="158"/>
      <c r="BZ47" s="158"/>
      <c r="CA47" s="158"/>
      <c r="CB47" s="158"/>
      <c r="CC47" s="158"/>
      <c r="CD47" s="158"/>
      <c r="CE47" s="158"/>
      <c r="CF47" s="158"/>
      <c r="CG47" s="158"/>
      <c r="CH47" s="158"/>
      <c r="CI47" s="158"/>
      <c r="CJ47" s="158"/>
      <c r="CK47" s="158"/>
      <c r="CL47" s="158"/>
      <c r="CM47" s="158"/>
      <c r="CN47" s="158"/>
      <c r="CO47" s="158"/>
      <c r="CP47" s="158"/>
      <c r="CQ47" s="158"/>
      <c r="CR47" s="158"/>
      <c r="CS47" s="158"/>
      <c r="CT47" s="158"/>
      <c r="CU47" s="158"/>
      <c r="CV47" s="158"/>
      <c r="CW47" s="158"/>
      <c r="CX47" s="158"/>
      <c r="CY47" s="158"/>
      <c r="CZ47" s="158"/>
      <c r="DA47" s="158"/>
      <c r="DB47" s="158"/>
      <c r="DC47" s="158"/>
      <c r="DD47" s="158"/>
      <c r="DE47" s="158"/>
      <c r="DF47" s="158"/>
      <c r="DG47" s="158"/>
      <c r="DH47" s="158"/>
      <c r="DI47" s="158"/>
      <c r="DJ47" s="158"/>
      <c r="DK47" s="158"/>
      <c r="DL47" s="158"/>
      <c r="DM47" s="158"/>
      <c r="DN47" s="158"/>
      <c r="DO47" s="158"/>
      <c r="DP47" s="158"/>
      <c r="DQ47" s="158"/>
      <c r="DR47" s="158"/>
      <c r="DS47" s="158"/>
      <c r="DT47" s="158"/>
      <c r="DU47" s="158"/>
      <c r="DV47" s="158"/>
      <c r="DW47" s="158"/>
      <c r="DX47" s="158"/>
      <c r="DY47" s="158"/>
      <c r="DZ47" s="158"/>
      <c r="EA47" s="158"/>
      <c r="EB47" s="158"/>
      <c r="EC47" s="158"/>
      <c r="ED47" s="158"/>
      <c r="EE47" s="158"/>
      <c r="EF47" s="158"/>
      <c r="EG47" s="158"/>
      <c r="EH47" s="158"/>
      <c r="EI47" s="158"/>
      <c r="EJ47" s="158"/>
      <c r="EK47" s="158"/>
      <c r="EL47" s="158"/>
      <c r="EM47" s="158"/>
      <c r="EN47" s="158"/>
      <c r="EO47" s="158"/>
      <c r="EP47" s="158"/>
      <c r="EQ47" s="158"/>
      <c r="ER47" s="158"/>
      <c r="ES47" s="158"/>
      <c r="ET47" s="158"/>
      <c r="EU47" s="158"/>
      <c r="EV47" s="158"/>
      <c r="EW47" s="158"/>
      <c r="EX47" s="158"/>
      <c r="EY47" s="158"/>
      <c r="EZ47" s="158"/>
      <c r="FA47" s="158"/>
      <c r="FB47" s="158"/>
      <c r="FC47" s="158"/>
      <c r="FD47" s="158"/>
      <c r="FE47" s="158"/>
      <c r="FF47" s="158"/>
      <c r="FG47" s="158"/>
      <c r="FH47" s="158"/>
      <c r="FI47" s="158"/>
      <c r="FJ47" s="158"/>
      <c r="FK47" s="158"/>
      <c r="FL47" s="158"/>
      <c r="FM47" s="158"/>
      <c r="FN47" s="158"/>
      <c r="FO47" s="158"/>
      <c r="FP47" s="158"/>
      <c r="FQ47" s="158"/>
      <c r="FR47" s="158"/>
      <c r="FS47" s="158"/>
      <c r="FT47" s="158"/>
      <c r="FU47" s="158"/>
      <c r="FV47" s="158"/>
      <c r="FW47" s="158"/>
      <c r="FX47" s="158"/>
      <c r="FY47" s="158"/>
      <c r="FZ47" s="158"/>
      <c r="GA47" s="158"/>
      <c r="GB47" s="158"/>
      <c r="GC47" s="158"/>
      <c r="GD47" s="158"/>
      <c r="GE47" s="158"/>
      <c r="GF47" s="158"/>
      <c r="GG47" s="158"/>
      <c r="GH47" s="158"/>
      <c r="GI47" s="158"/>
      <c r="GJ47" s="158"/>
      <c r="GK47" s="158"/>
      <c r="GL47" s="158"/>
      <c r="GM47" s="158"/>
      <c r="GN47" s="158"/>
      <c r="GO47" s="158"/>
      <c r="GP47" s="158"/>
      <c r="GQ47" s="158"/>
      <c r="GR47" s="158"/>
      <c r="GS47" s="158"/>
      <c r="GT47" s="158"/>
      <c r="GU47" s="158"/>
      <c r="GV47" s="158"/>
      <c r="GW47" s="158"/>
      <c r="GX47" s="158"/>
      <c r="GY47" s="158"/>
      <c r="GZ47" s="158"/>
      <c r="HA47" s="158"/>
      <c r="HB47" s="158"/>
      <c r="HC47" s="158"/>
      <c r="HD47" s="158"/>
      <c r="HE47" s="158"/>
      <c r="HF47" s="158"/>
      <c r="HG47" s="158"/>
      <c r="HH47" s="158"/>
      <c r="HI47" s="158"/>
      <c r="HJ47" s="158"/>
      <c r="HK47" s="158"/>
      <c r="HL47" s="158"/>
    </row>
    <row r="48" spans="1:220" s="80" customFormat="1" ht="14.45" customHeight="1">
      <c r="A48" s="49"/>
      <c r="B48" s="105" t="s">
        <v>295</v>
      </c>
      <c r="C48" s="162" t="s">
        <v>642</v>
      </c>
      <c r="D48" s="145">
        <f>Output_Inventory!P4</f>
        <v>0</v>
      </c>
      <c r="E48" s="158"/>
      <c r="F48" s="158"/>
      <c r="G48" s="158"/>
      <c r="H48" s="158"/>
      <c r="I48" s="158"/>
      <c r="J48" s="158"/>
      <c r="K48" s="158"/>
      <c r="L48" s="158"/>
      <c r="M48" s="158"/>
      <c r="N48" s="158"/>
      <c r="O48" s="158"/>
      <c r="P48" s="158"/>
      <c r="Q48" s="158"/>
      <c r="R48" s="158"/>
      <c r="S48" s="158"/>
      <c r="T48" s="158"/>
      <c r="U48" s="158"/>
      <c r="V48" s="158"/>
      <c r="W48" s="158"/>
      <c r="X48" s="158"/>
      <c r="Y48" s="158"/>
      <c r="Z48" s="158"/>
      <c r="AA48" s="158"/>
      <c r="AB48" s="158"/>
      <c r="AC48" s="158"/>
      <c r="AD48" s="158"/>
      <c r="AE48" s="158"/>
      <c r="AF48" s="158"/>
      <c r="AG48" s="158"/>
      <c r="AH48" s="158"/>
      <c r="AI48" s="158"/>
      <c r="AJ48" s="158"/>
      <c r="AK48" s="158"/>
      <c r="AL48" s="158"/>
      <c r="AM48" s="158"/>
      <c r="AN48" s="158"/>
      <c r="AO48" s="158"/>
      <c r="AP48" s="158"/>
      <c r="AQ48" s="158"/>
      <c r="AR48" s="158"/>
      <c r="AS48" s="158"/>
      <c r="AT48" s="158"/>
      <c r="AU48" s="158"/>
      <c r="AV48" s="158"/>
      <c r="AW48" s="158"/>
      <c r="AX48" s="158"/>
      <c r="AY48" s="158"/>
      <c r="AZ48" s="158"/>
      <c r="BA48" s="158"/>
      <c r="BB48" s="158"/>
      <c r="BC48" s="158"/>
      <c r="BD48" s="158"/>
      <c r="BE48" s="158"/>
      <c r="BF48" s="158"/>
      <c r="BG48" s="158"/>
      <c r="BH48" s="158"/>
      <c r="BI48" s="158"/>
      <c r="BJ48" s="158"/>
      <c r="BK48" s="158"/>
      <c r="BL48" s="158"/>
      <c r="BM48" s="158"/>
      <c r="BN48" s="158"/>
      <c r="BO48" s="158"/>
      <c r="BP48" s="158"/>
      <c r="BQ48" s="158"/>
      <c r="BR48" s="158"/>
      <c r="BS48" s="158"/>
      <c r="BT48" s="158"/>
      <c r="BU48" s="158"/>
      <c r="BV48" s="158"/>
      <c r="BW48" s="158"/>
      <c r="BX48" s="158"/>
      <c r="BY48" s="158"/>
      <c r="BZ48" s="158"/>
      <c r="CA48" s="158"/>
      <c r="CB48" s="158"/>
      <c r="CC48" s="158"/>
      <c r="CD48" s="158"/>
      <c r="CE48" s="158"/>
      <c r="CF48" s="158"/>
      <c r="CG48" s="158"/>
      <c r="CH48" s="158"/>
      <c r="CI48" s="158"/>
      <c r="CJ48" s="158"/>
      <c r="CK48" s="158"/>
      <c r="CL48" s="158"/>
      <c r="CM48" s="158"/>
      <c r="CN48" s="158"/>
      <c r="CO48" s="158"/>
      <c r="CP48" s="158"/>
      <c r="CQ48" s="158"/>
      <c r="CR48" s="158"/>
      <c r="CS48" s="158"/>
      <c r="CT48" s="158"/>
      <c r="CU48" s="158"/>
      <c r="CV48" s="158"/>
      <c r="CW48" s="158"/>
      <c r="CX48" s="158"/>
      <c r="CY48" s="158"/>
      <c r="CZ48" s="158"/>
      <c r="DA48" s="158"/>
      <c r="DB48" s="158"/>
      <c r="DC48" s="158"/>
      <c r="DD48" s="158"/>
      <c r="DE48" s="158"/>
      <c r="DF48" s="158"/>
      <c r="DG48" s="158"/>
      <c r="DH48" s="158"/>
      <c r="DI48" s="158"/>
      <c r="DJ48" s="158"/>
      <c r="DK48" s="158"/>
      <c r="DL48" s="158"/>
      <c r="DM48" s="158"/>
      <c r="DN48" s="158"/>
      <c r="DO48" s="158"/>
      <c r="DP48" s="158"/>
      <c r="DQ48" s="158"/>
      <c r="DR48" s="158"/>
      <c r="DS48" s="158"/>
      <c r="DT48" s="158"/>
      <c r="DU48" s="158"/>
      <c r="DV48" s="158"/>
      <c r="DW48" s="158"/>
      <c r="DX48" s="158"/>
      <c r="DY48" s="158"/>
      <c r="DZ48" s="158"/>
      <c r="EA48" s="158"/>
      <c r="EB48" s="158"/>
      <c r="EC48" s="158"/>
      <c r="ED48" s="158"/>
      <c r="EE48" s="158"/>
      <c r="EF48" s="158"/>
      <c r="EG48" s="158"/>
      <c r="EH48" s="158"/>
      <c r="EI48" s="158"/>
      <c r="EJ48" s="158"/>
      <c r="EK48" s="158"/>
      <c r="EL48" s="158"/>
      <c r="EM48" s="158"/>
      <c r="EN48" s="158"/>
      <c r="EO48" s="158"/>
      <c r="EP48" s="158"/>
      <c r="EQ48" s="158"/>
      <c r="ER48" s="158"/>
      <c r="ES48" s="158"/>
      <c r="ET48" s="158"/>
      <c r="EU48" s="158"/>
      <c r="EV48" s="158"/>
      <c r="EW48" s="158"/>
      <c r="EX48" s="158"/>
      <c r="EY48" s="158"/>
      <c r="EZ48" s="158"/>
      <c r="FA48" s="158"/>
      <c r="FB48" s="158"/>
      <c r="FC48" s="158"/>
      <c r="FD48" s="158"/>
      <c r="FE48" s="158"/>
      <c r="FF48" s="158"/>
      <c r="FG48" s="158"/>
      <c r="FH48" s="158"/>
      <c r="FI48" s="158"/>
      <c r="FJ48" s="158"/>
      <c r="FK48" s="158"/>
      <c r="FL48" s="158"/>
      <c r="FM48" s="158"/>
      <c r="FN48" s="158"/>
      <c r="FO48" s="158"/>
      <c r="FP48" s="158"/>
      <c r="FQ48" s="158"/>
      <c r="FR48" s="158"/>
      <c r="FS48" s="158"/>
      <c r="FT48" s="158"/>
      <c r="FU48" s="158"/>
      <c r="FV48" s="158"/>
      <c r="FW48" s="158"/>
      <c r="FX48" s="158"/>
      <c r="FY48" s="158"/>
      <c r="FZ48" s="158"/>
      <c r="GA48" s="158"/>
      <c r="GB48" s="158"/>
      <c r="GC48" s="158"/>
      <c r="GD48" s="158"/>
      <c r="GE48" s="158"/>
      <c r="GF48" s="158"/>
      <c r="GG48" s="158"/>
      <c r="GH48" s="158"/>
      <c r="GI48" s="158"/>
      <c r="GJ48" s="158"/>
      <c r="GK48" s="158"/>
      <c r="GL48" s="158"/>
      <c r="GM48" s="158"/>
      <c r="GN48" s="158"/>
      <c r="GO48" s="158"/>
      <c r="GP48" s="158"/>
      <c r="GQ48" s="158"/>
      <c r="GR48" s="158"/>
      <c r="GS48" s="158"/>
      <c r="GT48" s="158"/>
      <c r="GU48" s="158"/>
      <c r="GV48" s="158"/>
      <c r="GW48" s="158"/>
      <c r="GX48" s="158"/>
      <c r="GY48" s="158"/>
      <c r="GZ48" s="158"/>
      <c r="HA48" s="158"/>
      <c r="HB48" s="158"/>
      <c r="HC48" s="158"/>
      <c r="HD48" s="158"/>
      <c r="HE48" s="158"/>
      <c r="HF48" s="158"/>
      <c r="HG48" s="158"/>
      <c r="HH48" s="158"/>
      <c r="HI48" s="158"/>
      <c r="HJ48" s="158"/>
      <c r="HK48" s="158"/>
      <c r="HL48" s="158"/>
    </row>
    <row r="49" spans="1:220" s="80" customFormat="1" ht="14.45" customHeight="1">
      <c r="A49" s="49"/>
      <c r="B49" s="105" t="s">
        <v>296</v>
      </c>
      <c r="C49" s="162" t="s">
        <v>643</v>
      </c>
      <c r="D49" s="145">
        <f>Output_Inventory!Q4</f>
        <v>0</v>
      </c>
      <c r="E49" s="158"/>
      <c r="F49" s="158"/>
      <c r="G49" s="158"/>
      <c r="H49" s="158"/>
      <c r="I49" s="158"/>
      <c r="J49" s="158"/>
      <c r="K49" s="158"/>
      <c r="L49" s="158"/>
      <c r="M49" s="158"/>
      <c r="N49" s="158"/>
      <c r="O49" s="158"/>
      <c r="P49" s="158"/>
      <c r="Q49" s="158"/>
      <c r="R49" s="158"/>
      <c r="S49" s="158"/>
      <c r="T49" s="158"/>
      <c r="U49" s="158"/>
      <c r="V49" s="158"/>
      <c r="W49" s="158"/>
      <c r="X49" s="158"/>
      <c r="Y49" s="158"/>
      <c r="Z49" s="158"/>
      <c r="AA49" s="158"/>
      <c r="AB49" s="158"/>
      <c r="AC49" s="158"/>
      <c r="AD49" s="158"/>
      <c r="AE49" s="158"/>
      <c r="AF49" s="158"/>
      <c r="AG49" s="158"/>
      <c r="AH49" s="158"/>
      <c r="AI49" s="158"/>
      <c r="AJ49" s="158"/>
      <c r="AK49" s="158"/>
      <c r="AL49" s="158"/>
      <c r="AM49" s="158"/>
      <c r="AN49" s="158"/>
      <c r="AO49" s="158"/>
      <c r="AP49" s="158"/>
      <c r="AQ49" s="158"/>
      <c r="AR49" s="158"/>
      <c r="AS49" s="158"/>
      <c r="AT49" s="158"/>
      <c r="AU49" s="158"/>
      <c r="AV49" s="158"/>
      <c r="AW49" s="158"/>
      <c r="AX49" s="158"/>
      <c r="AY49" s="158"/>
      <c r="AZ49" s="158"/>
      <c r="BA49" s="158"/>
      <c r="BB49" s="158"/>
      <c r="BC49" s="158"/>
      <c r="BD49" s="158"/>
      <c r="BE49" s="158"/>
      <c r="BF49" s="158"/>
      <c r="BG49" s="158"/>
      <c r="BH49" s="158"/>
      <c r="BI49" s="158"/>
      <c r="BJ49" s="158"/>
      <c r="BK49" s="158"/>
      <c r="BL49" s="158"/>
      <c r="BM49" s="158"/>
      <c r="BN49" s="158"/>
      <c r="BO49" s="158"/>
      <c r="BP49" s="158"/>
      <c r="BQ49" s="158"/>
      <c r="BR49" s="158"/>
      <c r="BS49" s="158"/>
      <c r="BT49" s="158"/>
      <c r="BU49" s="158"/>
      <c r="BV49" s="158"/>
      <c r="BW49" s="158"/>
      <c r="BX49" s="158"/>
      <c r="BY49" s="158"/>
      <c r="BZ49" s="158"/>
      <c r="CA49" s="158"/>
      <c r="CB49" s="158"/>
      <c r="CC49" s="158"/>
      <c r="CD49" s="158"/>
      <c r="CE49" s="158"/>
      <c r="CF49" s="158"/>
      <c r="CG49" s="158"/>
      <c r="CH49" s="158"/>
      <c r="CI49" s="158"/>
      <c r="CJ49" s="158"/>
      <c r="CK49" s="158"/>
      <c r="CL49" s="158"/>
      <c r="CM49" s="158"/>
      <c r="CN49" s="158"/>
      <c r="CO49" s="158"/>
      <c r="CP49" s="158"/>
      <c r="CQ49" s="158"/>
      <c r="CR49" s="158"/>
      <c r="CS49" s="158"/>
      <c r="CT49" s="158"/>
      <c r="CU49" s="158"/>
      <c r="CV49" s="158"/>
      <c r="CW49" s="158"/>
      <c r="CX49" s="158"/>
      <c r="CY49" s="158"/>
      <c r="CZ49" s="158"/>
      <c r="DA49" s="158"/>
      <c r="DB49" s="158"/>
      <c r="DC49" s="158"/>
      <c r="DD49" s="158"/>
      <c r="DE49" s="158"/>
      <c r="DF49" s="158"/>
      <c r="DG49" s="158"/>
      <c r="DH49" s="158"/>
      <c r="DI49" s="158"/>
      <c r="DJ49" s="158"/>
      <c r="DK49" s="158"/>
      <c r="DL49" s="158"/>
      <c r="DM49" s="158"/>
      <c r="DN49" s="158"/>
      <c r="DO49" s="158"/>
      <c r="DP49" s="158"/>
      <c r="DQ49" s="158"/>
      <c r="DR49" s="158"/>
      <c r="DS49" s="158"/>
      <c r="DT49" s="158"/>
      <c r="DU49" s="158"/>
      <c r="DV49" s="158"/>
      <c r="DW49" s="158"/>
      <c r="DX49" s="158"/>
      <c r="DY49" s="158"/>
      <c r="DZ49" s="158"/>
      <c r="EA49" s="158"/>
      <c r="EB49" s="158"/>
      <c r="EC49" s="158"/>
      <c r="ED49" s="158"/>
      <c r="EE49" s="158"/>
      <c r="EF49" s="158"/>
      <c r="EG49" s="158"/>
      <c r="EH49" s="158"/>
      <c r="EI49" s="158"/>
      <c r="EJ49" s="158"/>
      <c r="EK49" s="158"/>
      <c r="EL49" s="158"/>
      <c r="EM49" s="158"/>
      <c r="EN49" s="158"/>
      <c r="EO49" s="158"/>
      <c r="EP49" s="158"/>
      <c r="EQ49" s="158"/>
      <c r="ER49" s="158"/>
      <c r="ES49" s="158"/>
      <c r="ET49" s="158"/>
      <c r="EU49" s="158"/>
      <c r="EV49" s="158"/>
      <c r="EW49" s="158"/>
      <c r="EX49" s="158"/>
      <c r="EY49" s="158"/>
      <c r="EZ49" s="158"/>
      <c r="FA49" s="158"/>
      <c r="FB49" s="158"/>
      <c r="FC49" s="158"/>
      <c r="FD49" s="158"/>
      <c r="FE49" s="158"/>
      <c r="FF49" s="158"/>
      <c r="FG49" s="158"/>
      <c r="FH49" s="158"/>
      <c r="FI49" s="158"/>
      <c r="FJ49" s="158"/>
      <c r="FK49" s="158"/>
      <c r="FL49" s="158"/>
      <c r="FM49" s="158"/>
      <c r="FN49" s="158"/>
      <c r="FO49" s="158"/>
      <c r="FP49" s="158"/>
      <c r="FQ49" s="158"/>
      <c r="FR49" s="158"/>
      <c r="FS49" s="158"/>
      <c r="FT49" s="158"/>
      <c r="FU49" s="158"/>
      <c r="FV49" s="158"/>
      <c r="FW49" s="158"/>
      <c r="FX49" s="158"/>
      <c r="FY49" s="158"/>
      <c r="FZ49" s="158"/>
      <c r="GA49" s="158"/>
      <c r="GB49" s="158"/>
      <c r="GC49" s="158"/>
      <c r="GD49" s="158"/>
      <c r="GE49" s="158"/>
      <c r="GF49" s="158"/>
      <c r="GG49" s="158"/>
      <c r="GH49" s="158"/>
      <c r="GI49" s="158"/>
      <c r="GJ49" s="158"/>
      <c r="GK49" s="158"/>
      <c r="GL49" s="158"/>
      <c r="GM49" s="158"/>
      <c r="GN49" s="158"/>
      <c r="GO49" s="158"/>
      <c r="GP49" s="158"/>
      <c r="GQ49" s="158"/>
      <c r="GR49" s="158"/>
      <c r="GS49" s="158"/>
      <c r="GT49" s="158"/>
      <c r="GU49" s="158"/>
      <c r="GV49" s="158"/>
      <c r="GW49" s="158"/>
      <c r="GX49" s="158"/>
      <c r="GY49" s="158"/>
      <c r="GZ49" s="158"/>
      <c r="HA49" s="158"/>
      <c r="HB49" s="158"/>
      <c r="HC49" s="158"/>
      <c r="HD49" s="158"/>
      <c r="HE49" s="158"/>
      <c r="HF49" s="158"/>
      <c r="HG49" s="158"/>
      <c r="HH49" s="158"/>
      <c r="HI49" s="158"/>
      <c r="HJ49" s="158"/>
      <c r="HK49" s="158"/>
      <c r="HL49" s="158"/>
    </row>
    <row r="50" spans="1:220" s="80" customFormat="1" ht="14.45" customHeight="1">
      <c r="A50" s="49"/>
      <c r="B50" s="105" t="s">
        <v>297</v>
      </c>
      <c r="C50" s="162" t="s">
        <v>644</v>
      </c>
      <c r="D50" s="145">
        <f>Output_Inventory!R4</f>
        <v>0</v>
      </c>
      <c r="E50" s="158"/>
      <c r="F50" s="158"/>
      <c r="G50" s="158"/>
      <c r="H50" s="158"/>
      <c r="I50" s="158"/>
      <c r="J50" s="158"/>
      <c r="K50" s="158"/>
      <c r="L50" s="158"/>
      <c r="M50" s="158"/>
      <c r="N50" s="158"/>
      <c r="O50" s="158"/>
      <c r="P50" s="158"/>
      <c r="Q50" s="158"/>
      <c r="R50" s="158"/>
      <c r="S50" s="158"/>
      <c r="T50" s="158"/>
      <c r="U50" s="158"/>
      <c r="V50" s="158"/>
      <c r="W50" s="158"/>
      <c r="X50" s="158"/>
      <c r="Y50" s="158"/>
      <c r="Z50" s="158"/>
      <c r="AA50" s="158"/>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c r="BJ50" s="158"/>
      <c r="BK50" s="158"/>
      <c r="BL50" s="158"/>
      <c r="BM50" s="158"/>
      <c r="BN50" s="158"/>
      <c r="BO50" s="158"/>
      <c r="BP50" s="158"/>
      <c r="BQ50" s="158"/>
      <c r="BR50" s="158"/>
      <c r="BS50" s="158"/>
      <c r="BT50" s="158"/>
      <c r="BU50" s="158"/>
      <c r="BV50" s="158"/>
      <c r="BW50" s="158"/>
      <c r="BX50" s="158"/>
      <c r="BY50" s="158"/>
      <c r="BZ50" s="158"/>
      <c r="CA50" s="158"/>
      <c r="CB50" s="158"/>
      <c r="CC50" s="158"/>
      <c r="CD50" s="158"/>
      <c r="CE50" s="158"/>
      <c r="CF50" s="158"/>
      <c r="CG50" s="158"/>
      <c r="CH50" s="158"/>
      <c r="CI50" s="158"/>
      <c r="CJ50" s="158"/>
      <c r="CK50" s="158"/>
      <c r="CL50" s="158"/>
      <c r="CM50" s="158"/>
      <c r="CN50" s="158"/>
      <c r="CO50" s="158"/>
      <c r="CP50" s="158"/>
      <c r="CQ50" s="158"/>
      <c r="CR50" s="158"/>
      <c r="CS50" s="158"/>
      <c r="CT50" s="158"/>
      <c r="CU50" s="158"/>
      <c r="CV50" s="158"/>
      <c r="CW50" s="158"/>
      <c r="CX50" s="158"/>
      <c r="CY50" s="158"/>
      <c r="CZ50" s="158"/>
      <c r="DA50" s="158"/>
      <c r="DB50" s="158"/>
      <c r="DC50" s="158"/>
      <c r="DD50" s="158"/>
      <c r="DE50" s="158"/>
      <c r="DF50" s="158"/>
      <c r="DG50" s="158"/>
      <c r="DH50" s="158"/>
      <c r="DI50" s="158"/>
      <c r="DJ50" s="158"/>
      <c r="DK50" s="158"/>
      <c r="DL50" s="158"/>
      <c r="DM50" s="158"/>
      <c r="DN50" s="158"/>
      <c r="DO50" s="158"/>
      <c r="DP50" s="158"/>
      <c r="DQ50" s="158"/>
      <c r="DR50" s="158"/>
      <c r="DS50" s="158"/>
      <c r="DT50" s="158"/>
      <c r="DU50" s="158"/>
      <c r="DV50" s="158"/>
      <c r="DW50" s="158"/>
      <c r="DX50" s="158"/>
      <c r="DY50" s="158"/>
      <c r="DZ50" s="158"/>
      <c r="EA50" s="158"/>
      <c r="EB50" s="158"/>
      <c r="EC50" s="158"/>
      <c r="ED50" s="158"/>
      <c r="EE50" s="158"/>
      <c r="EF50" s="158"/>
      <c r="EG50" s="158"/>
      <c r="EH50" s="158"/>
      <c r="EI50" s="158"/>
      <c r="EJ50" s="158"/>
      <c r="EK50" s="158"/>
      <c r="EL50" s="158"/>
      <c r="EM50" s="158"/>
      <c r="EN50" s="158"/>
      <c r="EO50" s="158"/>
      <c r="EP50" s="158"/>
      <c r="EQ50" s="158"/>
      <c r="ER50" s="158"/>
      <c r="ES50" s="158"/>
      <c r="ET50" s="158"/>
      <c r="EU50" s="158"/>
      <c r="EV50" s="158"/>
      <c r="EW50" s="158"/>
      <c r="EX50" s="158"/>
      <c r="EY50" s="158"/>
      <c r="EZ50" s="158"/>
      <c r="FA50" s="158"/>
      <c r="FB50" s="158"/>
      <c r="FC50" s="158"/>
      <c r="FD50" s="158"/>
      <c r="FE50" s="158"/>
      <c r="FF50" s="158"/>
      <c r="FG50" s="158"/>
      <c r="FH50" s="158"/>
      <c r="FI50" s="158"/>
      <c r="FJ50" s="158"/>
      <c r="FK50" s="158"/>
      <c r="FL50" s="158"/>
      <c r="FM50" s="158"/>
      <c r="FN50" s="158"/>
      <c r="FO50" s="158"/>
      <c r="FP50" s="158"/>
      <c r="FQ50" s="158"/>
      <c r="FR50" s="158"/>
      <c r="FS50" s="158"/>
      <c r="FT50" s="158"/>
      <c r="FU50" s="158"/>
      <c r="FV50" s="158"/>
      <c r="FW50" s="158"/>
      <c r="FX50" s="158"/>
      <c r="FY50" s="158"/>
      <c r="FZ50" s="158"/>
      <c r="GA50" s="158"/>
      <c r="GB50" s="158"/>
      <c r="GC50" s="158"/>
      <c r="GD50" s="158"/>
      <c r="GE50" s="158"/>
      <c r="GF50" s="158"/>
      <c r="GG50" s="158"/>
      <c r="GH50" s="158"/>
      <c r="GI50" s="158"/>
      <c r="GJ50" s="158"/>
      <c r="GK50" s="158"/>
      <c r="GL50" s="158"/>
      <c r="GM50" s="158"/>
      <c r="GN50" s="158"/>
      <c r="GO50" s="158"/>
      <c r="GP50" s="158"/>
      <c r="GQ50" s="158"/>
      <c r="GR50" s="158"/>
      <c r="GS50" s="158"/>
      <c r="GT50" s="158"/>
      <c r="GU50" s="158"/>
      <c r="GV50" s="158"/>
      <c r="GW50" s="158"/>
      <c r="GX50" s="158"/>
      <c r="GY50" s="158"/>
      <c r="GZ50" s="158"/>
      <c r="HA50" s="158"/>
      <c r="HB50" s="158"/>
      <c r="HC50" s="158"/>
      <c r="HD50" s="158"/>
      <c r="HE50" s="158"/>
      <c r="HF50" s="158"/>
      <c r="HG50" s="158"/>
      <c r="HH50" s="158"/>
      <c r="HI50" s="158"/>
      <c r="HJ50" s="158"/>
      <c r="HK50" s="158"/>
      <c r="HL50" s="158"/>
    </row>
    <row r="51" spans="1:220">
      <c r="A51" s="49"/>
      <c r="B51" s="105" t="s">
        <v>298</v>
      </c>
      <c r="C51" s="162" t="s">
        <v>645</v>
      </c>
      <c r="D51" s="145">
        <f>Output_Inventory!S4</f>
        <v>0</v>
      </c>
      <c r="E51" s="158"/>
      <c r="F51" s="158"/>
      <c r="G51" s="158"/>
      <c r="H51" s="158"/>
      <c r="I51" s="158"/>
      <c r="J51" s="158"/>
      <c r="K51" s="158"/>
      <c r="L51" s="158"/>
      <c r="M51" s="158"/>
      <c r="N51" s="158"/>
      <c r="O51" s="158"/>
      <c r="P51" s="158"/>
      <c r="Q51" s="158"/>
      <c r="R51" s="158"/>
      <c r="S51" s="158"/>
      <c r="T51" s="158"/>
      <c r="U51" s="158"/>
      <c r="V51" s="158"/>
      <c r="W51" s="158"/>
      <c r="X51" s="158"/>
      <c r="Y51" s="158"/>
      <c r="Z51" s="158"/>
      <c r="AA51" s="158"/>
      <c r="AB51" s="158"/>
      <c r="AC51" s="158"/>
      <c r="AD51" s="158"/>
      <c r="AE51" s="158"/>
      <c r="AF51" s="158"/>
      <c r="AG51" s="158"/>
      <c r="AH51" s="158"/>
      <c r="AI51" s="158"/>
      <c r="AJ51" s="158"/>
      <c r="AK51" s="158"/>
      <c r="AL51" s="158"/>
      <c r="AM51" s="158"/>
      <c r="AN51" s="158"/>
      <c r="AO51" s="158"/>
      <c r="AP51" s="158"/>
      <c r="AQ51" s="158"/>
      <c r="AR51" s="158"/>
      <c r="AS51" s="158"/>
      <c r="AT51" s="158"/>
      <c r="AU51" s="158"/>
      <c r="AV51" s="158"/>
      <c r="AW51" s="158"/>
      <c r="AX51" s="158"/>
      <c r="AY51" s="158"/>
      <c r="AZ51" s="158"/>
      <c r="BA51" s="158"/>
      <c r="BB51" s="158"/>
      <c r="BC51" s="158"/>
      <c r="BD51" s="158"/>
      <c r="BE51" s="158"/>
      <c r="BF51" s="158"/>
      <c r="BG51" s="158"/>
      <c r="BH51" s="158"/>
      <c r="BI51" s="158"/>
      <c r="BJ51" s="158"/>
      <c r="BK51" s="158"/>
      <c r="BL51" s="158"/>
      <c r="BM51" s="158"/>
      <c r="BN51" s="158"/>
      <c r="BO51" s="158"/>
      <c r="BP51" s="158"/>
      <c r="BQ51" s="158"/>
      <c r="BR51" s="158"/>
      <c r="BS51" s="158"/>
      <c r="BT51" s="158"/>
      <c r="BU51" s="158"/>
      <c r="BV51" s="158"/>
      <c r="BW51" s="158"/>
      <c r="BX51" s="158"/>
      <c r="BY51" s="158"/>
      <c r="BZ51" s="158"/>
      <c r="CA51" s="158"/>
      <c r="CB51" s="158"/>
      <c r="CC51" s="158"/>
      <c r="CD51" s="158"/>
      <c r="CE51" s="158"/>
      <c r="CF51" s="158"/>
      <c r="CG51" s="158"/>
      <c r="CH51" s="158"/>
      <c r="CI51" s="158"/>
      <c r="CJ51" s="158"/>
      <c r="CK51" s="158"/>
      <c r="CL51" s="158"/>
      <c r="CM51" s="158"/>
      <c r="CN51" s="158"/>
      <c r="CO51" s="158"/>
      <c r="CP51" s="158"/>
      <c r="CQ51" s="158"/>
      <c r="CR51" s="158"/>
      <c r="CS51" s="158"/>
      <c r="CT51" s="158"/>
      <c r="CU51" s="158"/>
      <c r="CV51" s="158"/>
      <c r="CW51" s="158"/>
      <c r="CX51" s="158"/>
      <c r="CY51" s="158"/>
      <c r="CZ51" s="158"/>
      <c r="DA51" s="158"/>
      <c r="DB51" s="158"/>
      <c r="DC51" s="158"/>
      <c r="DD51" s="158"/>
      <c r="DE51" s="158"/>
      <c r="DF51" s="158"/>
      <c r="DG51" s="158"/>
      <c r="DH51" s="158"/>
      <c r="DI51" s="158"/>
      <c r="DJ51" s="158"/>
      <c r="DK51" s="158"/>
      <c r="DL51" s="158"/>
      <c r="DM51" s="158"/>
      <c r="DN51" s="158"/>
      <c r="DO51" s="158"/>
      <c r="DP51" s="158"/>
      <c r="DQ51" s="158"/>
      <c r="DR51" s="158"/>
      <c r="DS51" s="158"/>
      <c r="DT51" s="158"/>
      <c r="DU51" s="158"/>
      <c r="DV51" s="158"/>
      <c r="DW51" s="158"/>
      <c r="DX51" s="158"/>
      <c r="DY51" s="158"/>
      <c r="DZ51" s="158"/>
      <c r="EA51" s="158"/>
      <c r="EB51" s="158"/>
      <c r="EC51" s="158"/>
      <c r="ED51" s="158"/>
      <c r="EE51" s="158"/>
      <c r="EF51" s="158"/>
      <c r="EG51" s="158"/>
      <c r="EH51" s="158"/>
      <c r="EI51" s="158"/>
      <c r="EJ51" s="158"/>
      <c r="EK51" s="158"/>
      <c r="EL51" s="158"/>
      <c r="EM51" s="158"/>
      <c r="EN51" s="158"/>
      <c r="EO51" s="158"/>
      <c r="EP51" s="158"/>
      <c r="EQ51" s="158"/>
      <c r="ER51" s="158"/>
      <c r="ES51" s="158"/>
      <c r="ET51" s="158"/>
      <c r="EU51" s="158"/>
      <c r="EV51" s="158"/>
      <c r="EW51" s="158"/>
      <c r="EX51" s="158"/>
      <c r="EY51" s="158"/>
      <c r="EZ51" s="158"/>
      <c r="FA51" s="158"/>
      <c r="FB51" s="158"/>
      <c r="FC51" s="158"/>
      <c r="FD51" s="158"/>
      <c r="FE51" s="158"/>
      <c r="FF51" s="158"/>
      <c r="FG51" s="158"/>
      <c r="FH51" s="158"/>
      <c r="FI51" s="158"/>
      <c r="FJ51" s="158"/>
      <c r="FK51" s="158"/>
      <c r="FL51" s="158"/>
      <c r="FM51" s="158"/>
      <c r="FN51" s="158"/>
      <c r="FO51" s="158"/>
      <c r="FP51" s="158"/>
      <c r="FQ51" s="158"/>
      <c r="FR51" s="158"/>
      <c r="FS51" s="158"/>
      <c r="FT51" s="158"/>
      <c r="FU51" s="158"/>
      <c r="FV51" s="158"/>
      <c r="FW51" s="158"/>
      <c r="FX51" s="158"/>
      <c r="FY51" s="158"/>
      <c r="FZ51" s="158"/>
      <c r="GA51" s="158"/>
      <c r="GB51" s="158"/>
      <c r="GC51" s="158"/>
      <c r="GD51" s="158"/>
      <c r="GE51" s="158"/>
      <c r="GF51" s="158"/>
      <c r="GG51" s="158"/>
      <c r="GH51" s="158"/>
      <c r="GI51" s="158"/>
      <c r="GJ51" s="158"/>
      <c r="GK51" s="158"/>
      <c r="GL51" s="158"/>
      <c r="GM51" s="158"/>
      <c r="GN51" s="158"/>
      <c r="GO51" s="158"/>
      <c r="GP51" s="158"/>
      <c r="GQ51" s="158"/>
      <c r="GR51" s="158"/>
      <c r="GS51" s="158"/>
      <c r="GT51" s="158"/>
      <c r="GU51" s="158"/>
      <c r="GV51" s="158"/>
      <c r="GW51" s="158"/>
      <c r="GX51" s="158"/>
      <c r="GY51" s="158"/>
      <c r="GZ51" s="158"/>
      <c r="HA51" s="158"/>
      <c r="HB51" s="158"/>
      <c r="HC51" s="158"/>
      <c r="HD51" s="158"/>
      <c r="HE51" s="158"/>
      <c r="HF51" s="158"/>
      <c r="HG51" s="158"/>
      <c r="HH51" s="158"/>
      <c r="HI51" s="158"/>
      <c r="HJ51" s="158"/>
      <c r="HK51" s="158"/>
      <c r="HL51" s="158"/>
    </row>
    <row r="52" spans="1:220">
      <c r="A52" s="49"/>
      <c r="B52" s="105" t="s">
        <v>299</v>
      </c>
      <c r="C52" s="162" t="s">
        <v>646</v>
      </c>
      <c r="D52" s="145">
        <f>Output_Inventory!T4</f>
        <v>0</v>
      </c>
      <c r="E52" s="158"/>
      <c r="F52" s="158"/>
      <c r="G52" s="158"/>
      <c r="H52" s="158"/>
      <c r="I52" s="158"/>
      <c r="J52" s="158"/>
      <c r="K52" s="158"/>
      <c r="L52" s="158"/>
      <c r="M52" s="158"/>
      <c r="N52" s="158"/>
      <c r="O52" s="158"/>
      <c r="P52" s="158"/>
      <c r="Q52" s="158"/>
      <c r="R52" s="158"/>
      <c r="S52" s="158"/>
      <c r="T52" s="158"/>
      <c r="U52" s="158"/>
      <c r="V52" s="158"/>
      <c r="W52" s="158"/>
      <c r="X52" s="158"/>
      <c r="Y52" s="158"/>
      <c r="Z52" s="158"/>
      <c r="AA52" s="158"/>
      <c r="AB52" s="158"/>
      <c r="AC52" s="158"/>
      <c r="AD52" s="158"/>
      <c r="AE52" s="158"/>
      <c r="AF52" s="158"/>
      <c r="AG52" s="158"/>
      <c r="AH52" s="158"/>
      <c r="AI52" s="158"/>
      <c r="AJ52" s="158"/>
      <c r="AK52" s="158"/>
      <c r="AL52" s="158"/>
      <c r="AM52" s="158"/>
      <c r="AN52" s="158"/>
      <c r="AO52" s="158"/>
      <c r="AP52" s="158"/>
      <c r="AQ52" s="158"/>
      <c r="AR52" s="158"/>
      <c r="AS52" s="158"/>
      <c r="AT52" s="158"/>
      <c r="AU52" s="158"/>
      <c r="AV52" s="158"/>
      <c r="AW52" s="158"/>
      <c r="AX52" s="158"/>
      <c r="AY52" s="158"/>
      <c r="AZ52" s="158"/>
      <c r="BA52" s="158"/>
      <c r="BB52" s="158"/>
      <c r="BC52" s="158"/>
      <c r="BD52" s="158"/>
      <c r="BE52" s="158"/>
      <c r="BF52" s="158"/>
      <c r="BG52" s="158"/>
      <c r="BH52" s="158"/>
      <c r="BI52" s="158"/>
      <c r="BJ52" s="158"/>
      <c r="BK52" s="158"/>
      <c r="BL52" s="158"/>
      <c r="BM52" s="158"/>
      <c r="BN52" s="158"/>
      <c r="BO52" s="158"/>
      <c r="BP52" s="158"/>
      <c r="BQ52" s="158"/>
      <c r="BR52" s="158"/>
      <c r="BS52" s="158"/>
      <c r="BT52" s="158"/>
      <c r="BU52" s="158"/>
      <c r="BV52" s="158"/>
      <c r="BW52" s="158"/>
      <c r="BX52" s="158"/>
      <c r="BY52" s="158"/>
      <c r="BZ52" s="158"/>
      <c r="CA52" s="158"/>
      <c r="CB52" s="158"/>
      <c r="CC52" s="158"/>
      <c r="CD52" s="158"/>
      <c r="CE52" s="158"/>
      <c r="CF52" s="158"/>
      <c r="CG52" s="158"/>
      <c r="CH52" s="158"/>
      <c r="CI52" s="158"/>
      <c r="CJ52" s="158"/>
      <c r="CK52" s="158"/>
      <c r="CL52" s="158"/>
      <c r="CM52" s="158"/>
      <c r="CN52" s="158"/>
      <c r="CO52" s="158"/>
      <c r="CP52" s="158"/>
      <c r="CQ52" s="158"/>
      <c r="CR52" s="158"/>
      <c r="CS52" s="158"/>
      <c r="CT52" s="158"/>
      <c r="CU52" s="158"/>
      <c r="CV52" s="158"/>
      <c r="CW52" s="158"/>
      <c r="CX52" s="158"/>
      <c r="CY52" s="158"/>
      <c r="CZ52" s="158"/>
      <c r="DA52" s="158"/>
      <c r="DB52" s="158"/>
      <c r="DC52" s="158"/>
      <c r="DD52" s="158"/>
      <c r="DE52" s="158"/>
      <c r="DF52" s="158"/>
      <c r="DG52" s="158"/>
      <c r="DH52" s="158"/>
      <c r="DI52" s="158"/>
      <c r="DJ52" s="158"/>
      <c r="DK52" s="158"/>
      <c r="DL52" s="158"/>
      <c r="DM52" s="158"/>
      <c r="DN52" s="158"/>
      <c r="DO52" s="158"/>
      <c r="DP52" s="158"/>
      <c r="DQ52" s="158"/>
      <c r="DR52" s="158"/>
      <c r="DS52" s="158"/>
      <c r="DT52" s="158"/>
      <c r="DU52" s="158"/>
      <c r="DV52" s="158"/>
      <c r="DW52" s="158"/>
      <c r="DX52" s="158"/>
      <c r="DY52" s="158"/>
      <c r="DZ52" s="158"/>
      <c r="EA52" s="158"/>
      <c r="EB52" s="158"/>
      <c r="EC52" s="158"/>
      <c r="ED52" s="158"/>
      <c r="EE52" s="158"/>
      <c r="EF52" s="158"/>
      <c r="EG52" s="158"/>
      <c r="EH52" s="158"/>
      <c r="EI52" s="158"/>
      <c r="EJ52" s="158"/>
      <c r="EK52" s="158"/>
      <c r="EL52" s="158"/>
      <c r="EM52" s="158"/>
      <c r="EN52" s="158"/>
      <c r="EO52" s="158"/>
      <c r="EP52" s="158"/>
      <c r="EQ52" s="158"/>
      <c r="ER52" s="158"/>
      <c r="ES52" s="158"/>
      <c r="ET52" s="158"/>
      <c r="EU52" s="158"/>
      <c r="EV52" s="158"/>
      <c r="EW52" s="158"/>
      <c r="EX52" s="158"/>
      <c r="EY52" s="158"/>
      <c r="EZ52" s="158"/>
      <c r="FA52" s="158"/>
      <c r="FB52" s="158"/>
      <c r="FC52" s="158"/>
      <c r="FD52" s="158"/>
      <c r="FE52" s="158"/>
      <c r="FF52" s="158"/>
      <c r="FG52" s="158"/>
      <c r="FH52" s="158"/>
      <c r="FI52" s="158"/>
      <c r="FJ52" s="158"/>
      <c r="FK52" s="158"/>
      <c r="FL52" s="158"/>
      <c r="FM52" s="158"/>
      <c r="FN52" s="158"/>
      <c r="FO52" s="158"/>
      <c r="FP52" s="158"/>
      <c r="FQ52" s="158"/>
      <c r="FR52" s="158"/>
      <c r="FS52" s="158"/>
      <c r="FT52" s="158"/>
      <c r="FU52" s="158"/>
      <c r="FV52" s="158"/>
      <c r="FW52" s="158"/>
      <c r="FX52" s="158"/>
      <c r="FY52" s="158"/>
      <c r="FZ52" s="158"/>
      <c r="GA52" s="158"/>
      <c r="GB52" s="158"/>
      <c r="GC52" s="158"/>
      <c r="GD52" s="158"/>
      <c r="GE52" s="158"/>
      <c r="GF52" s="158"/>
      <c r="GG52" s="158"/>
      <c r="GH52" s="158"/>
      <c r="GI52" s="158"/>
      <c r="GJ52" s="158"/>
      <c r="GK52" s="158"/>
      <c r="GL52" s="158"/>
      <c r="GM52" s="158"/>
      <c r="GN52" s="158"/>
      <c r="GO52" s="158"/>
      <c r="GP52" s="158"/>
      <c r="GQ52" s="158"/>
      <c r="GR52" s="158"/>
      <c r="GS52" s="158"/>
      <c r="GT52" s="158"/>
      <c r="GU52" s="158"/>
      <c r="GV52" s="158"/>
      <c r="GW52" s="158"/>
      <c r="GX52" s="158"/>
      <c r="GY52" s="158"/>
      <c r="GZ52" s="158"/>
      <c r="HA52" s="158"/>
      <c r="HB52" s="158"/>
      <c r="HC52" s="158"/>
      <c r="HD52" s="158"/>
      <c r="HE52" s="158"/>
      <c r="HF52" s="158"/>
      <c r="HG52" s="158"/>
      <c r="HH52" s="158"/>
      <c r="HI52" s="158"/>
      <c r="HJ52" s="158"/>
      <c r="HK52" s="158"/>
      <c r="HL52" s="158"/>
    </row>
    <row r="53" spans="1:220">
      <c r="A53" s="49"/>
      <c r="B53" s="105" t="s">
        <v>300</v>
      </c>
      <c r="C53" s="162" t="s">
        <v>647</v>
      </c>
      <c r="D53" s="145">
        <f>Output_Inventory!U4</f>
        <v>0</v>
      </c>
      <c r="E53" s="158"/>
      <c r="F53" s="158"/>
      <c r="G53" s="158"/>
      <c r="H53" s="158"/>
      <c r="I53" s="158"/>
      <c r="J53" s="158"/>
      <c r="K53" s="158"/>
      <c r="L53" s="158"/>
      <c r="M53" s="158"/>
      <c r="N53" s="158"/>
      <c r="O53" s="158"/>
      <c r="P53" s="158"/>
      <c r="Q53" s="158"/>
      <c r="R53" s="158"/>
      <c r="S53" s="158"/>
      <c r="T53" s="158"/>
      <c r="U53" s="158"/>
      <c r="V53" s="158"/>
      <c r="W53" s="158"/>
      <c r="X53" s="158"/>
      <c r="Y53" s="158"/>
      <c r="Z53" s="158"/>
      <c r="AA53" s="158"/>
      <c r="AB53" s="158"/>
      <c r="AC53" s="158"/>
      <c r="AD53" s="158"/>
      <c r="AE53" s="158"/>
      <c r="AF53" s="158"/>
      <c r="AG53" s="158"/>
      <c r="AH53" s="158"/>
      <c r="AI53" s="158"/>
      <c r="AJ53" s="158"/>
      <c r="AK53" s="158"/>
      <c r="AL53" s="158"/>
      <c r="AM53" s="158"/>
      <c r="AN53" s="158"/>
      <c r="AO53" s="158"/>
      <c r="AP53" s="158"/>
      <c r="AQ53" s="158"/>
      <c r="AR53" s="158"/>
      <c r="AS53" s="158"/>
      <c r="AT53" s="158"/>
      <c r="AU53" s="158"/>
      <c r="AV53" s="158"/>
      <c r="AW53" s="158"/>
      <c r="AX53" s="158"/>
      <c r="AY53" s="158"/>
      <c r="AZ53" s="158"/>
      <c r="BA53" s="158"/>
      <c r="BB53" s="158"/>
      <c r="BC53" s="158"/>
      <c r="BD53" s="158"/>
      <c r="BE53" s="158"/>
      <c r="BF53" s="158"/>
      <c r="BG53" s="158"/>
      <c r="BH53" s="158"/>
      <c r="BI53" s="158"/>
      <c r="BJ53" s="158"/>
      <c r="BK53" s="158"/>
      <c r="BL53" s="158"/>
      <c r="BM53" s="158"/>
      <c r="BN53" s="158"/>
      <c r="BO53" s="158"/>
      <c r="BP53" s="158"/>
      <c r="BQ53" s="158"/>
      <c r="BR53" s="158"/>
      <c r="BS53" s="158"/>
      <c r="BT53" s="158"/>
      <c r="BU53" s="158"/>
      <c r="BV53" s="158"/>
      <c r="BW53" s="158"/>
      <c r="BX53" s="158"/>
      <c r="BY53" s="158"/>
      <c r="BZ53" s="158"/>
      <c r="CA53" s="158"/>
      <c r="CB53" s="158"/>
      <c r="CC53" s="158"/>
      <c r="CD53" s="158"/>
      <c r="CE53" s="158"/>
      <c r="CF53" s="158"/>
      <c r="CG53" s="158"/>
      <c r="CH53" s="158"/>
      <c r="CI53" s="158"/>
      <c r="CJ53" s="158"/>
      <c r="CK53" s="158"/>
      <c r="CL53" s="158"/>
      <c r="CM53" s="158"/>
      <c r="CN53" s="158"/>
      <c r="CO53" s="158"/>
      <c r="CP53" s="158"/>
      <c r="CQ53" s="158"/>
      <c r="CR53" s="158"/>
      <c r="CS53" s="158"/>
      <c r="CT53" s="158"/>
      <c r="CU53" s="158"/>
      <c r="CV53" s="158"/>
      <c r="CW53" s="158"/>
      <c r="CX53" s="158"/>
      <c r="CY53" s="158"/>
      <c r="CZ53" s="158"/>
      <c r="DA53" s="158"/>
      <c r="DB53" s="158"/>
      <c r="DC53" s="158"/>
      <c r="DD53" s="158"/>
      <c r="DE53" s="158"/>
      <c r="DF53" s="158"/>
      <c r="DG53" s="158"/>
      <c r="DH53" s="158"/>
      <c r="DI53" s="158"/>
      <c r="DJ53" s="158"/>
      <c r="DK53" s="158"/>
      <c r="DL53" s="158"/>
      <c r="DM53" s="158"/>
      <c r="DN53" s="158"/>
      <c r="DO53" s="158"/>
      <c r="DP53" s="158"/>
      <c r="DQ53" s="158"/>
      <c r="DR53" s="158"/>
      <c r="DS53" s="158"/>
      <c r="DT53" s="158"/>
      <c r="DU53" s="158"/>
      <c r="DV53" s="158"/>
      <c r="DW53" s="158"/>
      <c r="DX53" s="158"/>
      <c r="DY53" s="158"/>
      <c r="DZ53" s="158"/>
      <c r="EA53" s="158"/>
      <c r="EB53" s="158"/>
      <c r="EC53" s="158"/>
      <c r="ED53" s="158"/>
      <c r="EE53" s="158"/>
      <c r="EF53" s="158"/>
      <c r="EG53" s="158"/>
      <c r="EH53" s="158"/>
      <c r="EI53" s="158"/>
      <c r="EJ53" s="158"/>
      <c r="EK53" s="158"/>
      <c r="EL53" s="158"/>
      <c r="EM53" s="158"/>
      <c r="EN53" s="158"/>
      <c r="EO53" s="158"/>
      <c r="EP53" s="158"/>
      <c r="EQ53" s="158"/>
      <c r="ER53" s="158"/>
      <c r="ES53" s="158"/>
      <c r="ET53" s="158"/>
      <c r="EU53" s="158"/>
      <c r="EV53" s="158"/>
      <c r="EW53" s="158"/>
      <c r="EX53" s="158"/>
      <c r="EY53" s="158"/>
      <c r="EZ53" s="158"/>
      <c r="FA53" s="158"/>
      <c r="FB53" s="158"/>
      <c r="FC53" s="158"/>
      <c r="FD53" s="158"/>
      <c r="FE53" s="158"/>
      <c r="FF53" s="158"/>
      <c r="FG53" s="158"/>
      <c r="FH53" s="158"/>
      <c r="FI53" s="158"/>
      <c r="FJ53" s="158"/>
      <c r="FK53" s="158"/>
      <c r="FL53" s="158"/>
      <c r="FM53" s="158"/>
      <c r="FN53" s="158"/>
      <c r="FO53" s="158"/>
      <c r="FP53" s="158"/>
      <c r="FQ53" s="158"/>
      <c r="FR53" s="158"/>
      <c r="FS53" s="158"/>
      <c r="FT53" s="158"/>
      <c r="FU53" s="158"/>
      <c r="FV53" s="158"/>
      <c r="FW53" s="158"/>
      <c r="FX53" s="158"/>
      <c r="FY53" s="158"/>
      <c r="FZ53" s="158"/>
      <c r="GA53" s="158"/>
      <c r="GB53" s="158"/>
      <c r="GC53" s="158"/>
      <c r="GD53" s="158"/>
      <c r="GE53" s="158"/>
      <c r="GF53" s="158"/>
      <c r="GG53" s="158"/>
      <c r="GH53" s="158"/>
      <c r="GI53" s="158"/>
      <c r="GJ53" s="158"/>
      <c r="GK53" s="158"/>
      <c r="GL53" s="158"/>
      <c r="GM53" s="158"/>
      <c r="GN53" s="158"/>
      <c r="GO53" s="158"/>
      <c r="GP53" s="158"/>
      <c r="GQ53" s="158"/>
      <c r="GR53" s="158"/>
      <c r="GS53" s="158"/>
      <c r="GT53" s="158"/>
      <c r="GU53" s="158"/>
      <c r="GV53" s="158"/>
      <c r="GW53" s="158"/>
      <c r="GX53" s="158"/>
      <c r="GY53" s="158"/>
      <c r="GZ53" s="158"/>
      <c r="HA53" s="158"/>
      <c r="HB53" s="158"/>
      <c r="HC53" s="158"/>
      <c r="HD53" s="158"/>
      <c r="HE53" s="158"/>
      <c r="HF53" s="158"/>
      <c r="HG53" s="158"/>
      <c r="HH53" s="158"/>
      <c r="HI53" s="158"/>
      <c r="HJ53" s="158"/>
      <c r="HK53" s="158"/>
      <c r="HL53" s="158"/>
    </row>
    <row r="54" spans="1:220">
      <c r="A54" s="49"/>
      <c r="B54" s="105" t="s">
        <v>301</v>
      </c>
      <c r="C54" s="162" t="s">
        <v>648</v>
      </c>
      <c r="D54" s="145">
        <f>Output_Inventory!V4</f>
        <v>0</v>
      </c>
      <c r="E54" s="158"/>
      <c r="F54" s="158"/>
      <c r="G54" s="158"/>
      <c r="H54" s="158"/>
      <c r="I54" s="158"/>
      <c r="J54" s="158"/>
      <c r="K54" s="158"/>
      <c r="L54" s="158"/>
      <c r="M54" s="158"/>
      <c r="N54" s="158"/>
      <c r="O54" s="158"/>
      <c r="P54" s="158"/>
      <c r="Q54" s="158"/>
      <c r="R54" s="158"/>
      <c r="S54" s="158"/>
      <c r="T54" s="158"/>
      <c r="U54" s="158"/>
      <c r="V54" s="158"/>
      <c r="W54" s="158"/>
      <c r="X54" s="158"/>
      <c r="Y54" s="158"/>
      <c r="Z54" s="158"/>
      <c r="AA54" s="158"/>
      <c r="AB54" s="158"/>
      <c r="AC54" s="158"/>
      <c r="AD54" s="158"/>
      <c r="AE54" s="158"/>
      <c r="AF54" s="158"/>
      <c r="AG54" s="158"/>
      <c r="AH54" s="158"/>
      <c r="AI54" s="158"/>
      <c r="AJ54" s="158"/>
      <c r="AK54" s="158"/>
      <c r="AL54" s="158"/>
      <c r="AM54" s="158"/>
      <c r="AN54" s="158"/>
      <c r="AO54" s="158"/>
      <c r="AP54" s="158"/>
      <c r="AQ54" s="158"/>
      <c r="AR54" s="158"/>
      <c r="AS54" s="158"/>
      <c r="AT54" s="158"/>
      <c r="AU54" s="158"/>
      <c r="AV54" s="158"/>
      <c r="AW54" s="158"/>
      <c r="AX54" s="158"/>
      <c r="AY54" s="158"/>
      <c r="AZ54" s="158"/>
      <c r="BA54" s="158"/>
      <c r="BB54" s="158"/>
      <c r="BC54" s="158"/>
      <c r="BD54" s="158"/>
      <c r="BE54" s="158"/>
      <c r="BF54" s="158"/>
      <c r="BG54" s="158"/>
      <c r="BH54" s="158"/>
      <c r="BI54" s="158"/>
      <c r="BJ54" s="158"/>
      <c r="BK54" s="158"/>
      <c r="BL54" s="158"/>
      <c r="BM54" s="158"/>
      <c r="BN54" s="158"/>
      <c r="BO54" s="158"/>
      <c r="BP54" s="158"/>
      <c r="BQ54" s="158"/>
      <c r="BR54" s="158"/>
      <c r="BS54" s="158"/>
      <c r="BT54" s="158"/>
      <c r="BU54" s="158"/>
      <c r="BV54" s="158"/>
      <c r="BW54" s="158"/>
      <c r="BX54" s="158"/>
      <c r="BY54" s="158"/>
      <c r="BZ54" s="158"/>
      <c r="CA54" s="158"/>
      <c r="CB54" s="158"/>
      <c r="CC54" s="158"/>
      <c r="CD54" s="158"/>
      <c r="CE54" s="158"/>
      <c r="CF54" s="158"/>
      <c r="CG54" s="158"/>
      <c r="CH54" s="158"/>
      <c r="CI54" s="158"/>
      <c r="CJ54" s="158"/>
      <c r="CK54" s="158"/>
      <c r="CL54" s="158"/>
      <c r="CM54" s="158"/>
      <c r="CN54" s="158"/>
      <c r="CO54" s="158"/>
      <c r="CP54" s="158"/>
      <c r="CQ54" s="158"/>
      <c r="CR54" s="158"/>
      <c r="CS54" s="158"/>
      <c r="CT54" s="158"/>
      <c r="CU54" s="158"/>
      <c r="CV54" s="158"/>
      <c r="CW54" s="158"/>
      <c r="CX54" s="158"/>
      <c r="CY54" s="158"/>
      <c r="CZ54" s="158"/>
      <c r="DA54" s="158"/>
      <c r="DB54" s="158"/>
      <c r="DC54" s="158"/>
      <c r="DD54" s="158"/>
      <c r="DE54" s="158"/>
      <c r="DF54" s="158"/>
      <c r="DG54" s="158"/>
      <c r="DH54" s="158"/>
      <c r="DI54" s="158"/>
      <c r="DJ54" s="158"/>
      <c r="DK54" s="158"/>
      <c r="DL54" s="158"/>
      <c r="DM54" s="158"/>
      <c r="DN54" s="158"/>
      <c r="DO54" s="158"/>
      <c r="DP54" s="158"/>
      <c r="DQ54" s="158"/>
      <c r="DR54" s="158"/>
      <c r="DS54" s="158"/>
      <c r="DT54" s="158"/>
      <c r="DU54" s="158"/>
      <c r="DV54" s="158"/>
      <c r="DW54" s="158"/>
      <c r="DX54" s="158"/>
      <c r="DY54" s="158"/>
      <c r="DZ54" s="158"/>
      <c r="EA54" s="158"/>
      <c r="EB54" s="158"/>
      <c r="EC54" s="158"/>
      <c r="ED54" s="158"/>
      <c r="EE54" s="158"/>
      <c r="EF54" s="158"/>
      <c r="EG54" s="158"/>
      <c r="EH54" s="158"/>
      <c r="EI54" s="158"/>
      <c r="EJ54" s="158"/>
      <c r="EK54" s="158"/>
      <c r="EL54" s="158"/>
      <c r="EM54" s="158"/>
      <c r="EN54" s="158"/>
      <c r="EO54" s="158"/>
      <c r="EP54" s="158"/>
      <c r="EQ54" s="158"/>
      <c r="ER54" s="158"/>
      <c r="ES54" s="158"/>
      <c r="ET54" s="158"/>
      <c r="EU54" s="158"/>
      <c r="EV54" s="158"/>
      <c r="EW54" s="158"/>
      <c r="EX54" s="158"/>
      <c r="EY54" s="158"/>
      <c r="EZ54" s="158"/>
      <c r="FA54" s="158"/>
      <c r="FB54" s="158"/>
      <c r="FC54" s="158"/>
      <c r="FD54" s="158"/>
      <c r="FE54" s="158"/>
      <c r="FF54" s="158"/>
      <c r="FG54" s="158"/>
      <c r="FH54" s="158"/>
      <c r="FI54" s="158"/>
      <c r="FJ54" s="158"/>
      <c r="FK54" s="158"/>
      <c r="FL54" s="158"/>
      <c r="FM54" s="158"/>
      <c r="FN54" s="158"/>
      <c r="FO54" s="158"/>
      <c r="FP54" s="158"/>
      <c r="FQ54" s="158"/>
      <c r="FR54" s="158"/>
      <c r="FS54" s="158"/>
      <c r="FT54" s="158"/>
      <c r="FU54" s="158"/>
      <c r="FV54" s="158"/>
      <c r="FW54" s="158"/>
      <c r="FX54" s="158"/>
      <c r="FY54" s="158"/>
      <c r="FZ54" s="158"/>
      <c r="GA54" s="158"/>
      <c r="GB54" s="158"/>
      <c r="GC54" s="158"/>
      <c r="GD54" s="158"/>
      <c r="GE54" s="158"/>
      <c r="GF54" s="158"/>
      <c r="GG54" s="158"/>
      <c r="GH54" s="158"/>
      <c r="GI54" s="158"/>
      <c r="GJ54" s="158"/>
      <c r="GK54" s="158"/>
      <c r="GL54" s="158"/>
      <c r="GM54" s="158"/>
      <c r="GN54" s="158"/>
      <c r="GO54" s="158"/>
      <c r="GP54" s="158"/>
      <c r="GQ54" s="158"/>
      <c r="GR54" s="158"/>
      <c r="GS54" s="158"/>
      <c r="GT54" s="158"/>
      <c r="GU54" s="158"/>
      <c r="GV54" s="158"/>
      <c r="GW54" s="158"/>
      <c r="GX54" s="158"/>
      <c r="GY54" s="158"/>
      <c r="GZ54" s="158"/>
      <c r="HA54" s="158"/>
      <c r="HB54" s="158"/>
      <c r="HC54" s="158"/>
      <c r="HD54" s="158"/>
      <c r="HE54" s="158"/>
      <c r="HF54" s="158"/>
      <c r="HG54" s="158"/>
      <c r="HH54" s="158"/>
      <c r="HI54" s="158"/>
      <c r="HJ54" s="158"/>
      <c r="HK54" s="158"/>
      <c r="HL54" s="158"/>
    </row>
    <row r="55" spans="1:220">
      <c r="A55" s="49"/>
      <c r="B55" s="105" t="s">
        <v>302</v>
      </c>
      <c r="C55" s="162" t="s">
        <v>649</v>
      </c>
      <c r="D55" s="145">
        <f>Output_Inventory!W4</f>
        <v>0</v>
      </c>
      <c r="E55" s="158"/>
      <c r="F55" s="158"/>
      <c r="G55" s="158"/>
      <c r="H55" s="158"/>
      <c r="I55" s="158"/>
      <c r="J55" s="158"/>
      <c r="K55" s="158"/>
      <c r="L55" s="158"/>
      <c r="M55" s="158"/>
      <c r="N55" s="158"/>
      <c r="O55" s="158"/>
      <c r="P55" s="158"/>
      <c r="Q55" s="158"/>
      <c r="R55" s="158"/>
      <c r="S55" s="158"/>
      <c r="T55" s="158"/>
      <c r="U55" s="158"/>
      <c r="V55" s="158"/>
      <c r="W55" s="158"/>
      <c r="X55" s="158"/>
      <c r="Y55" s="158"/>
      <c r="Z55" s="158"/>
      <c r="AA55" s="158"/>
      <c r="AB55" s="158"/>
      <c r="AC55" s="158"/>
      <c r="AD55" s="158"/>
      <c r="AE55" s="158"/>
      <c r="AF55" s="158"/>
      <c r="AG55" s="158"/>
      <c r="AH55" s="158"/>
      <c r="AI55" s="158"/>
      <c r="AJ55" s="158"/>
      <c r="AK55" s="158"/>
      <c r="AL55" s="158"/>
      <c r="AM55" s="158"/>
      <c r="AN55" s="158"/>
      <c r="AO55" s="158"/>
      <c r="AP55" s="158"/>
      <c r="AQ55" s="158"/>
      <c r="AR55" s="158"/>
      <c r="AS55" s="158"/>
      <c r="AT55" s="158"/>
      <c r="AU55" s="158"/>
      <c r="AV55" s="158"/>
      <c r="AW55" s="158"/>
      <c r="AX55" s="158"/>
      <c r="AY55" s="158"/>
      <c r="AZ55" s="158"/>
      <c r="BA55" s="158"/>
      <c r="BB55" s="158"/>
      <c r="BC55" s="158"/>
      <c r="BD55" s="158"/>
      <c r="BE55" s="158"/>
      <c r="BF55" s="158"/>
      <c r="BG55" s="158"/>
      <c r="BH55" s="158"/>
      <c r="BI55" s="158"/>
      <c r="BJ55" s="158"/>
      <c r="BK55" s="158"/>
      <c r="BL55" s="158"/>
      <c r="BM55" s="158"/>
      <c r="BN55" s="158"/>
      <c r="BO55" s="158"/>
      <c r="BP55" s="158"/>
      <c r="BQ55" s="158"/>
      <c r="BR55" s="158"/>
      <c r="BS55" s="158"/>
      <c r="BT55" s="158"/>
      <c r="BU55" s="158"/>
      <c r="BV55" s="158"/>
      <c r="BW55" s="158"/>
      <c r="BX55" s="158"/>
      <c r="BY55" s="158"/>
      <c r="BZ55" s="158"/>
      <c r="CA55" s="158"/>
      <c r="CB55" s="158"/>
      <c r="CC55" s="158"/>
      <c r="CD55" s="158"/>
      <c r="CE55" s="158"/>
      <c r="CF55" s="158"/>
      <c r="CG55" s="158"/>
      <c r="CH55" s="158"/>
      <c r="CI55" s="158"/>
      <c r="CJ55" s="158"/>
      <c r="CK55" s="158"/>
      <c r="CL55" s="158"/>
      <c r="CM55" s="158"/>
      <c r="CN55" s="158"/>
      <c r="CO55" s="158"/>
      <c r="CP55" s="158"/>
      <c r="CQ55" s="158"/>
      <c r="CR55" s="158"/>
      <c r="CS55" s="158"/>
      <c r="CT55" s="158"/>
      <c r="CU55" s="158"/>
      <c r="CV55" s="158"/>
      <c r="CW55" s="158"/>
      <c r="CX55" s="158"/>
      <c r="CY55" s="158"/>
      <c r="CZ55" s="158"/>
      <c r="DA55" s="158"/>
      <c r="DB55" s="158"/>
      <c r="DC55" s="158"/>
      <c r="DD55" s="158"/>
      <c r="DE55" s="158"/>
      <c r="DF55" s="158"/>
      <c r="DG55" s="158"/>
      <c r="DH55" s="158"/>
      <c r="DI55" s="158"/>
      <c r="DJ55" s="158"/>
      <c r="DK55" s="158"/>
      <c r="DL55" s="158"/>
      <c r="DM55" s="158"/>
      <c r="DN55" s="158"/>
      <c r="DO55" s="158"/>
      <c r="DP55" s="158"/>
      <c r="DQ55" s="158"/>
      <c r="DR55" s="158"/>
      <c r="DS55" s="158"/>
      <c r="DT55" s="158"/>
      <c r="DU55" s="158"/>
      <c r="DV55" s="158"/>
      <c r="DW55" s="158"/>
      <c r="DX55" s="158"/>
      <c r="DY55" s="158"/>
      <c r="DZ55" s="158"/>
      <c r="EA55" s="158"/>
      <c r="EB55" s="158"/>
      <c r="EC55" s="158"/>
      <c r="ED55" s="158"/>
      <c r="EE55" s="158"/>
      <c r="EF55" s="158"/>
      <c r="EG55" s="158"/>
      <c r="EH55" s="158"/>
      <c r="EI55" s="158"/>
      <c r="EJ55" s="158"/>
      <c r="EK55" s="158"/>
      <c r="EL55" s="158"/>
      <c r="EM55" s="158"/>
      <c r="EN55" s="158"/>
      <c r="EO55" s="158"/>
      <c r="EP55" s="158"/>
      <c r="EQ55" s="158"/>
      <c r="ER55" s="158"/>
      <c r="ES55" s="158"/>
      <c r="ET55" s="158"/>
      <c r="EU55" s="158"/>
      <c r="EV55" s="158"/>
      <c r="EW55" s="158"/>
      <c r="EX55" s="158"/>
      <c r="EY55" s="158"/>
      <c r="EZ55" s="158"/>
      <c r="FA55" s="158"/>
      <c r="FB55" s="158"/>
      <c r="FC55" s="158"/>
      <c r="FD55" s="158"/>
      <c r="FE55" s="158"/>
      <c r="FF55" s="158"/>
      <c r="FG55" s="158"/>
      <c r="FH55" s="158"/>
      <c r="FI55" s="158"/>
      <c r="FJ55" s="158"/>
      <c r="FK55" s="158"/>
      <c r="FL55" s="158"/>
      <c r="FM55" s="158"/>
      <c r="FN55" s="158"/>
      <c r="FO55" s="158"/>
      <c r="FP55" s="158"/>
      <c r="FQ55" s="158"/>
      <c r="FR55" s="158"/>
      <c r="FS55" s="158"/>
      <c r="FT55" s="158"/>
      <c r="FU55" s="158"/>
      <c r="FV55" s="158"/>
      <c r="FW55" s="158"/>
      <c r="FX55" s="158"/>
      <c r="FY55" s="158"/>
      <c r="FZ55" s="158"/>
      <c r="GA55" s="158"/>
      <c r="GB55" s="158"/>
      <c r="GC55" s="158"/>
      <c r="GD55" s="158"/>
      <c r="GE55" s="158"/>
      <c r="GF55" s="158"/>
      <c r="GG55" s="158"/>
      <c r="GH55" s="158"/>
      <c r="GI55" s="158"/>
      <c r="GJ55" s="158"/>
      <c r="GK55" s="158"/>
      <c r="GL55" s="158"/>
      <c r="GM55" s="158"/>
      <c r="GN55" s="158"/>
      <c r="GO55" s="158"/>
      <c r="GP55" s="158"/>
      <c r="GQ55" s="158"/>
      <c r="GR55" s="158"/>
      <c r="GS55" s="158"/>
      <c r="GT55" s="158"/>
      <c r="GU55" s="158"/>
      <c r="GV55" s="158"/>
      <c r="GW55" s="158"/>
      <c r="GX55" s="158"/>
      <c r="GY55" s="158"/>
      <c r="GZ55" s="158"/>
      <c r="HA55" s="158"/>
      <c r="HB55" s="158"/>
      <c r="HC55" s="158"/>
      <c r="HD55" s="158"/>
      <c r="HE55" s="158"/>
      <c r="HF55" s="158"/>
      <c r="HG55" s="158"/>
      <c r="HH55" s="158"/>
      <c r="HI55" s="158"/>
      <c r="HJ55" s="158"/>
      <c r="HK55" s="158"/>
      <c r="HL55" s="158"/>
    </row>
    <row r="56" spans="1:220">
      <c r="A56" s="49"/>
      <c r="B56" s="105" t="s">
        <v>303</v>
      </c>
      <c r="C56" s="162" t="s">
        <v>650</v>
      </c>
      <c r="D56" s="145">
        <f>Output_Inventory!Z4</f>
        <v>0</v>
      </c>
      <c r="E56" s="158"/>
      <c r="F56" s="158"/>
      <c r="G56" s="158"/>
      <c r="H56" s="158"/>
      <c r="I56" s="158"/>
      <c r="J56" s="158"/>
      <c r="K56" s="158"/>
      <c r="L56" s="158"/>
      <c r="M56" s="158"/>
      <c r="N56" s="158"/>
      <c r="O56" s="158"/>
      <c r="P56" s="158"/>
      <c r="Q56" s="158"/>
      <c r="R56" s="158"/>
      <c r="S56" s="158"/>
      <c r="T56" s="158"/>
      <c r="U56" s="158"/>
      <c r="V56" s="158"/>
      <c r="W56" s="158"/>
      <c r="X56" s="158"/>
      <c r="Y56" s="158"/>
      <c r="Z56" s="158"/>
      <c r="AA56" s="158"/>
      <c r="AB56" s="158"/>
      <c r="AC56" s="158"/>
      <c r="AD56" s="158"/>
      <c r="AE56" s="158"/>
      <c r="AF56" s="158"/>
      <c r="AG56" s="158"/>
      <c r="AH56" s="158"/>
      <c r="AI56" s="158"/>
      <c r="AJ56" s="158"/>
      <c r="AK56" s="158"/>
      <c r="AL56" s="158"/>
      <c r="AM56" s="158"/>
      <c r="AN56" s="158"/>
      <c r="AO56" s="158"/>
      <c r="AP56" s="158"/>
      <c r="AQ56" s="158"/>
      <c r="AR56" s="158"/>
      <c r="AS56" s="158"/>
      <c r="AT56" s="158"/>
      <c r="AU56" s="158"/>
      <c r="AV56" s="158"/>
      <c r="AW56" s="158"/>
      <c r="AX56" s="158"/>
      <c r="AY56" s="158"/>
      <c r="AZ56" s="158"/>
      <c r="BA56" s="158"/>
      <c r="BB56" s="158"/>
      <c r="BC56" s="158"/>
      <c r="BD56" s="158"/>
      <c r="BE56" s="158"/>
      <c r="BF56" s="158"/>
      <c r="BG56" s="158"/>
      <c r="BH56" s="158"/>
      <c r="BI56" s="158"/>
      <c r="BJ56" s="158"/>
      <c r="BK56" s="158"/>
      <c r="BL56" s="158"/>
      <c r="BM56" s="158"/>
      <c r="BN56" s="158"/>
      <c r="BO56" s="158"/>
      <c r="BP56" s="158"/>
      <c r="BQ56" s="158"/>
      <c r="BR56" s="158"/>
      <c r="BS56" s="158"/>
      <c r="BT56" s="158"/>
      <c r="BU56" s="158"/>
      <c r="BV56" s="158"/>
      <c r="BW56" s="158"/>
      <c r="BX56" s="158"/>
      <c r="BY56" s="158"/>
      <c r="BZ56" s="158"/>
      <c r="CA56" s="158"/>
      <c r="CB56" s="158"/>
      <c r="CC56" s="158"/>
      <c r="CD56" s="158"/>
      <c r="CE56" s="158"/>
      <c r="CF56" s="158"/>
      <c r="CG56" s="158"/>
      <c r="CH56" s="158"/>
      <c r="CI56" s="158"/>
      <c r="CJ56" s="158"/>
      <c r="CK56" s="158"/>
      <c r="CL56" s="158"/>
      <c r="CM56" s="158"/>
      <c r="CN56" s="158"/>
      <c r="CO56" s="158"/>
      <c r="CP56" s="158"/>
      <c r="CQ56" s="158"/>
      <c r="CR56" s="158"/>
      <c r="CS56" s="158"/>
      <c r="CT56" s="158"/>
      <c r="CU56" s="158"/>
      <c r="CV56" s="158"/>
      <c r="CW56" s="158"/>
      <c r="CX56" s="158"/>
      <c r="CY56" s="158"/>
      <c r="CZ56" s="158"/>
      <c r="DA56" s="158"/>
      <c r="DB56" s="158"/>
      <c r="DC56" s="158"/>
      <c r="DD56" s="158"/>
      <c r="DE56" s="158"/>
      <c r="DF56" s="158"/>
      <c r="DG56" s="158"/>
      <c r="DH56" s="158"/>
      <c r="DI56" s="158"/>
      <c r="DJ56" s="158"/>
      <c r="DK56" s="158"/>
      <c r="DL56" s="158"/>
      <c r="DM56" s="158"/>
      <c r="DN56" s="158"/>
      <c r="DO56" s="158"/>
      <c r="DP56" s="158"/>
      <c r="DQ56" s="158"/>
      <c r="DR56" s="158"/>
      <c r="DS56" s="158"/>
      <c r="DT56" s="158"/>
      <c r="DU56" s="158"/>
      <c r="DV56" s="158"/>
      <c r="DW56" s="158"/>
      <c r="DX56" s="158"/>
      <c r="DY56" s="158"/>
      <c r="DZ56" s="158"/>
      <c r="EA56" s="158"/>
      <c r="EB56" s="158"/>
      <c r="EC56" s="158"/>
      <c r="ED56" s="158"/>
      <c r="EE56" s="158"/>
      <c r="EF56" s="158"/>
      <c r="EG56" s="158"/>
      <c r="EH56" s="158"/>
      <c r="EI56" s="158"/>
      <c r="EJ56" s="158"/>
      <c r="EK56" s="158"/>
      <c r="EL56" s="158"/>
      <c r="EM56" s="158"/>
      <c r="EN56" s="158"/>
      <c r="EO56" s="158"/>
      <c r="EP56" s="158"/>
      <c r="EQ56" s="158"/>
      <c r="ER56" s="158"/>
      <c r="ES56" s="158"/>
      <c r="ET56" s="158"/>
      <c r="EU56" s="158"/>
      <c r="EV56" s="158"/>
      <c r="EW56" s="158"/>
      <c r="EX56" s="158"/>
      <c r="EY56" s="158"/>
      <c r="EZ56" s="158"/>
      <c r="FA56" s="158"/>
      <c r="FB56" s="158"/>
      <c r="FC56" s="158"/>
      <c r="FD56" s="158"/>
      <c r="FE56" s="158"/>
      <c r="FF56" s="158"/>
      <c r="FG56" s="158"/>
      <c r="FH56" s="158"/>
      <c r="FI56" s="158"/>
      <c r="FJ56" s="158"/>
      <c r="FK56" s="158"/>
      <c r="FL56" s="158"/>
      <c r="FM56" s="158"/>
      <c r="FN56" s="158"/>
      <c r="FO56" s="158"/>
      <c r="FP56" s="158"/>
      <c r="FQ56" s="158"/>
      <c r="FR56" s="158"/>
      <c r="FS56" s="158"/>
      <c r="FT56" s="158"/>
      <c r="FU56" s="158"/>
      <c r="FV56" s="158"/>
      <c r="FW56" s="158"/>
      <c r="FX56" s="158"/>
      <c r="FY56" s="158"/>
      <c r="FZ56" s="158"/>
      <c r="GA56" s="158"/>
      <c r="GB56" s="158"/>
      <c r="GC56" s="158"/>
      <c r="GD56" s="158"/>
      <c r="GE56" s="158"/>
      <c r="GF56" s="158"/>
      <c r="GG56" s="158"/>
      <c r="GH56" s="158"/>
      <c r="GI56" s="158"/>
      <c r="GJ56" s="158"/>
      <c r="GK56" s="158"/>
      <c r="GL56" s="158"/>
      <c r="GM56" s="158"/>
      <c r="GN56" s="158"/>
      <c r="GO56" s="158"/>
      <c r="GP56" s="158"/>
      <c r="GQ56" s="158"/>
      <c r="GR56" s="158"/>
      <c r="GS56" s="158"/>
      <c r="GT56" s="158"/>
      <c r="GU56" s="158"/>
      <c r="GV56" s="158"/>
      <c r="GW56" s="158"/>
      <c r="GX56" s="158"/>
      <c r="GY56" s="158"/>
      <c r="GZ56" s="158"/>
      <c r="HA56" s="158"/>
      <c r="HB56" s="158"/>
      <c r="HC56" s="158"/>
      <c r="HD56" s="158"/>
      <c r="HE56" s="158"/>
      <c r="HF56" s="158"/>
      <c r="HG56" s="158"/>
      <c r="HH56" s="158"/>
      <c r="HI56" s="158"/>
      <c r="HJ56" s="158"/>
      <c r="HK56" s="158"/>
      <c r="HL56" s="158"/>
    </row>
    <row r="57" spans="1:220">
      <c r="A57" s="49"/>
      <c r="B57" s="105" t="s">
        <v>304</v>
      </c>
      <c r="C57" s="162" t="s">
        <v>651</v>
      </c>
      <c r="D57" s="145">
        <f>Output_Inventory!AA4</f>
        <v>0</v>
      </c>
      <c r="E57" s="158"/>
      <c r="F57" s="158"/>
      <c r="G57" s="158"/>
      <c r="H57" s="158"/>
      <c r="I57" s="158"/>
      <c r="J57" s="158"/>
      <c r="K57" s="158"/>
      <c r="L57" s="158"/>
      <c r="M57" s="158"/>
      <c r="N57" s="158"/>
      <c r="O57" s="158"/>
      <c r="P57" s="158"/>
      <c r="Q57" s="158"/>
      <c r="R57" s="158"/>
      <c r="S57" s="158"/>
      <c r="T57" s="158"/>
      <c r="U57" s="158"/>
      <c r="V57" s="158"/>
      <c r="W57" s="158"/>
      <c r="X57" s="158"/>
      <c r="Y57" s="158"/>
      <c r="Z57" s="158"/>
      <c r="AA57" s="158"/>
      <c r="AB57" s="158"/>
      <c r="AC57" s="158"/>
      <c r="AD57" s="158"/>
      <c r="AE57" s="158"/>
      <c r="AF57" s="158"/>
      <c r="AG57" s="158"/>
      <c r="AH57" s="158"/>
      <c r="AI57" s="158"/>
      <c r="AJ57" s="158"/>
      <c r="AK57" s="158"/>
      <c r="AL57" s="158"/>
      <c r="AM57" s="158"/>
      <c r="AN57" s="158"/>
      <c r="AO57" s="158"/>
      <c r="AP57" s="158"/>
      <c r="AQ57" s="158"/>
      <c r="AR57" s="158"/>
      <c r="AS57" s="158"/>
      <c r="AT57" s="158"/>
      <c r="AU57" s="158"/>
      <c r="AV57" s="158"/>
      <c r="AW57" s="158"/>
      <c r="AX57" s="158"/>
      <c r="AY57" s="158"/>
      <c r="AZ57" s="158"/>
      <c r="BA57" s="158"/>
      <c r="BB57" s="158"/>
      <c r="BC57" s="158"/>
      <c r="BD57" s="158"/>
      <c r="BE57" s="158"/>
      <c r="BF57" s="158"/>
      <c r="BG57" s="158"/>
      <c r="BH57" s="158"/>
      <c r="BI57" s="158"/>
      <c r="BJ57" s="158"/>
      <c r="BK57" s="158"/>
      <c r="BL57" s="158"/>
      <c r="BM57" s="158"/>
      <c r="BN57" s="158"/>
      <c r="BO57" s="158"/>
      <c r="BP57" s="158"/>
      <c r="BQ57" s="158"/>
      <c r="BR57" s="158"/>
      <c r="BS57" s="158"/>
      <c r="BT57" s="158"/>
      <c r="BU57" s="158"/>
      <c r="BV57" s="158"/>
      <c r="BW57" s="158"/>
      <c r="BX57" s="158"/>
      <c r="BY57" s="158"/>
      <c r="BZ57" s="158"/>
      <c r="CA57" s="158"/>
      <c r="CB57" s="158"/>
      <c r="CC57" s="158"/>
      <c r="CD57" s="158"/>
      <c r="CE57" s="158"/>
      <c r="CF57" s="158"/>
      <c r="CG57" s="158"/>
      <c r="CH57" s="158"/>
      <c r="CI57" s="158"/>
      <c r="CJ57" s="158"/>
      <c r="CK57" s="158"/>
      <c r="CL57" s="158"/>
      <c r="CM57" s="158"/>
      <c r="CN57" s="158"/>
      <c r="CO57" s="158"/>
      <c r="CP57" s="158"/>
      <c r="CQ57" s="158"/>
      <c r="CR57" s="158"/>
      <c r="CS57" s="158"/>
      <c r="CT57" s="158"/>
      <c r="CU57" s="158"/>
      <c r="CV57" s="158"/>
      <c r="CW57" s="158"/>
      <c r="CX57" s="158"/>
      <c r="CY57" s="158"/>
      <c r="CZ57" s="158"/>
      <c r="DA57" s="158"/>
      <c r="DB57" s="158"/>
      <c r="DC57" s="158"/>
      <c r="DD57" s="158"/>
      <c r="DE57" s="158"/>
      <c r="DF57" s="158"/>
      <c r="DG57" s="158"/>
      <c r="DH57" s="158"/>
      <c r="DI57" s="158"/>
      <c r="DJ57" s="158"/>
      <c r="DK57" s="158"/>
      <c r="DL57" s="158"/>
      <c r="DM57" s="158"/>
      <c r="DN57" s="158"/>
      <c r="DO57" s="158"/>
      <c r="DP57" s="158"/>
      <c r="DQ57" s="158"/>
      <c r="DR57" s="158"/>
      <c r="DS57" s="158"/>
      <c r="DT57" s="158"/>
      <c r="DU57" s="158"/>
      <c r="DV57" s="158"/>
      <c r="DW57" s="158"/>
      <c r="DX57" s="158"/>
      <c r="DY57" s="158"/>
      <c r="DZ57" s="158"/>
      <c r="EA57" s="158"/>
      <c r="EB57" s="158"/>
      <c r="EC57" s="158"/>
      <c r="ED57" s="158"/>
      <c r="EE57" s="158"/>
      <c r="EF57" s="158"/>
      <c r="EG57" s="158"/>
      <c r="EH57" s="158"/>
      <c r="EI57" s="158"/>
      <c r="EJ57" s="158"/>
      <c r="EK57" s="158"/>
      <c r="EL57" s="158"/>
      <c r="EM57" s="158"/>
      <c r="EN57" s="158"/>
      <c r="EO57" s="158"/>
      <c r="EP57" s="158"/>
      <c r="EQ57" s="158"/>
      <c r="ER57" s="158"/>
      <c r="ES57" s="158"/>
      <c r="ET57" s="158"/>
      <c r="EU57" s="158"/>
      <c r="EV57" s="158"/>
      <c r="EW57" s="158"/>
      <c r="EX57" s="158"/>
      <c r="EY57" s="158"/>
      <c r="EZ57" s="158"/>
      <c r="FA57" s="158"/>
      <c r="FB57" s="158"/>
      <c r="FC57" s="158"/>
      <c r="FD57" s="158"/>
      <c r="FE57" s="158"/>
      <c r="FF57" s="158"/>
      <c r="FG57" s="158"/>
      <c r="FH57" s="158"/>
      <c r="FI57" s="158"/>
      <c r="FJ57" s="158"/>
      <c r="FK57" s="158"/>
      <c r="FL57" s="158"/>
      <c r="FM57" s="158"/>
      <c r="FN57" s="158"/>
      <c r="FO57" s="158"/>
      <c r="FP57" s="158"/>
      <c r="FQ57" s="158"/>
      <c r="FR57" s="158"/>
      <c r="FS57" s="158"/>
      <c r="FT57" s="158"/>
      <c r="FU57" s="158"/>
      <c r="FV57" s="158"/>
      <c r="FW57" s="158"/>
      <c r="FX57" s="158"/>
      <c r="FY57" s="158"/>
      <c r="FZ57" s="158"/>
      <c r="GA57" s="158"/>
      <c r="GB57" s="158"/>
      <c r="GC57" s="158"/>
      <c r="GD57" s="158"/>
      <c r="GE57" s="158"/>
      <c r="GF57" s="158"/>
      <c r="GG57" s="158"/>
      <c r="GH57" s="158"/>
      <c r="GI57" s="158"/>
      <c r="GJ57" s="158"/>
      <c r="GK57" s="158"/>
      <c r="GL57" s="158"/>
      <c r="GM57" s="158"/>
      <c r="GN57" s="158"/>
      <c r="GO57" s="158"/>
      <c r="GP57" s="158"/>
      <c r="GQ57" s="158"/>
      <c r="GR57" s="158"/>
      <c r="GS57" s="158"/>
      <c r="GT57" s="158"/>
      <c r="GU57" s="158"/>
      <c r="GV57" s="158"/>
      <c r="GW57" s="158"/>
      <c r="GX57" s="158"/>
      <c r="GY57" s="158"/>
      <c r="GZ57" s="158"/>
      <c r="HA57" s="158"/>
      <c r="HB57" s="158"/>
      <c r="HC57" s="158"/>
      <c r="HD57" s="158"/>
      <c r="HE57" s="158"/>
      <c r="HF57" s="158"/>
      <c r="HG57" s="158"/>
      <c r="HH57" s="158"/>
      <c r="HI57" s="158"/>
      <c r="HJ57" s="158"/>
      <c r="HK57" s="158"/>
      <c r="HL57" s="158"/>
    </row>
    <row r="58" spans="1:220">
      <c r="A58" s="49"/>
      <c r="B58" s="105" t="s">
        <v>305</v>
      </c>
      <c r="C58" s="162" t="s">
        <v>652</v>
      </c>
      <c r="D58" s="145">
        <f>Output_Inventory!AB4</f>
        <v>0</v>
      </c>
      <c r="E58" s="158"/>
      <c r="F58" s="158"/>
      <c r="G58" s="158"/>
      <c r="H58" s="158"/>
      <c r="I58" s="158"/>
      <c r="J58" s="158"/>
      <c r="K58" s="158"/>
      <c r="L58" s="158"/>
      <c r="M58" s="158"/>
      <c r="N58" s="158"/>
      <c r="O58" s="158"/>
      <c r="P58" s="158"/>
      <c r="Q58" s="158"/>
      <c r="R58" s="158"/>
      <c r="S58" s="158"/>
      <c r="T58" s="158"/>
      <c r="U58" s="158"/>
      <c r="V58" s="158"/>
      <c r="W58" s="158"/>
      <c r="X58" s="158"/>
      <c r="Y58" s="158"/>
      <c r="Z58" s="158"/>
      <c r="AA58" s="158"/>
      <c r="AB58" s="158"/>
      <c r="AC58" s="158"/>
      <c r="AD58" s="158"/>
      <c r="AE58" s="158"/>
      <c r="AF58" s="158"/>
      <c r="AG58" s="158"/>
      <c r="AH58" s="158"/>
      <c r="AI58" s="158"/>
      <c r="AJ58" s="158"/>
      <c r="AK58" s="158"/>
      <c r="AL58" s="158"/>
      <c r="AM58" s="158"/>
      <c r="AN58" s="158"/>
      <c r="AO58" s="158"/>
      <c r="AP58" s="158"/>
      <c r="AQ58" s="158"/>
      <c r="AR58" s="158"/>
      <c r="AS58" s="158"/>
      <c r="AT58" s="158"/>
      <c r="AU58" s="158"/>
      <c r="AV58" s="158"/>
      <c r="AW58" s="158"/>
      <c r="AX58" s="158"/>
      <c r="AY58" s="158"/>
      <c r="AZ58" s="158"/>
      <c r="BA58" s="158"/>
      <c r="BB58" s="158"/>
      <c r="BC58" s="158"/>
      <c r="BD58" s="158"/>
      <c r="BE58" s="158"/>
      <c r="BF58" s="158"/>
      <c r="BG58" s="158"/>
      <c r="BH58" s="158"/>
      <c r="BI58" s="158"/>
      <c r="BJ58" s="158"/>
      <c r="BK58" s="158"/>
      <c r="BL58" s="158"/>
      <c r="BM58" s="158"/>
      <c r="BN58" s="158"/>
      <c r="BO58" s="158"/>
      <c r="BP58" s="158"/>
      <c r="BQ58" s="158"/>
      <c r="BR58" s="158"/>
      <c r="BS58" s="158"/>
      <c r="BT58" s="158"/>
      <c r="BU58" s="158"/>
      <c r="BV58" s="158"/>
      <c r="BW58" s="158"/>
      <c r="BX58" s="158"/>
      <c r="BY58" s="158"/>
      <c r="BZ58" s="158"/>
      <c r="CA58" s="158"/>
      <c r="CB58" s="158"/>
      <c r="CC58" s="158"/>
      <c r="CD58" s="158"/>
      <c r="CE58" s="158"/>
      <c r="CF58" s="158"/>
      <c r="CG58" s="158"/>
      <c r="CH58" s="158"/>
      <c r="CI58" s="158"/>
      <c r="CJ58" s="158"/>
      <c r="CK58" s="158"/>
      <c r="CL58" s="158"/>
      <c r="CM58" s="158"/>
      <c r="CN58" s="158"/>
      <c r="CO58" s="158"/>
      <c r="CP58" s="158"/>
      <c r="CQ58" s="158"/>
      <c r="CR58" s="158"/>
      <c r="CS58" s="158"/>
      <c r="CT58" s="158"/>
      <c r="CU58" s="158"/>
      <c r="CV58" s="158"/>
      <c r="CW58" s="158"/>
      <c r="CX58" s="158"/>
      <c r="CY58" s="158"/>
      <c r="CZ58" s="158"/>
      <c r="DA58" s="158"/>
      <c r="DB58" s="158"/>
      <c r="DC58" s="158"/>
      <c r="DD58" s="158"/>
      <c r="DE58" s="158"/>
      <c r="DF58" s="158"/>
      <c r="DG58" s="158"/>
      <c r="DH58" s="158"/>
      <c r="DI58" s="158"/>
      <c r="DJ58" s="158"/>
      <c r="DK58" s="158"/>
      <c r="DL58" s="158"/>
      <c r="DM58" s="158"/>
      <c r="DN58" s="158"/>
      <c r="DO58" s="158"/>
      <c r="DP58" s="158"/>
      <c r="DQ58" s="158"/>
      <c r="DR58" s="158"/>
      <c r="DS58" s="158"/>
      <c r="DT58" s="158"/>
      <c r="DU58" s="158"/>
      <c r="DV58" s="158"/>
      <c r="DW58" s="158"/>
      <c r="DX58" s="158"/>
      <c r="DY58" s="158"/>
      <c r="DZ58" s="158"/>
      <c r="EA58" s="158"/>
      <c r="EB58" s="158"/>
      <c r="EC58" s="158"/>
      <c r="ED58" s="158"/>
      <c r="EE58" s="158"/>
      <c r="EF58" s="158"/>
      <c r="EG58" s="158"/>
      <c r="EH58" s="158"/>
      <c r="EI58" s="158"/>
      <c r="EJ58" s="158"/>
      <c r="EK58" s="158"/>
      <c r="EL58" s="158"/>
      <c r="EM58" s="158"/>
      <c r="EN58" s="158"/>
      <c r="EO58" s="158"/>
      <c r="EP58" s="158"/>
      <c r="EQ58" s="158"/>
      <c r="ER58" s="158"/>
      <c r="ES58" s="158"/>
      <c r="ET58" s="158"/>
      <c r="EU58" s="158"/>
      <c r="EV58" s="158"/>
      <c r="EW58" s="158"/>
      <c r="EX58" s="158"/>
      <c r="EY58" s="158"/>
      <c r="EZ58" s="158"/>
      <c r="FA58" s="158"/>
      <c r="FB58" s="158"/>
      <c r="FC58" s="158"/>
      <c r="FD58" s="158"/>
      <c r="FE58" s="158"/>
      <c r="FF58" s="158"/>
      <c r="FG58" s="158"/>
      <c r="FH58" s="158"/>
      <c r="FI58" s="158"/>
      <c r="FJ58" s="158"/>
      <c r="FK58" s="158"/>
      <c r="FL58" s="158"/>
      <c r="FM58" s="158"/>
      <c r="FN58" s="158"/>
      <c r="FO58" s="158"/>
      <c r="FP58" s="158"/>
      <c r="FQ58" s="158"/>
      <c r="FR58" s="158"/>
      <c r="FS58" s="158"/>
      <c r="FT58" s="158"/>
      <c r="FU58" s="158"/>
      <c r="FV58" s="158"/>
      <c r="FW58" s="158"/>
      <c r="FX58" s="158"/>
      <c r="FY58" s="158"/>
      <c r="FZ58" s="158"/>
      <c r="GA58" s="158"/>
      <c r="GB58" s="158"/>
      <c r="GC58" s="158"/>
      <c r="GD58" s="158"/>
      <c r="GE58" s="158"/>
      <c r="GF58" s="158"/>
      <c r="GG58" s="158"/>
      <c r="GH58" s="158"/>
      <c r="GI58" s="158"/>
      <c r="GJ58" s="158"/>
      <c r="GK58" s="158"/>
      <c r="GL58" s="158"/>
      <c r="GM58" s="158"/>
      <c r="GN58" s="158"/>
      <c r="GO58" s="158"/>
      <c r="GP58" s="158"/>
      <c r="GQ58" s="158"/>
      <c r="GR58" s="158"/>
      <c r="GS58" s="158"/>
      <c r="GT58" s="158"/>
      <c r="GU58" s="158"/>
      <c r="GV58" s="158"/>
      <c r="GW58" s="158"/>
      <c r="GX58" s="158"/>
      <c r="GY58" s="158"/>
      <c r="GZ58" s="158"/>
      <c r="HA58" s="158"/>
      <c r="HB58" s="158"/>
      <c r="HC58" s="158"/>
      <c r="HD58" s="158"/>
      <c r="HE58" s="158"/>
      <c r="HF58" s="158"/>
      <c r="HG58" s="158"/>
      <c r="HH58" s="158"/>
      <c r="HI58" s="158"/>
      <c r="HJ58" s="158"/>
      <c r="HK58" s="158"/>
      <c r="HL58" s="158"/>
    </row>
    <row r="59" spans="1:220">
      <c r="A59" s="49"/>
      <c r="B59" s="105" t="s">
        <v>306</v>
      </c>
      <c r="C59" s="162" t="s">
        <v>653</v>
      </c>
      <c r="D59" s="145">
        <f>Output_Inventory!AC4</f>
        <v>0</v>
      </c>
      <c r="E59" s="158"/>
      <c r="F59" s="158"/>
      <c r="G59" s="158"/>
      <c r="H59" s="158"/>
      <c r="I59" s="158"/>
      <c r="J59" s="158"/>
      <c r="K59" s="158"/>
      <c r="L59" s="158"/>
      <c r="M59" s="158"/>
      <c r="N59" s="158"/>
      <c r="O59" s="158"/>
      <c r="P59" s="158"/>
      <c r="Q59" s="158"/>
      <c r="R59" s="158"/>
      <c r="S59" s="158"/>
      <c r="T59" s="158"/>
      <c r="U59" s="158"/>
      <c r="V59" s="158"/>
      <c r="W59" s="158"/>
      <c r="X59" s="158"/>
      <c r="Y59" s="158"/>
      <c r="Z59" s="158"/>
      <c r="AA59" s="158"/>
      <c r="AB59" s="158"/>
      <c r="AC59" s="158"/>
      <c r="AD59" s="158"/>
      <c r="AE59" s="158"/>
      <c r="AF59" s="158"/>
      <c r="AG59" s="158"/>
      <c r="AH59" s="158"/>
      <c r="AI59" s="158"/>
      <c r="AJ59" s="158"/>
      <c r="AK59" s="158"/>
      <c r="AL59" s="158"/>
      <c r="AM59" s="158"/>
      <c r="AN59" s="158"/>
      <c r="AO59" s="158"/>
      <c r="AP59" s="158"/>
      <c r="AQ59" s="158"/>
      <c r="AR59" s="158"/>
      <c r="AS59" s="158"/>
      <c r="AT59" s="158"/>
      <c r="AU59" s="158"/>
      <c r="AV59" s="158"/>
      <c r="AW59" s="158"/>
      <c r="AX59" s="158"/>
      <c r="AY59" s="158"/>
      <c r="AZ59" s="158"/>
      <c r="BA59" s="158"/>
      <c r="BB59" s="158"/>
      <c r="BC59" s="158"/>
      <c r="BD59" s="158"/>
      <c r="BE59" s="158"/>
      <c r="BF59" s="158"/>
      <c r="BG59" s="158"/>
      <c r="BH59" s="158"/>
      <c r="BI59" s="158"/>
      <c r="BJ59" s="158"/>
      <c r="BK59" s="158"/>
      <c r="BL59" s="158"/>
      <c r="BM59" s="158"/>
      <c r="BN59" s="158"/>
      <c r="BO59" s="158"/>
      <c r="BP59" s="158"/>
      <c r="BQ59" s="158"/>
      <c r="BR59" s="158"/>
      <c r="BS59" s="158"/>
      <c r="BT59" s="158"/>
      <c r="BU59" s="158"/>
      <c r="BV59" s="158"/>
      <c r="BW59" s="158"/>
      <c r="BX59" s="158"/>
      <c r="BY59" s="158"/>
      <c r="BZ59" s="158"/>
      <c r="CA59" s="158"/>
      <c r="CB59" s="158"/>
      <c r="CC59" s="158"/>
      <c r="CD59" s="158"/>
      <c r="CE59" s="158"/>
      <c r="CF59" s="158"/>
      <c r="CG59" s="158"/>
      <c r="CH59" s="158"/>
      <c r="CI59" s="158"/>
      <c r="CJ59" s="158"/>
      <c r="CK59" s="158"/>
      <c r="CL59" s="158"/>
      <c r="CM59" s="158"/>
      <c r="CN59" s="158"/>
      <c r="CO59" s="158"/>
      <c r="CP59" s="158"/>
      <c r="CQ59" s="158"/>
      <c r="CR59" s="158"/>
      <c r="CS59" s="158"/>
      <c r="CT59" s="158"/>
      <c r="CU59" s="158"/>
      <c r="CV59" s="158"/>
      <c r="CW59" s="158"/>
      <c r="CX59" s="158"/>
      <c r="CY59" s="158"/>
      <c r="CZ59" s="158"/>
      <c r="DA59" s="158"/>
      <c r="DB59" s="158"/>
      <c r="DC59" s="158"/>
      <c r="DD59" s="158"/>
      <c r="DE59" s="158"/>
      <c r="DF59" s="158"/>
      <c r="DG59" s="158"/>
      <c r="DH59" s="158"/>
      <c r="DI59" s="158"/>
      <c r="DJ59" s="158"/>
      <c r="DK59" s="158"/>
      <c r="DL59" s="158"/>
      <c r="DM59" s="158"/>
      <c r="DN59" s="158"/>
      <c r="DO59" s="158"/>
      <c r="DP59" s="158"/>
      <c r="DQ59" s="158"/>
      <c r="DR59" s="158"/>
      <c r="DS59" s="158"/>
      <c r="DT59" s="158"/>
      <c r="DU59" s="158"/>
      <c r="DV59" s="158"/>
      <c r="DW59" s="158"/>
      <c r="DX59" s="158"/>
      <c r="DY59" s="158"/>
      <c r="DZ59" s="158"/>
      <c r="EA59" s="158"/>
      <c r="EB59" s="158"/>
      <c r="EC59" s="158"/>
      <c r="ED59" s="158"/>
      <c r="EE59" s="158"/>
      <c r="EF59" s="158"/>
      <c r="EG59" s="158"/>
      <c r="EH59" s="158"/>
      <c r="EI59" s="158"/>
      <c r="EJ59" s="158"/>
      <c r="EK59" s="158"/>
      <c r="EL59" s="158"/>
      <c r="EM59" s="158"/>
      <c r="EN59" s="158"/>
      <c r="EO59" s="158"/>
      <c r="EP59" s="158"/>
      <c r="EQ59" s="158"/>
      <c r="ER59" s="158"/>
      <c r="ES59" s="158"/>
      <c r="ET59" s="158"/>
      <c r="EU59" s="158"/>
      <c r="EV59" s="158"/>
      <c r="EW59" s="158"/>
      <c r="EX59" s="158"/>
      <c r="EY59" s="158"/>
      <c r="EZ59" s="158"/>
      <c r="FA59" s="158"/>
      <c r="FB59" s="158"/>
      <c r="FC59" s="158"/>
      <c r="FD59" s="158"/>
      <c r="FE59" s="158"/>
      <c r="FF59" s="158"/>
      <c r="FG59" s="158"/>
      <c r="FH59" s="158"/>
      <c r="FI59" s="158"/>
      <c r="FJ59" s="158"/>
      <c r="FK59" s="158"/>
      <c r="FL59" s="158"/>
      <c r="FM59" s="158"/>
      <c r="FN59" s="158"/>
      <c r="FO59" s="158"/>
      <c r="FP59" s="158"/>
      <c r="FQ59" s="158"/>
      <c r="FR59" s="158"/>
      <c r="FS59" s="158"/>
      <c r="FT59" s="158"/>
      <c r="FU59" s="158"/>
      <c r="FV59" s="158"/>
      <c r="FW59" s="158"/>
      <c r="FX59" s="158"/>
      <c r="FY59" s="158"/>
      <c r="FZ59" s="158"/>
      <c r="GA59" s="158"/>
      <c r="GB59" s="158"/>
      <c r="GC59" s="158"/>
      <c r="GD59" s="158"/>
      <c r="GE59" s="158"/>
      <c r="GF59" s="158"/>
      <c r="GG59" s="158"/>
      <c r="GH59" s="158"/>
      <c r="GI59" s="158"/>
      <c r="GJ59" s="158"/>
      <c r="GK59" s="158"/>
      <c r="GL59" s="158"/>
      <c r="GM59" s="158"/>
      <c r="GN59" s="158"/>
      <c r="GO59" s="158"/>
      <c r="GP59" s="158"/>
      <c r="GQ59" s="158"/>
      <c r="GR59" s="158"/>
      <c r="GS59" s="158"/>
      <c r="GT59" s="158"/>
      <c r="GU59" s="158"/>
      <c r="GV59" s="158"/>
      <c r="GW59" s="158"/>
      <c r="GX59" s="158"/>
      <c r="GY59" s="158"/>
      <c r="GZ59" s="158"/>
      <c r="HA59" s="158"/>
      <c r="HB59" s="158"/>
      <c r="HC59" s="158"/>
      <c r="HD59" s="158"/>
      <c r="HE59" s="158"/>
      <c r="HF59" s="158"/>
      <c r="HG59" s="158"/>
      <c r="HH59" s="158"/>
      <c r="HI59" s="158"/>
      <c r="HJ59" s="158"/>
      <c r="HK59" s="158"/>
      <c r="HL59" s="158"/>
    </row>
    <row r="60" spans="1:220">
      <c r="A60" s="49"/>
      <c r="B60" s="105" t="s">
        <v>307</v>
      </c>
      <c r="C60" s="162" t="s">
        <v>654</v>
      </c>
      <c r="D60" s="145">
        <f>Output_Inventory!AD4</f>
        <v>0</v>
      </c>
      <c r="E60" s="158"/>
      <c r="F60" s="158"/>
      <c r="G60" s="158"/>
      <c r="H60" s="158"/>
      <c r="I60" s="158"/>
      <c r="J60" s="158"/>
      <c r="K60" s="158"/>
      <c r="L60" s="158"/>
      <c r="M60" s="158"/>
      <c r="N60" s="158"/>
      <c r="O60" s="158"/>
      <c r="P60" s="158"/>
      <c r="Q60" s="158"/>
      <c r="R60" s="158"/>
      <c r="S60" s="158"/>
      <c r="T60" s="158"/>
      <c r="U60" s="158"/>
      <c r="V60" s="158"/>
      <c r="W60" s="158"/>
      <c r="X60" s="158"/>
      <c r="Y60" s="158"/>
      <c r="Z60" s="158"/>
      <c r="AA60" s="158"/>
      <c r="AB60" s="158"/>
      <c r="AC60" s="158"/>
      <c r="AD60" s="158"/>
      <c r="AE60" s="158"/>
      <c r="AF60" s="158"/>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8"/>
      <c r="BJ60" s="158"/>
      <c r="BK60" s="158"/>
      <c r="BL60" s="158"/>
      <c r="BM60" s="158"/>
      <c r="BN60" s="158"/>
      <c r="BO60" s="158"/>
      <c r="BP60" s="158"/>
      <c r="BQ60" s="158"/>
      <c r="BR60" s="158"/>
      <c r="BS60" s="158"/>
      <c r="BT60" s="158"/>
      <c r="BU60" s="158"/>
      <c r="BV60" s="158"/>
      <c r="BW60" s="158"/>
      <c r="BX60" s="158"/>
      <c r="BY60" s="158"/>
      <c r="BZ60" s="158"/>
      <c r="CA60" s="158"/>
      <c r="CB60" s="158"/>
      <c r="CC60" s="158"/>
      <c r="CD60" s="158"/>
      <c r="CE60" s="158"/>
      <c r="CF60" s="158"/>
      <c r="CG60" s="158"/>
      <c r="CH60" s="158"/>
      <c r="CI60" s="158"/>
      <c r="CJ60" s="158"/>
      <c r="CK60" s="158"/>
      <c r="CL60" s="158"/>
      <c r="CM60" s="158"/>
      <c r="CN60" s="158"/>
      <c r="CO60" s="158"/>
      <c r="CP60" s="158"/>
      <c r="CQ60" s="158"/>
      <c r="CR60" s="158"/>
      <c r="CS60" s="158"/>
      <c r="CT60" s="158"/>
      <c r="CU60" s="158"/>
      <c r="CV60" s="158"/>
      <c r="CW60" s="158"/>
      <c r="CX60" s="158"/>
      <c r="CY60" s="158"/>
      <c r="CZ60" s="158"/>
      <c r="DA60" s="158"/>
      <c r="DB60" s="158"/>
      <c r="DC60" s="158"/>
      <c r="DD60" s="158"/>
      <c r="DE60" s="158"/>
      <c r="DF60" s="158"/>
      <c r="DG60" s="158"/>
      <c r="DH60" s="158"/>
      <c r="DI60" s="158"/>
      <c r="DJ60" s="158"/>
      <c r="DK60" s="158"/>
      <c r="DL60" s="158"/>
      <c r="DM60" s="158"/>
      <c r="DN60" s="158"/>
      <c r="DO60" s="158"/>
      <c r="DP60" s="158"/>
      <c r="DQ60" s="158"/>
      <c r="DR60" s="158"/>
      <c r="DS60" s="158"/>
      <c r="DT60" s="158"/>
      <c r="DU60" s="158"/>
      <c r="DV60" s="158"/>
      <c r="DW60" s="158"/>
      <c r="DX60" s="158"/>
      <c r="DY60" s="158"/>
      <c r="DZ60" s="158"/>
      <c r="EA60" s="158"/>
      <c r="EB60" s="158"/>
      <c r="EC60" s="158"/>
      <c r="ED60" s="158"/>
      <c r="EE60" s="158"/>
      <c r="EF60" s="158"/>
      <c r="EG60" s="158"/>
      <c r="EH60" s="158"/>
      <c r="EI60" s="158"/>
      <c r="EJ60" s="158"/>
      <c r="EK60" s="158"/>
      <c r="EL60" s="158"/>
      <c r="EM60" s="158"/>
      <c r="EN60" s="158"/>
      <c r="EO60" s="158"/>
      <c r="EP60" s="158"/>
      <c r="EQ60" s="158"/>
      <c r="ER60" s="158"/>
      <c r="ES60" s="158"/>
      <c r="ET60" s="158"/>
      <c r="EU60" s="158"/>
      <c r="EV60" s="158"/>
      <c r="EW60" s="158"/>
      <c r="EX60" s="158"/>
      <c r="EY60" s="158"/>
      <c r="EZ60" s="158"/>
      <c r="FA60" s="158"/>
      <c r="FB60" s="158"/>
      <c r="FC60" s="158"/>
      <c r="FD60" s="158"/>
      <c r="FE60" s="158"/>
      <c r="FF60" s="158"/>
      <c r="FG60" s="158"/>
      <c r="FH60" s="158"/>
      <c r="FI60" s="158"/>
      <c r="FJ60" s="158"/>
      <c r="FK60" s="158"/>
      <c r="FL60" s="158"/>
      <c r="FM60" s="158"/>
      <c r="FN60" s="158"/>
      <c r="FO60" s="158"/>
      <c r="FP60" s="158"/>
      <c r="FQ60" s="158"/>
      <c r="FR60" s="158"/>
      <c r="FS60" s="158"/>
      <c r="FT60" s="158"/>
      <c r="FU60" s="158"/>
      <c r="FV60" s="158"/>
      <c r="FW60" s="158"/>
      <c r="FX60" s="158"/>
      <c r="FY60" s="158"/>
      <c r="FZ60" s="158"/>
      <c r="GA60" s="158"/>
      <c r="GB60" s="158"/>
      <c r="GC60" s="158"/>
      <c r="GD60" s="158"/>
      <c r="GE60" s="158"/>
      <c r="GF60" s="158"/>
      <c r="GG60" s="158"/>
      <c r="GH60" s="158"/>
      <c r="GI60" s="158"/>
      <c r="GJ60" s="158"/>
      <c r="GK60" s="158"/>
      <c r="GL60" s="158"/>
      <c r="GM60" s="158"/>
      <c r="GN60" s="158"/>
      <c r="GO60" s="158"/>
      <c r="GP60" s="158"/>
      <c r="GQ60" s="158"/>
      <c r="GR60" s="158"/>
      <c r="GS60" s="158"/>
      <c r="GT60" s="158"/>
      <c r="GU60" s="158"/>
      <c r="GV60" s="158"/>
      <c r="GW60" s="158"/>
      <c r="GX60" s="158"/>
      <c r="GY60" s="158"/>
      <c r="GZ60" s="158"/>
      <c r="HA60" s="158"/>
      <c r="HB60" s="158"/>
      <c r="HC60" s="158"/>
      <c r="HD60" s="158"/>
      <c r="HE60" s="158"/>
      <c r="HF60" s="158"/>
      <c r="HG60" s="158"/>
      <c r="HH60" s="158"/>
      <c r="HI60" s="158"/>
      <c r="HJ60" s="158"/>
      <c r="HK60" s="158"/>
      <c r="HL60" s="158"/>
    </row>
    <row r="61" spans="1:220">
      <c r="A61" s="49"/>
      <c r="B61" s="105" t="s">
        <v>308</v>
      </c>
      <c r="C61" s="162" t="s">
        <v>655</v>
      </c>
      <c r="D61" s="145">
        <f>Output_Inventory!AE4</f>
        <v>0</v>
      </c>
      <c r="E61" s="158"/>
      <c r="F61" s="158"/>
      <c r="G61" s="158"/>
      <c r="H61" s="158"/>
      <c r="I61" s="158"/>
      <c r="J61" s="158"/>
      <c r="K61" s="158"/>
      <c r="L61" s="158"/>
      <c r="M61" s="158"/>
      <c r="N61" s="158"/>
      <c r="O61" s="158"/>
      <c r="P61" s="158"/>
      <c r="Q61" s="158"/>
      <c r="R61" s="158"/>
      <c r="S61" s="158"/>
      <c r="T61" s="158"/>
      <c r="U61" s="158"/>
      <c r="V61" s="158"/>
      <c r="W61" s="158"/>
      <c r="X61" s="158"/>
      <c r="Y61" s="158"/>
      <c r="Z61" s="158"/>
      <c r="AA61" s="158"/>
      <c r="AB61" s="158"/>
      <c r="AC61" s="158"/>
      <c r="AD61" s="158"/>
      <c r="AE61" s="158"/>
      <c r="AF61" s="158"/>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8"/>
      <c r="BJ61" s="158"/>
      <c r="BK61" s="158"/>
      <c r="BL61" s="158"/>
      <c r="BM61" s="158"/>
      <c r="BN61" s="158"/>
      <c r="BO61" s="158"/>
      <c r="BP61" s="158"/>
      <c r="BQ61" s="158"/>
      <c r="BR61" s="158"/>
      <c r="BS61" s="158"/>
      <c r="BT61" s="158"/>
      <c r="BU61" s="158"/>
      <c r="BV61" s="158"/>
      <c r="BW61" s="158"/>
      <c r="BX61" s="158"/>
      <c r="BY61" s="158"/>
      <c r="BZ61" s="158"/>
      <c r="CA61" s="158"/>
      <c r="CB61" s="158"/>
      <c r="CC61" s="158"/>
      <c r="CD61" s="158"/>
      <c r="CE61" s="158"/>
      <c r="CF61" s="158"/>
      <c r="CG61" s="158"/>
      <c r="CH61" s="158"/>
      <c r="CI61" s="158"/>
      <c r="CJ61" s="158"/>
      <c r="CK61" s="158"/>
      <c r="CL61" s="158"/>
      <c r="CM61" s="158"/>
      <c r="CN61" s="158"/>
      <c r="CO61" s="158"/>
      <c r="CP61" s="158"/>
      <c r="CQ61" s="158"/>
      <c r="CR61" s="158"/>
      <c r="CS61" s="158"/>
      <c r="CT61" s="158"/>
      <c r="CU61" s="158"/>
      <c r="CV61" s="158"/>
      <c r="CW61" s="158"/>
      <c r="CX61" s="158"/>
      <c r="CY61" s="158"/>
      <c r="CZ61" s="158"/>
      <c r="DA61" s="158"/>
      <c r="DB61" s="158"/>
      <c r="DC61" s="158"/>
      <c r="DD61" s="158"/>
      <c r="DE61" s="158"/>
      <c r="DF61" s="158"/>
      <c r="DG61" s="158"/>
      <c r="DH61" s="158"/>
      <c r="DI61" s="158"/>
      <c r="DJ61" s="158"/>
      <c r="DK61" s="158"/>
      <c r="DL61" s="158"/>
      <c r="DM61" s="158"/>
      <c r="DN61" s="158"/>
      <c r="DO61" s="158"/>
      <c r="DP61" s="158"/>
      <c r="DQ61" s="158"/>
      <c r="DR61" s="158"/>
      <c r="DS61" s="158"/>
      <c r="DT61" s="158"/>
      <c r="DU61" s="158"/>
      <c r="DV61" s="158"/>
      <c r="DW61" s="158"/>
      <c r="DX61" s="158"/>
      <c r="DY61" s="158"/>
      <c r="DZ61" s="158"/>
      <c r="EA61" s="158"/>
      <c r="EB61" s="158"/>
      <c r="EC61" s="158"/>
      <c r="ED61" s="158"/>
      <c r="EE61" s="158"/>
      <c r="EF61" s="158"/>
      <c r="EG61" s="158"/>
      <c r="EH61" s="158"/>
      <c r="EI61" s="158"/>
      <c r="EJ61" s="158"/>
      <c r="EK61" s="158"/>
      <c r="EL61" s="158"/>
      <c r="EM61" s="158"/>
      <c r="EN61" s="158"/>
      <c r="EO61" s="158"/>
      <c r="EP61" s="158"/>
      <c r="EQ61" s="158"/>
      <c r="ER61" s="158"/>
      <c r="ES61" s="158"/>
      <c r="ET61" s="158"/>
      <c r="EU61" s="158"/>
      <c r="EV61" s="158"/>
      <c r="EW61" s="158"/>
      <c r="EX61" s="158"/>
      <c r="EY61" s="158"/>
      <c r="EZ61" s="158"/>
      <c r="FA61" s="158"/>
      <c r="FB61" s="158"/>
      <c r="FC61" s="158"/>
      <c r="FD61" s="158"/>
      <c r="FE61" s="158"/>
      <c r="FF61" s="158"/>
      <c r="FG61" s="158"/>
      <c r="FH61" s="158"/>
      <c r="FI61" s="158"/>
      <c r="FJ61" s="158"/>
      <c r="FK61" s="158"/>
      <c r="FL61" s="158"/>
      <c r="FM61" s="158"/>
      <c r="FN61" s="158"/>
      <c r="FO61" s="158"/>
      <c r="FP61" s="158"/>
      <c r="FQ61" s="158"/>
      <c r="FR61" s="158"/>
      <c r="FS61" s="158"/>
      <c r="FT61" s="158"/>
      <c r="FU61" s="158"/>
      <c r="FV61" s="158"/>
      <c r="FW61" s="158"/>
      <c r="FX61" s="158"/>
      <c r="FY61" s="158"/>
      <c r="FZ61" s="158"/>
      <c r="GA61" s="158"/>
      <c r="GB61" s="158"/>
      <c r="GC61" s="158"/>
      <c r="GD61" s="158"/>
      <c r="GE61" s="158"/>
      <c r="GF61" s="158"/>
      <c r="GG61" s="158"/>
      <c r="GH61" s="158"/>
      <c r="GI61" s="158"/>
      <c r="GJ61" s="158"/>
      <c r="GK61" s="158"/>
      <c r="GL61" s="158"/>
      <c r="GM61" s="158"/>
      <c r="GN61" s="158"/>
      <c r="GO61" s="158"/>
      <c r="GP61" s="158"/>
      <c r="GQ61" s="158"/>
      <c r="GR61" s="158"/>
      <c r="GS61" s="158"/>
      <c r="GT61" s="158"/>
      <c r="GU61" s="158"/>
      <c r="GV61" s="158"/>
      <c r="GW61" s="158"/>
      <c r="GX61" s="158"/>
      <c r="GY61" s="158"/>
      <c r="GZ61" s="158"/>
      <c r="HA61" s="158"/>
      <c r="HB61" s="158"/>
      <c r="HC61" s="158"/>
      <c r="HD61" s="158"/>
      <c r="HE61" s="158"/>
      <c r="HF61" s="158"/>
      <c r="HG61" s="158"/>
      <c r="HH61" s="158"/>
      <c r="HI61" s="158"/>
      <c r="HJ61" s="158"/>
      <c r="HK61" s="158"/>
      <c r="HL61" s="158"/>
    </row>
    <row r="62" spans="1:220">
      <c r="A62" s="49"/>
      <c r="B62" s="105" t="s">
        <v>309</v>
      </c>
      <c r="C62" s="162" t="s">
        <v>656</v>
      </c>
      <c r="D62" s="145">
        <f>Output_Inventory!AF4</f>
        <v>0</v>
      </c>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c r="BD62" s="158"/>
      <c r="BE62" s="158"/>
      <c r="BF62" s="158"/>
      <c r="BG62" s="158"/>
      <c r="BH62" s="158"/>
      <c r="BI62" s="158"/>
      <c r="BJ62" s="158"/>
      <c r="BK62" s="158"/>
      <c r="BL62" s="158"/>
      <c r="BM62" s="158"/>
      <c r="BN62" s="158"/>
      <c r="BO62" s="158"/>
      <c r="BP62" s="158"/>
      <c r="BQ62" s="158"/>
      <c r="BR62" s="158"/>
      <c r="BS62" s="158"/>
      <c r="BT62" s="158"/>
      <c r="BU62" s="158"/>
      <c r="BV62" s="158"/>
      <c r="BW62" s="158"/>
      <c r="BX62" s="158"/>
      <c r="BY62" s="158"/>
      <c r="BZ62" s="158"/>
      <c r="CA62" s="158"/>
      <c r="CB62" s="158"/>
      <c r="CC62" s="158"/>
      <c r="CD62" s="158"/>
      <c r="CE62" s="158"/>
      <c r="CF62" s="158"/>
      <c r="CG62" s="158"/>
      <c r="CH62" s="158"/>
      <c r="CI62" s="158"/>
      <c r="CJ62" s="158"/>
      <c r="CK62" s="158"/>
      <c r="CL62" s="158"/>
      <c r="CM62" s="158"/>
      <c r="CN62" s="158"/>
      <c r="CO62" s="158"/>
      <c r="CP62" s="158"/>
      <c r="CQ62" s="158"/>
      <c r="CR62" s="158"/>
      <c r="CS62" s="158"/>
      <c r="CT62" s="158"/>
      <c r="CU62" s="158"/>
      <c r="CV62" s="158"/>
      <c r="CW62" s="158"/>
      <c r="CX62" s="158"/>
      <c r="CY62" s="158"/>
      <c r="CZ62" s="158"/>
      <c r="DA62" s="158"/>
      <c r="DB62" s="158"/>
      <c r="DC62" s="158"/>
      <c r="DD62" s="158"/>
      <c r="DE62" s="158"/>
      <c r="DF62" s="158"/>
      <c r="DG62" s="158"/>
      <c r="DH62" s="158"/>
      <c r="DI62" s="158"/>
      <c r="DJ62" s="158"/>
      <c r="DK62" s="158"/>
      <c r="DL62" s="158"/>
      <c r="DM62" s="158"/>
      <c r="DN62" s="158"/>
      <c r="DO62" s="158"/>
      <c r="DP62" s="158"/>
      <c r="DQ62" s="158"/>
      <c r="DR62" s="158"/>
      <c r="DS62" s="158"/>
      <c r="DT62" s="158"/>
      <c r="DU62" s="158"/>
      <c r="DV62" s="158"/>
      <c r="DW62" s="158"/>
      <c r="DX62" s="158"/>
      <c r="DY62" s="158"/>
      <c r="DZ62" s="158"/>
      <c r="EA62" s="158"/>
      <c r="EB62" s="158"/>
      <c r="EC62" s="158"/>
      <c r="ED62" s="158"/>
      <c r="EE62" s="158"/>
      <c r="EF62" s="158"/>
      <c r="EG62" s="158"/>
      <c r="EH62" s="158"/>
      <c r="EI62" s="158"/>
      <c r="EJ62" s="158"/>
      <c r="EK62" s="158"/>
      <c r="EL62" s="158"/>
      <c r="EM62" s="158"/>
      <c r="EN62" s="158"/>
      <c r="EO62" s="158"/>
      <c r="EP62" s="158"/>
      <c r="EQ62" s="158"/>
      <c r="ER62" s="158"/>
      <c r="ES62" s="158"/>
      <c r="ET62" s="158"/>
      <c r="EU62" s="158"/>
      <c r="EV62" s="158"/>
      <c r="EW62" s="158"/>
      <c r="EX62" s="158"/>
      <c r="EY62" s="158"/>
      <c r="EZ62" s="158"/>
      <c r="FA62" s="158"/>
      <c r="FB62" s="158"/>
      <c r="FC62" s="158"/>
      <c r="FD62" s="158"/>
      <c r="FE62" s="158"/>
      <c r="FF62" s="158"/>
      <c r="FG62" s="158"/>
      <c r="FH62" s="158"/>
      <c r="FI62" s="158"/>
      <c r="FJ62" s="158"/>
      <c r="FK62" s="158"/>
      <c r="FL62" s="158"/>
      <c r="FM62" s="158"/>
      <c r="FN62" s="158"/>
      <c r="FO62" s="158"/>
      <c r="FP62" s="158"/>
      <c r="FQ62" s="158"/>
      <c r="FR62" s="158"/>
      <c r="FS62" s="158"/>
      <c r="FT62" s="158"/>
      <c r="FU62" s="158"/>
      <c r="FV62" s="158"/>
      <c r="FW62" s="158"/>
      <c r="FX62" s="158"/>
      <c r="FY62" s="158"/>
      <c r="FZ62" s="158"/>
      <c r="GA62" s="158"/>
      <c r="GB62" s="158"/>
      <c r="GC62" s="158"/>
      <c r="GD62" s="158"/>
      <c r="GE62" s="158"/>
      <c r="GF62" s="158"/>
      <c r="GG62" s="158"/>
      <c r="GH62" s="158"/>
      <c r="GI62" s="158"/>
      <c r="GJ62" s="158"/>
      <c r="GK62" s="158"/>
      <c r="GL62" s="158"/>
      <c r="GM62" s="158"/>
      <c r="GN62" s="158"/>
      <c r="GO62" s="158"/>
      <c r="GP62" s="158"/>
      <c r="GQ62" s="158"/>
      <c r="GR62" s="158"/>
      <c r="GS62" s="158"/>
      <c r="GT62" s="158"/>
      <c r="GU62" s="158"/>
      <c r="GV62" s="158"/>
      <c r="GW62" s="158"/>
      <c r="GX62" s="158"/>
      <c r="GY62" s="158"/>
      <c r="GZ62" s="158"/>
      <c r="HA62" s="158"/>
      <c r="HB62" s="158"/>
      <c r="HC62" s="158"/>
      <c r="HD62" s="158"/>
      <c r="HE62" s="158"/>
      <c r="HF62" s="158"/>
      <c r="HG62" s="158"/>
      <c r="HH62" s="158"/>
      <c r="HI62" s="158"/>
      <c r="HJ62" s="158"/>
      <c r="HK62" s="158"/>
      <c r="HL62" s="158"/>
    </row>
    <row r="63" spans="1:220">
      <c r="A63" s="49"/>
      <c r="B63" s="105" t="s">
        <v>310</v>
      </c>
      <c r="C63" s="162" t="s">
        <v>657</v>
      </c>
      <c r="D63" s="145">
        <f>Output_Inventory!AG4</f>
        <v>0</v>
      </c>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c r="BD63" s="158"/>
      <c r="BE63" s="158"/>
      <c r="BF63" s="158"/>
      <c r="BG63" s="158"/>
      <c r="BH63" s="158"/>
      <c r="BI63" s="158"/>
      <c r="BJ63" s="158"/>
      <c r="BK63" s="158"/>
      <c r="BL63" s="158"/>
      <c r="BM63" s="158"/>
      <c r="BN63" s="158"/>
      <c r="BO63" s="158"/>
      <c r="BP63" s="158"/>
      <c r="BQ63" s="158"/>
      <c r="BR63" s="158"/>
      <c r="BS63" s="158"/>
      <c r="BT63" s="158"/>
      <c r="BU63" s="158"/>
      <c r="BV63" s="158"/>
      <c r="BW63" s="158"/>
      <c r="BX63" s="158"/>
      <c r="BY63" s="158"/>
      <c r="BZ63" s="158"/>
      <c r="CA63" s="158"/>
      <c r="CB63" s="158"/>
      <c r="CC63" s="158"/>
      <c r="CD63" s="158"/>
      <c r="CE63" s="158"/>
      <c r="CF63" s="158"/>
      <c r="CG63" s="158"/>
      <c r="CH63" s="158"/>
      <c r="CI63" s="158"/>
      <c r="CJ63" s="158"/>
      <c r="CK63" s="158"/>
      <c r="CL63" s="158"/>
      <c r="CM63" s="158"/>
      <c r="CN63" s="158"/>
      <c r="CO63" s="158"/>
      <c r="CP63" s="158"/>
      <c r="CQ63" s="158"/>
      <c r="CR63" s="158"/>
      <c r="CS63" s="158"/>
      <c r="CT63" s="158"/>
      <c r="CU63" s="158"/>
      <c r="CV63" s="158"/>
      <c r="CW63" s="158"/>
      <c r="CX63" s="158"/>
      <c r="CY63" s="158"/>
      <c r="CZ63" s="158"/>
      <c r="DA63" s="158"/>
      <c r="DB63" s="158"/>
      <c r="DC63" s="158"/>
      <c r="DD63" s="158"/>
      <c r="DE63" s="158"/>
      <c r="DF63" s="158"/>
      <c r="DG63" s="158"/>
      <c r="DH63" s="158"/>
      <c r="DI63" s="158"/>
      <c r="DJ63" s="158"/>
      <c r="DK63" s="158"/>
      <c r="DL63" s="158"/>
      <c r="DM63" s="158"/>
      <c r="DN63" s="158"/>
      <c r="DO63" s="158"/>
      <c r="DP63" s="158"/>
      <c r="DQ63" s="158"/>
      <c r="DR63" s="158"/>
      <c r="DS63" s="158"/>
      <c r="DT63" s="158"/>
      <c r="DU63" s="158"/>
      <c r="DV63" s="158"/>
      <c r="DW63" s="158"/>
      <c r="DX63" s="158"/>
      <c r="DY63" s="158"/>
      <c r="DZ63" s="158"/>
      <c r="EA63" s="158"/>
      <c r="EB63" s="158"/>
      <c r="EC63" s="158"/>
      <c r="ED63" s="158"/>
      <c r="EE63" s="158"/>
      <c r="EF63" s="158"/>
      <c r="EG63" s="158"/>
      <c r="EH63" s="158"/>
      <c r="EI63" s="158"/>
      <c r="EJ63" s="158"/>
      <c r="EK63" s="158"/>
      <c r="EL63" s="158"/>
      <c r="EM63" s="158"/>
      <c r="EN63" s="158"/>
      <c r="EO63" s="158"/>
      <c r="EP63" s="158"/>
      <c r="EQ63" s="158"/>
      <c r="ER63" s="158"/>
      <c r="ES63" s="158"/>
      <c r="ET63" s="158"/>
      <c r="EU63" s="158"/>
      <c r="EV63" s="158"/>
      <c r="EW63" s="158"/>
      <c r="EX63" s="158"/>
      <c r="EY63" s="158"/>
      <c r="EZ63" s="158"/>
      <c r="FA63" s="158"/>
      <c r="FB63" s="158"/>
      <c r="FC63" s="158"/>
      <c r="FD63" s="158"/>
      <c r="FE63" s="158"/>
      <c r="FF63" s="158"/>
      <c r="FG63" s="158"/>
      <c r="FH63" s="158"/>
      <c r="FI63" s="158"/>
      <c r="FJ63" s="158"/>
      <c r="FK63" s="158"/>
      <c r="FL63" s="158"/>
      <c r="FM63" s="158"/>
      <c r="FN63" s="158"/>
      <c r="FO63" s="158"/>
      <c r="FP63" s="158"/>
      <c r="FQ63" s="158"/>
      <c r="FR63" s="158"/>
      <c r="FS63" s="158"/>
      <c r="FT63" s="158"/>
      <c r="FU63" s="158"/>
      <c r="FV63" s="158"/>
      <c r="FW63" s="158"/>
      <c r="FX63" s="158"/>
      <c r="FY63" s="158"/>
      <c r="FZ63" s="158"/>
      <c r="GA63" s="158"/>
      <c r="GB63" s="158"/>
      <c r="GC63" s="158"/>
      <c r="GD63" s="158"/>
      <c r="GE63" s="158"/>
      <c r="GF63" s="158"/>
      <c r="GG63" s="158"/>
      <c r="GH63" s="158"/>
      <c r="GI63" s="158"/>
      <c r="GJ63" s="158"/>
      <c r="GK63" s="158"/>
      <c r="GL63" s="158"/>
      <c r="GM63" s="158"/>
      <c r="GN63" s="158"/>
      <c r="GO63" s="158"/>
      <c r="GP63" s="158"/>
      <c r="GQ63" s="158"/>
      <c r="GR63" s="158"/>
      <c r="GS63" s="158"/>
      <c r="GT63" s="158"/>
      <c r="GU63" s="158"/>
      <c r="GV63" s="158"/>
      <c r="GW63" s="158"/>
      <c r="GX63" s="158"/>
      <c r="GY63" s="158"/>
      <c r="GZ63" s="158"/>
      <c r="HA63" s="158"/>
      <c r="HB63" s="158"/>
      <c r="HC63" s="158"/>
      <c r="HD63" s="158"/>
      <c r="HE63" s="158"/>
      <c r="HF63" s="158"/>
      <c r="HG63" s="158"/>
      <c r="HH63" s="158"/>
      <c r="HI63" s="158"/>
      <c r="HJ63" s="158"/>
      <c r="HK63" s="158"/>
      <c r="HL63" s="158"/>
    </row>
    <row r="64" spans="1:220">
      <c r="A64" s="49"/>
      <c r="B64" s="105" t="s">
        <v>311</v>
      </c>
      <c r="C64" s="162" t="s">
        <v>658</v>
      </c>
      <c r="D64" s="145">
        <f>Output_Inventory!AH4</f>
        <v>0</v>
      </c>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c r="BD64" s="158"/>
      <c r="BE64" s="158"/>
      <c r="BF64" s="158"/>
      <c r="BG64" s="158"/>
      <c r="BH64" s="158"/>
      <c r="BI64" s="158"/>
      <c r="BJ64" s="158"/>
      <c r="BK64" s="158"/>
      <c r="BL64" s="158"/>
      <c r="BM64" s="158"/>
      <c r="BN64" s="158"/>
      <c r="BO64" s="158"/>
      <c r="BP64" s="158"/>
      <c r="BQ64" s="158"/>
      <c r="BR64" s="158"/>
      <c r="BS64" s="158"/>
      <c r="BT64" s="158"/>
      <c r="BU64" s="158"/>
      <c r="BV64" s="158"/>
      <c r="BW64" s="158"/>
      <c r="BX64" s="158"/>
      <c r="BY64" s="158"/>
      <c r="BZ64" s="158"/>
      <c r="CA64" s="158"/>
      <c r="CB64" s="158"/>
      <c r="CC64" s="158"/>
      <c r="CD64" s="158"/>
      <c r="CE64" s="158"/>
      <c r="CF64" s="158"/>
      <c r="CG64" s="158"/>
      <c r="CH64" s="158"/>
      <c r="CI64" s="158"/>
      <c r="CJ64" s="158"/>
      <c r="CK64" s="158"/>
      <c r="CL64" s="158"/>
      <c r="CM64" s="158"/>
      <c r="CN64" s="158"/>
      <c r="CO64" s="158"/>
      <c r="CP64" s="158"/>
      <c r="CQ64" s="158"/>
      <c r="CR64" s="158"/>
      <c r="CS64" s="158"/>
      <c r="CT64" s="158"/>
      <c r="CU64" s="158"/>
      <c r="CV64" s="158"/>
      <c r="CW64" s="158"/>
      <c r="CX64" s="158"/>
      <c r="CY64" s="158"/>
      <c r="CZ64" s="158"/>
      <c r="DA64" s="158"/>
      <c r="DB64" s="158"/>
      <c r="DC64" s="158"/>
      <c r="DD64" s="158"/>
      <c r="DE64" s="158"/>
      <c r="DF64" s="158"/>
      <c r="DG64" s="158"/>
      <c r="DH64" s="158"/>
      <c r="DI64" s="158"/>
      <c r="DJ64" s="158"/>
      <c r="DK64" s="158"/>
      <c r="DL64" s="158"/>
      <c r="DM64" s="158"/>
      <c r="DN64" s="158"/>
      <c r="DO64" s="158"/>
      <c r="DP64" s="158"/>
      <c r="DQ64" s="158"/>
      <c r="DR64" s="158"/>
      <c r="DS64" s="158"/>
      <c r="DT64" s="158"/>
      <c r="DU64" s="158"/>
      <c r="DV64" s="158"/>
      <c r="DW64" s="158"/>
      <c r="DX64" s="158"/>
      <c r="DY64" s="158"/>
      <c r="DZ64" s="158"/>
      <c r="EA64" s="158"/>
      <c r="EB64" s="158"/>
      <c r="EC64" s="158"/>
      <c r="ED64" s="158"/>
      <c r="EE64" s="158"/>
      <c r="EF64" s="158"/>
      <c r="EG64" s="158"/>
      <c r="EH64" s="158"/>
      <c r="EI64" s="158"/>
      <c r="EJ64" s="158"/>
      <c r="EK64" s="158"/>
      <c r="EL64" s="158"/>
      <c r="EM64" s="158"/>
      <c r="EN64" s="158"/>
      <c r="EO64" s="158"/>
      <c r="EP64" s="158"/>
      <c r="EQ64" s="158"/>
      <c r="ER64" s="158"/>
      <c r="ES64" s="158"/>
      <c r="ET64" s="158"/>
      <c r="EU64" s="158"/>
      <c r="EV64" s="158"/>
      <c r="EW64" s="158"/>
      <c r="EX64" s="158"/>
      <c r="EY64" s="158"/>
      <c r="EZ64" s="158"/>
      <c r="FA64" s="158"/>
      <c r="FB64" s="158"/>
      <c r="FC64" s="158"/>
      <c r="FD64" s="158"/>
      <c r="FE64" s="158"/>
      <c r="FF64" s="158"/>
      <c r="FG64" s="158"/>
      <c r="FH64" s="158"/>
      <c r="FI64" s="158"/>
      <c r="FJ64" s="158"/>
      <c r="FK64" s="158"/>
      <c r="FL64" s="158"/>
      <c r="FM64" s="158"/>
      <c r="FN64" s="158"/>
      <c r="FO64" s="158"/>
      <c r="FP64" s="158"/>
      <c r="FQ64" s="158"/>
      <c r="FR64" s="158"/>
      <c r="FS64" s="158"/>
      <c r="FT64" s="158"/>
      <c r="FU64" s="158"/>
      <c r="FV64" s="158"/>
      <c r="FW64" s="158"/>
      <c r="FX64" s="158"/>
      <c r="FY64" s="158"/>
      <c r="FZ64" s="158"/>
      <c r="GA64" s="158"/>
      <c r="GB64" s="158"/>
      <c r="GC64" s="158"/>
      <c r="GD64" s="158"/>
      <c r="GE64" s="158"/>
      <c r="GF64" s="158"/>
      <c r="GG64" s="158"/>
      <c r="GH64" s="158"/>
      <c r="GI64" s="158"/>
      <c r="GJ64" s="158"/>
      <c r="GK64" s="158"/>
      <c r="GL64" s="158"/>
      <c r="GM64" s="158"/>
      <c r="GN64" s="158"/>
      <c r="GO64" s="158"/>
      <c r="GP64" s="158"/>
      <c r="GQ64" s="158"/>
      <c r="GR64" s="158"/>
      <c r="GS64" s="158"/>
      <c r="GT64" s="158"/>
      <c r="GU64" s="158"/>
      <c r="GV64" s="158"/>
      <c r="GW64" s="158"/>
      <c r="GX64" s="158"/>
      <c r="GY64" s="158"/>
      <c r="GZ64" s="158"/>
      <c r="HA64" s="158"/>
      <c r="HB64" s="158"/>
      <c r="HC64" s="158"/>
      <c r="HD64" s="158"/>
      <c r="HE64" s="158"/>
      <c r="HF64" s="158"/>
      <c r="HG64" s="158"/>
      <c r="HH64" s="158"/>
      <c r="HI64" s="158"/>
      <c r="HJ64" s="158"/>
      <c r="HK64" s="158"/>
      <c r="HL64" s="158"/>
    </row>
    <row r="65" spans="1:220">
      <c r="A65" s="49"/>
      <c r="B65" s="105" t="s">
        <v>312</v>
      </c>
      <c r="C65" s="162" t="s">
        <v>659</v>
      </c>
      <c r="D65" s="145">
        <f>Output_Hazard!D13</f>
        <v>0</v>
      </c>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c r="BD65" s="158"/>
      <c r="BE65" s="158"/>
      <c r="BF65" s="158"/>
      <c r="BG65" s="158"/>
      <c r="BH65" s="158"/>
      <c r="BI65" s="158"/>
      <c r="BJ65" s="158"/>
      <c r="BK65" s="158"/>
      <c r="BL65" s="158"/>
      <c r="BM65" s="158"/>
      <c r="BN65" s="158"/>
      <c r="BO65" s="158"/>
      <c r="BP65" s="158"/>
      <c r="BQ65" s="158"/>
      <c r="BR65" s="158"/>
      <c r="BS65" s="158"/>
      <c r="BT65" s="158"/>
      <c r="BU65" s="158"/>
      <c r="BV65" s="158"/>
      <c r="BW65" s="158"/>
      <c r="BX65" s="158"/>
      <c r="BY65" s="158"/>
      <c r="BZ65" s="158"/>
      <c r="CA65" s="158"/>
      <c r="CB65" s="158"/>
      <c r="CC65" s="158"/>
      <c r="CD65" s="158"/>
      <c r="CE65" s="158"/>
      <c r="CF65" s="158"/>
      <c r="CG65" s="158"/>
      <c r="CH65" s="158"/>
      <c r="CI65" s="158"/>
      <c r="CJ65" s="158"/>
      <c r="CK65" s="158"/>
      <c r="CL65" s="158"/>
      <c r="CM65" s="158"/>
      <c r="CN65" s="158"/>
      <c r="CO65" s="158"/>
      <c r="CP65" s="158"/>
      <c r="CQ65" s="158"/>
      <c r="CR65" s="158"/>
      <c r="CS65" s="158"/>
      <c r="CT65" s="158"/>
      <c r="CU65" s="158"/>
      <c r="CV65" s="158"/>
      <c r="CW65" s="158"/>
      <c r="CX65" s="158"/>
      <c r="CY65" s="158"/>
      <c r="CZ65" s="158"/>
      <c r="DA65" s="158"/>
      <c r="DB65" s="158"/>
      <c r="DC65" s="158"/>
      <c r="DD65" s="158"/>
      <c r="DE65" s="158"/>
      <c r="DF65" s="158"/>
      <c r="DG65" s="158"/>
      <c r="DH65" s="158"/>
      <c r="DI65" s="158"/>
      <c r="DJ65" s="158"/>
      <c r="DK65" s="158"/>
      <c r="DL65" s="158"/>
      <c r="DM65" s="158"/>
      <c r="DN65" s="158"/>
      <c r="DO65" s="158"/>
      <c r="DP65" s="158"/>
      <c r="DQ65" s="158"/>
      <c r="DR65" s="158"/>
      <c r="DS65" s="158"/>
      <c r="DT65" s="158"/>
      <c r="DU65" s="158"/>
      <c r="DV65" s="158"/>
      <c r="DW65" s="158"/>
      <c r="DX65" s="158"/>
      <c r="DY65" s="158"/>
      <c r="DZ65" s="158"/>
      <c r="EA65" s="158"/>
      <c r="EB65" s="158"/>
      <c r="EC65" s="158"/>
      <c r="ED65" s="158"/>
      <c r="EE65" s="158"/>
      <c r="EF65" s="158"/>
      <c r="EG65" s="158"/>
      <c r="EH65" s="158"/>
      <c r="EI65" s="158"/>
      <c r="EJ65" s="158"/>
      <c r="EK65" s="158"/>
      <c r="EL65" s="158"/>
      <c r="EM65" s="158"/>
      <c r="EN65" s="158"/>
      <c r="EO65" s="158"/>
      <c r="EP65" s="158"/>
      <c r="EQ65" s="158"/>
      <c r="ER65" s="158"/>
      <c r="ES65" s="158"/>
      <c r="ET65" s="158"/>
      <c r="EU65" s="158"/>
      <c r="EV65" s="158"/>
      <c r="EW65" s="158"/>
      <c r="EX65" s="158"/>
      <c r="EY65" s="158"/>
      <c r="EZ65" s="158"/>
      <c r="FA65" s="158"/>
      <c r="FB65" s="158"/>
      <c r="FC65" s="158"/>
      <c r="FD65" s="158"/>
      <c r="FE65" s="158"/>
      <c r="FF65" s="158"/>
      <c r="FG65" s="158"/>
      <c r="FH65" s="158"/>
      <c r="FI65" s="158"/>
      <c r="FJ65" s="158"/>
      <c r="FK65" s="158"/>
      <c r="FL65" s="158"/>
      <c r="FM65" s="158"/>
      <c r="FN65" s="158"/>
      <c r="FO65" s="158"/>
      <c r="FP65" s="158"/>
      <c r="FQ65" s="158"/>
      <c r="FR65" s="158"/>
      <c r="FS65" s="158"/>
      <c r="FT65" s="158"/>
      <c r="FU65" s="158"/>
      <c r="FV65" s="158"/>
      <c r="FW65" s="158"/>
      <c r="FX65" s="158"/>
      <c r="FY65" s="158"/>
      <c r="FZ65" s="158"/>
      <c r="GA65" s="158"/>
      <c r="GB65" s="158"/>
      <c r="GC65" s="158"/>
      <c r="GD65" s="158"/>
      <c r="GE65" s="158"/>
      <c r="GF65" s="158"/>
      <c r="GG65" s="158"/>
      <c r="GH65" s="158"/>
      <c r="GI65" s="158"/>
      <c r="GJ65" s="158"/>
      <c r="GK65" s="158"/>
      <c r="GL65" s="158"/>
      <c r="GM65" s="158"/>
      <c r="GN65" s="158"/>
      <c r="GO65" s="158"/>
      <c r="GP65" s="158"/>
      <c r="GQ65" s="158"/>
      <c r="GR65" s="158"/>
      <c r="GS65" s="158"/>
      <c r="GT65" s="158"/>
      <c r="GU65" s="158"/>
      <c r="GV65" s="158"/>
      <c r="GW65" s="158"/>
      <c r="GX65" s="158"/>
      <c r="GY65" s="158"/>
      <c r="GZ65" s="158"/>
      <c r="HA65" s="158"/>
      <c r="HB65" s="158"/>
      <c r="HC65" s="158"/>
      <c r="HD65" s="158"/>
      <c r="HE65" s="158"/>
      <c r="HF65" s="158"/>
      <c r="HG65" s="158"/>
      <c r="HH65" s="158"/>
      <c r="HI65" s="158"/>
      <c r="HJ65" s="158"/>
      <c r="HK65" s="158"/>
      <c r="HL65" s="158"/>
    </row>
    <row r="66" spans="1:220">
      <c r="A66" s="49"/>
      <c r="B66" s="105" t="s">
        <v>313</v>
      </c>
      <c r="C66" s="162" t="s">
        <v>660</v>
      </c>
      <c r="D66" s="145">
        <f>Output_Hazard!D14</f>
        <v>0</v>
      </c>
      <c r="E66" s="158"/>
      <c r="F66" s="158"/>
      <c r="G66" s="158"/>
      <c r="H66" s="158"/>
      <c r="I66" s="158"/>
      <c r="J66" s="158"/>
      <c r="K66" s="158"/>
      <c r="L66" s="158"/>
      <c r="M66" s="158"/>
      <c r="N66" s="158"/>
      <c r="O66" s="158"/>
      <c r="P66" s="158"/>
      <c r="Q66" s="158"/>
      <c r="R66" s="158"/>
      <c r="S66" s="158"/>
      <c r="T66" s="158"/>
      <c r="U66" s="158"/>
      <c r="V66" s="158"/>
      <c r="W66" s="158"/>
      <c r="X66" s="158"/>
      <c r="Y66" s="158"/>
      <c r="Z66" s="158"/>
      <c r="AA66" s="158"/>
      <c r="AB66" s="158"/>
      <c r="AC66" s="158"/>
      <c r="AD66" s="158"/>
      <c r="AE66" s="158"/>
      <c r="AF66" s="158"/>
      <c r="AG66" s="158"/>
      <c r="AH66" s="158"/>
      <c r="AI66" s="158"/>
      <c r="AJ66" s="158"/>
      <c r="AK66" s="158"/>
      <c r="AL66" s="158"/>
      <c r="AM66" s="158"/>
      <c r="AN66" s="158"/>
      <c r="AO66" s="158"/>
      <c r="AP66" s="158"/>
      <c r="AQ66" s="158"/>
      <c r="AR66" s="158"/>
      <c r="AS66" s="158"/>
      <c r="AT66" s="158"/>
      <c r="AU66" s="158"/>
      <c r="AV66" s="158"/>
      <c r="AW66" s="158"/>
      <c r="AX66" s="158"/>
      <c r="AY66" s="158"/>
      <c r="AZ66" s="158"/>
      <c r="BA66" s="158"/>
      <c r="BB66" s="158"/>
      <c r="BC66" s="158"/>
      <c r="BD66" s="158"/>
      <c r="BE66" s="158"/>
      <c r="BF66" s="158"/>
      <c r="BG66" s="158"/>
      <c r="BH66" s="158"/>
      <c r="BI66" s="158"/>
      <c r="BJ66" s="158"/>
      <c r="BK66" s="158"/>
      <c r="BL66" s="158"/>
      <c r="BM66" s="158"/>
      <c r="BN66" s="158"/>
      <c r="BO66" s="158"/>
      <c r="BP66" s="158"/>
      <c r="BQ66" s="158"/>
      <c r="BR66" s="158"/>
      <c r="BS66" s="158"/>
      <c r="BT66" s="158"/>
      <c r="BU66" s="158"/>
      <c r="BV66" s="158"/>
      <c r="BW66" s="158"/>
      <c r="BX66" s="158"/>
      <c r="BY66" s="158"/>
      <c r="BZ66" s="158"/>
      <c r="CA66" s="158"/>
      <c r="CB66" s="158"/>
      <c r="CC66" s="158"/>
      <c r="CD66" s="158"/>
      <c r="CE66" s="158"/>
      <c r="CF66" s="158"/>
      <c r="CG66" s="158"/>
      <c r="CH66" s="158"/>
      <c r="CI66" s="158"/>
      <c r="CJ66" s="158"/>
      <c r="CK66" s="158"/>
      <c r="CL66" s="158"/>
      <c r="CM66" s="158"/>
      <c r="CN66" s="158"/>
      <c r="CO66" s="158"/>
      <c r="CP66" s="158"/>
      <c r="CQ66" s="158"/>
      <c r="CR66" s="158"/>
      <c r="CS66" s="158"/>
      <c r="CT66" s="158"/>
      <c r="CU66" s="158"/>
      <c r="CV66" s="158"/>
      <c r="CW66" s="158"/>
      <c r="CX66" s="158"/>
      <c r="CY66" s="158"/>
      <c r="CZ66" s="158"/>
      <c r="DA66" s="158"/>
      <c r="DB66" s="158"/>
      <c r="DC66" s="158"/>
      <c r="DD66" s="158"/>
      <c r="DE66" s="158"/>
      <c r="DF66" s="158"/>
      <c r="DG66" s="158"/>
      <c r="DH66" s="158"/>
      <c r="DI66" s="158"/>
      <c r="DJ66" s="158"/>
      <c r="DK66" s="158"/>
      <c r="DL66" s="158"/>
      <c r="DM66" s="158"/>
      <c r="DN66" s="158"/>
      <c r="DO66" s="158"/>
      <c r="DP66" s="158"/>
      <c r="DQ66" s="158"/>
      <c r="DR66" s="158"/>
      <c r="DS66" s="158"/>
      <c r="DT66" s="158"/>
      <c r="DU66" s="158"/>
      <c r="DV66" s="158"/>
      <c r="DW66" s="158"/>
      <c r="DX66" s="158"/>
      <c r="DY66" s="158"/>
      <c r="DZ66" s="158"/>
      <c r="EA66" s="158"/>
      <c r="EB66" s="158"/>
      <c r="EC66" s="158"/>
      <c r="ED66" s="158"/>
      <c r="EE66" s="158"/>
      <c r="EF66" s="158"/>
      <c r="EG66" s="158"/>
      <c r="EH66" s="158"/>
      <c r="EI66" s="158"/>
      <c r="EJ66" s="158"/>
      <c r="EK66" s="158"/>
      <c r="EL66" s="158"/>
      <c r="EM66" s="158"/>
      <c r="EN66" s="158"/>
      <c r="EO66" s="158"/>
      <c r="EP66" s="158"/>
      <c r="EQ66" s="158"/>
      <c r="ER66" s="158"/>
      <c r="ES66" s="158"/>
      <c r="ET66" s="158"/>
      <c r="EU66" s="158"/>
      <c r="EV66" s="158"/>
      <c r="EW66" s="158"/>
      <c r="EX66" s="158"/>
      <c r="EY66" s="158"/>
      <c r="EZ66" s="158"/>
      <c r="FA66" s="158"/>
      <c r="FB66" s="158"/>
      <c r="FC66" s="158"/>
      <c r="FD66" s="158"/>
      <c r="FE66" s="158"/>
      <c r="FF66" s="158"/>
      <c r="FG66" s="158"/>
      <c r="FH66" s="158"/>
      <c r="FI66" s="158"/>
      <c r="FJ66" s="158"/>
      <c r="FK66" s="158"/>
      <c r="FL66" s="158"/>
      <c r="FM66" s="158"/>
      <c r="FN66" s="158"/>
      <c r="FO66" s="158"/>
      <c r="FP66" s="158"/>
      <c r="FQ66" s="158"/>
      <c r="FR66" s="158"/>
      <c r="FS66" s="158"/>
      <c r="FT66" s="158"/>
      <c r="FU66" s="158"/>
      <c r="FV66" s="158"/>
      <c r="FW66" s="158"/>
      <c r="FX66" s="158"/>
      <c r="FY66" s="158"/>
      <c r="FZ66" s="158"/>
      <c r="GA66" s="158"/>
      <c r="GB66" s="158"/>
      <c r="GC66" s="158"/>
      <c r="GD66" s="158"/>
      <c r="GE66" s="158"/>
      <c r="GF66" s="158"/>
      <c r="GG66" s="158"/>
      <c r="GH66" s="158"/>
      <c r="GI66" s="158"/>
      <c r="GJ66" s="158"/>
      <c r="GK66" s="158"/>
      <c r="GL66" s="158"/>
      <c r="GM66" s="158"/>
      <c r="GN66" s="158"/>
      <c r="GO66" s="158"/>
      <c r="GP66" s="158"/>
      <c r="GQ66" s="158"/>
      <c r="GR66" s="158"/>
      <c r="GS66" s="158"/>
      <c r="GT66" s="158"/>
      <c r="GU66" s="158"/>
      <c r="GV66" s="158"/>
      <c r="GW66" s="158"/>
      <c r="GX66" s="158"/>
      <c r="GY66" s="158"/>
      <c r="GZ66" s="158"/>
      <c r="HA66" s="158"/>
      <c r="HB66" s="158"/>
      <c r="HC66" s="158"/>
      <c r="HD66" s="158"/>
      <c r="HE66" s="158"/>
      <c r="HF66" s="158"/>
      <c r="HG66" s="158"/>
      <c r="HH66" s="158"/>
      <c r="HI66" s="158"/>
      <c r="HJ66" s="158"/>
      <c r="HK66" s="158"/>
      <c r="HL66" s="158"/>
    </row>
    <row r="67" spans="1:220">
      <c r="A67" s="49"/>
      <c r="B67" s="105" t="s">
        <v>314</v>
      </c>
      <c r="C67" s="162" t="s">
        <v>661</v>
      </c>
      <c r="D67" s="145">
        <f>Output_Hazard!D15</f>
        <v>0</v>
      </c>
      <c r="E67" s="158"/>
      <c r="F67" s="158"/>
      <c r="G67" s="158"/>
      <c r="H67" s="158"/>
      <c r="I67" s="158"/>
      <c r="J67" s="158"/>
      <c r="K67" s="158"/>
      <c r="L67" s="158"/>
      <c r="M67" s="158"/>
      <c r="N67" s="158"/>
      <c r="O67" s="158"/>
      <c r="P67" s="158"/>
      <c r="Q67" s="158"/>
      <c r="R67" s="158"/>
      <c r="S67" s="158"/>
      <c r="T67" s="158"/>
      <c r="U67" s="158"/>
      <c r="V67" s="158"/>
      <c r="W67" s="158"/>
      <c r="X67" s="158"/>
      <c r="Y67" s="158"/>
      <c r="Z67" s="158"/>
      <c r="AA67" s="158"/>
      <c r="AB67" s="158"/>
      <c r="AC67" s="158"/>
      <c r="AD67" s="158"/>
      <c r="AE67" s="158"/>
      <c r="AF67" s="158"/>
      <c r="AG67" s="158"/>
      <c r="AH67" s="158"/>
      <c r="AI67" s="158"/>
      <c r="AJ67" s="158"/>
      <c r="AK67" s="158"/>
      <c r="AL67" s="158"/>
      <c r="AM67" s="158"/>
      <c r="AN67" s="158"/>
      <c r="AO67" s="158"/>
      <c r="AP67" s="158"/>
      <c r="AQ67" s="158"/>
      <c r="AR67" s="158"/>
      <c r="AS67" s="158"/>
      <c r="AT67" s="158"/>
      <c r="AU67" s="158"/>
      <c r="AV67" s="158"/>
      <c r="AW67" s="158"/>
      <c r="AX67" s="158"/>
      <c r="AY67" s="158"/>
      <c r="AZ67" s="158"/>
      <c r="BA67" s="158"/>
      <c r="BB67" s="158"/>
      <c r="BC67" s="158"/>
      <c r="BD67" s="158"/>
      <c r="BE67" s="158"/>
      <c r="BF67" s="158"/>
      <c r="BG67" s="158"/>
      <c r="BH67" s="158"/>
      <c r="BI67" s="158"/>
      <c r="BJ67" s="158"/>
      <c r="BK67" s="158"/>
      <c r="BL67" s="158"/>
      <c r="BM67" s="158"/>
      <c r="BN67" s="158"/>
      <c r="BO67" s="158"/>
      <c r="BP67" s="158"/>
      <c r="BQ67" s="158"/>
      <c r="BR67" s="158"/>
      <c r="BS67" s="158"/>
      <c r="BT67" s="158"/>
      <c r="BU67" s="158"/>
      <c r="BV67" s="158"/>
      <c r="BW67" s="158"/>
      <c r="BX67" s="158"/>
      <c r="BY67" s="158"/>
      <c r="BZ67" s="158"/>
      <c r="CA67" s="158"/>
      <c r="CB67" s="158"/>
      <c r="CC67" s="158"/>
      <c r="CD67" s="158"/>
      <c r="CE67" s="158"/>
      <c r="CF67" s="158"/>
      <c r="CG67" s="158"/>
      <c r="CH67" s="158"/>
      <c r="CI67" s="158"/>
      <c r="CJ67" s="158"/>
      <c r="CK67" s="158"/>
      <c r="CL67" s="158"/>
      <c r="CM67" s="158"/>
      <c r="CN67" s="158"/>
      <c r="CO67" s="158"/>
      <c r="CP67" s="158"/>
      <c r="CQ67" s="158"/>
      <c r="CR67" s="158"/>
      <c r="CS67" s="158"/>
      <c r="CT67" s="158"/>
      <c r="CU67" s="158"/>
      <c r="CV67" s="158"/>
      <c r="CW67" s="158"/>
      <c r="CX67" s="158"/>
      <c r="CY67" s="158"/>
      <c r="CZ67" s="158"/>
      <c r="DA67" s="158"/>
      <c r="DB67" s="158"/>
      <c r="DC67" s="158"/>
      <c r="DD67" s="158"/>
      <c r="DE67" s="158"/>
      <c r="DF67" s="158"/>
      <c r="DG67" s="158"/>
      <c r="DH67" s="158"/>
      <c r="DI67" s="158"/>
      <c r="DJ67" s="158"/>
      <c r="DK67" s="158"/>
      <c r="DL67" s="158"/>
      <c r="DM67" s="158"/>
      <c r="DN67" s="158"/>
      <c r="DO67" s="158"/>
      <c r="DP67" s="158"/>
      <c r="DQ67" s="158"/>
      <c r="DR67" s="158"/>
      <c r="DS67" s="158"/>
      <c r="DT67" s="158"/>
      <c r="DU67" s="158"/>
      <c r="DV67" s="158"/>
      <c r="DW67" s="158"/>
      <c r="DX67" s="158"/>
      <c r="DY67" s="158"/>
      <c r="DZ67" s="158"/>
      <c r="EA67" s="158"/>
      <c r="EB67" s="158"/>
      <c r="EC67" s="158"/>
      <c r="ED67" s="158"/>
      <c r="EE67" s="158"/>
      <c r="EF67" s="158"/>
      <c r="EG67" s="158"/>
      <c r="EH67" s="158"/>
      <c r="EI67" s="158"/>
      <c r="EJ67" s="158"/>
      <c r="EK67" s="158"/>
      <c r="EL67" s="158"/>
      <c r="EM67" s="158"/>
      <c r="EN67" s="158"/>
      <c r="EO67" s="158"/>
      <c r="EP67" s="158"/>
      <c r="EQ67" s="158"/>
      <c r="ER67" s="158"/>
      <c r="ES67" s="158"/>
      <c r="ET67" s="158"/>
      <c r="EU67" s="158"/>
      <c r="EV67" s="158"/>
      <c r="EW67" s="158"/>
      <c r="EX67" s="158"/>
      <c r="EY67" s="158"/>
      <c r="EZ67" s="158"/>
      <c r="FA67" s="158"/>
      <c r="FB67" s="158"/>
      <c r="FC67" s="158"/>
      <c r="FD67" s="158"/>
      <c r="FE67" s="158"/>
      <c r="FF67" s="158"/>
      <c r="FG67" s="158"/>
      <c r="FH67" s="158"/>
      <c r="FI67" s="158"/>
      <c r="FJ67" s="158"/>
      <c r="FK67" s="158"/>
      <c r="FL67" s="158"/>
      <c r="FM67" s="158"/>
      <c r="FN67" s="158"/>
      <c r="FO67" s="158"/>
      <c r="FP67" s="158"/>
      <c r="FQ67" s="158"/>
      <c r="FR67" s="158"/>
      <c r="FS67" s="158"/>
      <c r="FT67" s="158"/>
      <c r="FU67" s="158"/>
      <c r="FV67" s="158"/>
      <c r="FW67" s="158"/>
      <c r="FX67" s="158"/>
      <c r="FY67" s="158"/>
      <c r="FZ67" s="158"/>
      <c r="GA67" s="158"/>
      <c r="GB67" s="158"/>
      <c r="GC67" s="158"/>
      <c r="GD67" s="158"/>
      <c r="GE67" s="158"/>
      <c r="GF67" s="158"/>
      <c r="GG67" s="158"/>
      <c r="GH67" s="158"/>
      <c r="GI67" s="158"/>
      <c r="GJ67" s="158"/>
      <c r="GK67" s="158"/>
      <c r="GL67" s="158"/>
      <c r="GM67" s="158"/>
      <c r="GN67" s="158"/>
      <c r="GO67" s="158"/>
      <c r="GP67" s="158"/>
      <c r="GQ67" s="158"/>
      <c r="GR67" s="158"/>
      <c r="GS67" s="158"/>
      <c r="GT67" s="158"/>
      <c r="GU67" s="158"/>
      <c r="GV67" s="158"/>
      <c r="GW67" s="158"/>
      <c r="GX67" s="158"/>
      <c r="GY67" s="158"/>
      <c r="GZ67" s="158"/>
      <c r="HA67" s="158"/>
      <c r="HB67" s="158"/>
      <c r="HC67" s="158"/>
      <c r="HD67" s="158"/>
      <c r="HE67" s="158"/>
      <c r="HF67" s="158"/>
      <c r="HG67" s="158"/>
      <c r="HH67" s="158"/>
      <c r="HI67" s="158"/>
      <c r="HJ67" s="158"/>
      <c r="HK67" s="158"/>
      <c r="HL67" s="158"/>
    </row>
    <row r="68" spans="1:220">
      <c r="A68" s="49"/>
      <c r="B68" s="105" t="s">
        <v>315</v>
      </c>
      <c r="C68" s="162" t="s">
        <v>662</v>
      </c>
      <c r="D68" s="145">
        <f>Output_Hazard!D16</f>
        <v>0</v>
      </c>
      <c r="E68" s="158"/>
      <c r="F68" s="158"/>
      <c r="G68" s="158"/>
      <c r="H68" s="158"/>
      <c r="I68" s="158"/>
      <c r="J68" s="158"/>
      <c r="K68" s="158"/>
      <c r="L68" s="158"/>
      <c r="M68" s="158"/>
      <c r="N68" s="158"/>
      <c r="O68" s="158"/>
      <c r="P68" s="158"/>
      <c r="Q68" s="158"/>
      <c r="R68" s="158"/>
      <c r="S68" s="158"/>
      <c r="T68" s="158"/>
      <c r="U68" s="158"/>
      <c r="V68" s="158"/>
      <c r="W68" s="158"/>
      <c r="X68" s="158"/>
      <c r="Y68" s="158"/>
      <c r="Z68" s="158"/>
      <c r="AA68" s="158"/>
      <c r="AB68" s="158"/>
      <c r="AC68" s="158"/>
      <c r="AD68" s="158"/>
      <c r="AE68" s="158"/>
      <c r="AF68" s="158"/>
      <c r="AG68" s="158"/>
      <c r="AH68" s="158"/>
      <c r="AI68" s="158"/>
      <c r="AJ68" s="158"/>
      <c r="AK68" s="158"/>
      <c r="AL68" s="158"/>
      <c r="AM68" s="158"/>
      <c r="AN68" s="158"/>
      <c r="AO68" s="158"/>
      <c r="AP68" s="158"/>
      <c r="AQ68" s="158"/>
      <c r="AR68" s="158"/>
      <c r="AS68" s="158"/>
      <c r="AT68" s="158"/>
      <c r="AU68" s="158"/>
      <c r="AV68" s="158"/>
      <c r="AW68" s="158"/>
      <c r="AX68" s="158"/>
      <c r="AY68" s="158"/>
      <c r="AZ68" s="158"/>
      <c r="BA68" s="158"/>
      <c r="BB68" s="158"/>
      <c r="BC68" s="158"/>
      <c r="BD68" s="158"/>
      <c r="BE68" s="158"/>
      <c r="BF68" s="158"/>
      <c r="BG68" s="158"/>
      <c r="BH68" s="158"/>
      <c r="BI68" s="158"/>
      <c r="BJ68" s="158"/>
      <c r="BK68" s="158"/>
      <c r="BL68" s="158"/>
      <c r="BM68" s="158"/>
      <c r="BN68" s="158"/>
      <c r="BO68" s="158"/>
      <c r="BP68" s="158"/>
      <c r="BQ68" s="158"/>
      <c r="BR68" s="158"/>
      <c r="BS68" s="158"/>
      <c r="BT68" s="158"/>
      <c r="BU68" s="158"/>
      <c r="BV68" s="158"/>
      <c r="BW68" s="158"/>
      <c r="BX68" s="158"/>
      <c r="BY68" s="158"/>
      <c r="BZ68" s="158"/>
      <c r="CA68" s="158"/>
      <c r="CB68" s="158"/>
      <c r="CC68" s="158"/>
      <c r="CD68" s="158"/>
      <c r="CE68" s="158"/>
      <c r="CF68" s="158"/>
      <c r="CG68" s="158"/>
      <c r="CH68" s="158"/>
      <c r="CI68" s="158"/>
      <c r="CJ68" s="158"/>
      <c r="CK68" s="158"/>
      <c r="CL68" s="158"/>
      <c r="CM68" s="158"/>
      <c r="CN68" s="158"/>
      <c r="CO68" s="158"/>
      <c r="CP68" s="158"/>
      <c r="CQ68" s="158"/>
      <c r="CR68" s="158"/>
      <c r="CS68" s="158"/>
      <c r="CT68" s="158"/>
      <c r="CU68" s="158"/>
      <c r="CV68" s="158"/>
      <c r="CW68" s="158"/>
      <c r="CX68" s="158"/>
      <c r="CY68" s="158"/>
      <c r="CZ68" s="158"/>
      <c r="DA68" s="158"/>
      <c r="DB68" s="158"/>
      <c r="DC68" s="158"/>
      <c r="DD68" s="158"/>
      <c r="DE68" s="158"/>
      <c r="DF68" s="158"/>
      <c r="DG68" s="158"/>
      <c r="DH68" s="158"/>
      <c r="DI68" s="158"/>
      <c r="DJ68" s="158"/>
      <c r="DK68" s="158"/>
      <c r="DL68" s="158"/>
      <c r="DM68" s="158"/>
      <c r="DN68" s="158"/>
      <c r="DO68" s="158"/>
      <c r="DP68" s="158"/>
      <c r="DQ68" s="158"/>
      <c r="DR68" s="158"/>
      <c r="DS68" s="158"/>
      <c r="DT68" s="158"/>
      <c r="DU68" s="158"/>
      <c r="DV68" s="158"/>
      <c r="DW68" s="158"/>
      <c r="DX68" s="158"/>
      <c r="DY68" s="158"/>
      <c r="DZ68" s="158"/>
      <c r="EA68" s="158"/>
      <c r="EB68" s="158"/>
      <c r="EC68" s="158"/>
      <c r="ED68" s="158"/>
      <c r="EE68" s="158"/>
      <c r="EF68" s="158"/>
      <c r="EG68" s="158"/>
      <c r="EH68" s="158"/>
      <c r="EI68" s="158"/>
      <c r="EJ68" s="158"/>
      <c r="EK68" s="158"/>
      <c r="EL68" s="158"/>
      <c r="EM68" s="158"/>
      <c r="EN68" s="158"/>
      <c r="EO68" s="158"/>
      <c r="EP68" s="158"/>
      <c r="EQ68" s="158"/>
      <c r="ER68" s="158"/>
      <c r="ES68" s="158"/>
      <c r="ET68" s="158"/>
      <c r="EU68" s="158"/>
      <c r="EV68" s="158"/>
      <c r="EW68" s="158"/>
      <c r="EX68" s="158"/>
      <c r="EY68" s="158"/>
      <c r="EZ68" s="158"/>
      <c r="FA68" s="158"/>
      <c r="FB68" s="158"/>
      <c r="FC68" s="158"/>
      <c r="FD68" s="158"/>
      <c r="FE68" s="158"/>
      <c r="FF68" s="158"/>
      <c r="FG68" s="158"/>
      <c r="FH68" s="158"/>
      <c r="FI68" s="158"/>
      <c r="FJ68" s="158"/>
      <c r="FK68" s="158"/>
      <c r="FL68" s="158"/>
      <c r="FM68" s="158"/>
      <c r="FN68" s="158"/>
      <c r="FO68" s="158"/>
      <c r="FP68" s="158"/>
      <c r="FQ68" s="158"/>
      <c r="FR68" s="158"/>
      <c r="FS68" s="158"/>
      <c r="FT68" s="158"/>
      <c r="FU68" s="158"/>
      <c r="FV68" s="158"/>
      <c r="FW68" s="158"/>
      <c r="FX68" s="158"/>
      <c r="FY68" s="158"/>
      <c r="FZ68" s="158"/>
      <c r="GA68" s="158"/>
      <c r="GB68" s="158"/>
      <c r="GC68" s="158"/>
      <c r="GD68" s="158"/>
      <c r="GE68" s="158"/>
      <c r="GF68" s="158"/>
      <c r="GG68" s="158"/>
      <c r="GH68" s="158"/>
      <c r="GI68" s="158"/>
      <c r="GJ68" s="158"/>
      <c r="GK68" s="158"/>
      <c r="GL68" s="158"/>
      <c r="GM68" s="158"/>
      <c r="GN68" s="158"/>
      <c r="GO68" s="158"/>
      <c r="GP68" s="158"/>
      <c r="GQ68" s="158"/>
      <c r="GR68" s="158"/>
      <c r="GS68" s="158"/>
      <c r="GT68" s="158"/>
      <c r="GU68" s="158"/>
      <c r="GV68" s="158"/>
      <c r="GW68" s="158"/>
      <c r="GX68" s="158"/>
      <c r="GY68" s="158"/>
      <c r="GZ68" s="158"/>
      <c r="HA68" s="158"/>
      <c r="HB68" s="158"/>
      <c r="HC68" s="158"/>
      <c r="HD68" s="158"/>
      <c r="HE68" s="158"/>
      <c r="HF68" s="158"/>
      <c r="HG68" s="158"/>
      <c r="HH68" s="158"/>
      <c r="HI68" s="158"/>
      <c r="HJ68" s="158"/>
      <c r="HK68" s="158"/>
      <c r="HL68" s="158"/>
    </row>
    <row r="69" spans="1:220">
      <c r="A69" s="49"/>
      <c r="B69" s="105" t="s">
        <v>316</v>
      </c>
      <c r="C69" s="162" t="s">
        <v>611</v>
      </c>
      <c r="D69" s="145">
        <f>Output_Hazard!D18</f>
        <v>0</v>
      </c>
      <c r="E69" s="158"/>
      <c r="F69" s="158"/>
      <c r="G69" s="158"/>
      <c r="H69" s="158"/>
      <c r="I69" s="158"/>
      <c r="J69" s="158"/>
      <c r="K69" s="158"/>
      <c r="L69" s="158"/>
      <c r="M69" s="158"/>
      <c r="N69" s="158"/>
      <c r="O69" s="158"/>
      <c r="P69" s="158"/>
      <c r="Q69" s="158"/>
      <c r="R69" s="158"/>
      <c r="S69" s="158"/>
      <c r="T69" s="158"/>
      <c r="U69" s="158"/>
      <c r="V69" s="158"/>
      <c r="W69" s="158"/>
      <c r="X69" s="158"/>
      <c r="Y69" s="158"/>
      <c r="Z69" s="158"/>
      <c r="AA69" s="158"/>
      <c r="AB69" s="158"/>
      <c r="AC69" s="158"/>
      <c r="AD69" s="158"/>
      <c r="AE69" s="158"/>
      <c r="AF69" s="158"/>
      <c r="AG69" s="158"/>
      <c r="AH69" s="158"/>
      <c r="AI69" s="158"/>
      <c r="AJ69" s="158"/>
      <c r="AK69" s="158"/>
      <c r="AL69" s="158"/>
      <c r="AM69" s="158"/>
      <c r="AN69" s="158"/>
      <c r="AO69" s="158"/>
      <c r="AP69" s="158"/>
      <c r="AQ69" s="158"/>
      <c r="AR69" s="158"/>
      <c r="AS69" s="158"/>
      <c r="AT69" s="158"/>
      <c r="AU69" s="158"/>
      <c r="AV69" s="158"/>
      <c r="AW69" s="158"/>
      <c r="AX69" s="158"/>
      <c r="AY69" s="158"/>
      <c r="AZ69" s="158"/>
      <c r="BA69" s="158"/>
      <c r="BB69" s="158"/>
      <c r="BC69" s="158"/>
      <c r="BD69" s="158"/>
      <c r="BE69" s="158"/>
      <c r="BF69" s="158"/>
      <c r="BG69" s="158"/>
      <c r="BH69" s="158"/>
      <c r="BI69" s="158"/>
      <c r="BJ69" s="158"/>
      <c r="BK69" s="158"/>
      <c r="BL69" s="158"/>
      <c r="BM69" s="158"/>
      <c r="BN69" s="158"/>
      <c r="BO69" s="158"/>
      <c r="BP69" s="158"/>
      <c r="BQ69" s="158"/>
      <c r="BR69" s="158"/>
      <c r="BS69" s="158"/>
      <c r="BT69" s="158"/>
      <c r="BU69" s="158"/>
      <c r="BV69" s="158"/>
      <c r="BW69" s="158"/>
      <c r="BX69" s="158"/>
      <c r="BY69" s="158"/>
      <c r="BZ69" s="158"/>
      <c r="CA69" s="158"/>
      <c r="CB69" s="158"/>
      <c r="CC69" s="158"/>
      <c r="CD69" s="158"/>
      <c r="CE69" s="158"/>
      <c r="CF69" s="158"/>
      <c r="CG69" s="158"/>
      <c r="CH69" s="158"/>
      <c r="CI69" s="158"/>
      <c r="CJ69" s="158"/>
      <c r="CK69" s="158"/>
      <c r="CL69" s="158"/>
      <c r="CM69" s="158"/>
      <c r="CN69" s="158"/>
      <c r="CO69" s="158"/>
      <c r="CP69" s="158"/>
      <c r="CQ69" s="158"/>
      <c r="CR69" s="158"/>
      <c r="CS69" s="158"/>
      <c r="CT69" s="158"/>
      <c r="CU69" s="158"/>
      <c r="CV69" s="158"/>
      <c r="CW69" s="158"/>
      <c r="CX69" s="158"/>
      <c r="CY69" s="158"/>
      <c r="CZ69" s="158"/>
      <c r="DA69" s="158"/>
      <c r="DB69" s="158"/>
      <c r="DC69" s="158"/>
      <c r="DD69" s="158"/>
      <c r="DE69" s="158"/>
      <c r="DF69" s="158"/>
      <c r="DG69" s="158"/>
      <c r="DH69" s="158"/>
      <c r="DI69" s="158"/>
      <c r="DJ69" s="158"/>
      <c r="DK69" s="158"/>
      <c r="DL69" s="158"/>
      <c r="DM69" s="158"/>
      <c r="DN69" s="158"/>
      <c r="DO69" s="158"/>
      <c r="DP69" s="158"/>
      <c r="DQ69" s="158"/>
      <c r="DR69" s="158"/>
      <c r="DS69" s="158"/>
      <c r="DT69" s="158"/>
      <c r="DU69" s="158"/>
      <c r="DV69" s="158"/>
      <c r="DW69" s="158"/>
      <c r="DX69" s="158"/>
      <c r="DY69" s="158"/>
      <c r="DZ69" s="158"/>
      <c r="EA69" s="158"/>
      <c r="EB69" s="158"/>
      <c r="EC69" s="158"/>
      <c r="ED69" s="158"/>
      <c r="EE69" s="158"/>
      <c r="EF69" s="158"/>
      <c r="EG69" s="158"/>
      <c r="EH69" s="158"/>
      <c r="EI69" s="158"/>
      <c r="EJ69" s="158"/>
      <c r="EK69" s="158"/>
      <c r="EL69" s="158"/>
      <c r="EM69" s="158"/>
      <c r="EN69" s="158"/>
      <c r="EO69" s="158"/>
      <c r="EP69" s="158"/>
      <c r="EQ69" s="158"/>
      <c r="ER69" s="158"/>
      <c r="ES69" s="158"/>
      <c r="ET69" s="158"/>
      <c r="EU69" s="158"/>
      <c r="EV69" s="158"/>
      <c r="EW69" s="158"/>
      <c r="EX69" s="158"/>
      <c r="EY69" s="158"/>
      <c r="EZ69" s="158"/>
      <c r="FA69" s="158"/>
      <c r="FB69" s="158"/>
      <c r="FC69" s="158"/>
      <c r="FD69" s="158"/>
      <c r="FE69" s="158"/>
      <c r="FF69" s="158"/>
      <c r="FG69" s="158"/>
      <c r="FH69" s="158"/>
      <c r="FI69" s="158"/>
      <c r="FJ69" s="158"/>
      <c r="FK69" s="158"/>
      <c r="FL69" s="158"/>
      <c r="FM69" s="158"/>
      <c r="FN69" s="158"/>
      <c r="FO69" s="158"/>
      <c r="FP69" s="158"/>
      <c r="FQ69" s="158"/>
      <c r="FR69" s="158"/>
      <c r="FS69" s="158"/>
      <c r="FT69" s="158"/>
      <c r="FU69" s="158"/>
      <c r="FV69" s="158"/>
      <c r="FW69" s="158"/>
      <c r="FX69" s="158"/>
      <c r="FY69" s="158"/>
      <c r="FZ69" s="158"/>
      <c r="GA69" s="158"/>
      <c r="GB69" s="158"/>
      <c r="GC69" s="158"/>
      <c r="GD69" s="158"/>
      <c r="GE69" s="158"/>
      <c r="GF69" s="158"/>
      <c r="GG69" s="158"/>
      <c r="GH69" s="158"/>
      <c r="GI69" s="158"/>
      <c r="GJ69" s="158"/>
      <c r="GK69" s="158"/>
      <c r="GL69" s="158"/>
      <c r="GM69" s="158"/>
      <c r="GN69" s="158"/>
      <c r="GO69" s="158"/>
      <c r="GP69" s="158"/>
      <c r="GQ69" s="158"/>
      <c r="GR69" s="158"/>
      <c r="GS69" s="158"/>
      <c r="GT69" s="158"/>
      <c r="GU69" s="158"/>
      <c r="GV69" s="158"/>
      <c r="GW69" s="158"/>
      <c r="GX69" s="158"/>
      <c r="GY69" s="158"/>
      <c r="GZ69" s="158"/>
      <c r="HA69" s="158"/>
      <c r="HB69" s="158"/>
      <c r="HC69" s="158"/>
      <c r="HD69" s="158"/>
      <c r="HE69" s="158"/>
      <c r="HF69" s="158"/>
      <c r="HG69" s="158"/>
      <c r="HH69" s="158"/>
      <c r="HI69" s="158"/>
      <c r="HJ69" s="158"/>
      <c r="HK69" s="158"/>
      <c r="HL69" s="158"/>
    </row>
    <row r="70" spans="1:220">
      <c r="A70" s="49"/>
      <c r="B70" s="105" t="s">
        <v>317</v>
      </c>
      <c r="C70" s="162" t="s">
        <v>612</v>
      </c>
      <c r="D70" s="145">
        <f>Output_Hazard!D19</f>
        <v>0</v>
      </c>
      <c r="E70" s="158"/>
      <c r="F70" s="158"/>
      <c r="G70" s="158"/>
      <c r="H70" s="158"/>
      <c r="I70" s="158"/>
      <c r="J70" s="158"/>
      <c r="K70" s="158"/>
      <c r="L70" s="158"/>
      <c r="M70" s="158"/>
      <c r="N70" s="158"/>
      <c r="O70" s="158"/>
      <c r="P70" s="158"/>
      <c r="Q70" s="158"/>
      <c r="R70" s="158"/>
      <c r="S70" s="158"/>
      <c r="T70" s="158"/>
      <c r="U70" s="158"/>
      <c r="V70" s="158"/>
      <c r="W70" s="158"/>
      <c r="X70" s="158"/>
      <c r="Y70" s="158"/>
      <c r="Z70" s="158"/>
      <c r="AA70" s="158"/>
      <c r="AB70" s="158"/>
      <c r="AC70" s="158"/>
      <c r="AD70" s="158"/>
      <c r="AE70" s="158"/>
      <c r="AF70" s="158"/>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8"/>
      <c r="BJ70" s="158"/>
      <c r="BK70" s="158"/>
      <c r="BL70" s="158"/>
      <c r="BM70" s="158"/>
      <c r="BN70" s="158"/>
      <c r="BO70" s="158"/>
      <c r="BP70" s="158"/>
      <c r="BQ70" s="158"/>
      <c r="BR70" s="158"/>
      <c r="BS70" s="158"/>
      <c r="BT70" s="158"/>
      <c r="BU70" s="158"/>
      <c r="BV70" s="158"/>
      <c r="BW70" s="158"/>
      <c r="BX70" s="158"/>
      <c r="BY70" s="158"/>
      <c r="BZ70" s="158"/>
      <c r="CA70" s="158"/>
      <c r="CB70" s="158"/>
      <c r="CC70" s="158"/>
      <c r="CD70" s="158"/>
      <c r="CE70" s="158"/>
      <c r="CF70" s="158"/>
      <c r="CG70" s="158"/>
      <c r="CH70" s="158"/>
      <c r="CI70" s="158"/>
      <c r="CJ70" s="158"/>
      <c r="CK70" s="158"/>
      <c r="CL70" s="158"/>
      <c r="CM70" s="158"/>
      <c r="CN70" s="158"/>
      <c r="CO70" s="158"/>
      <c r="CP70" s="158"/>
      <c r="CQ70" s="158"/>
      <c r="CR70" s="158"/>
      <c r="CS70" s="158"/>
      <c r="CT70" s="158"/>
      <c r="CU70" s="158"/>
      <c r="CV70" s="158"/>
      <c r="CW70" s="158"/>
      <c r="CX70" s="158"/>
      <c r="CY70" s="158"/>
      <c r="CZ70" s="158"/>
      <c r="DA70" s="158"/>
      <c r="DB70" s="158"/>
      <c r="DC70" s="158"/>
      <c r="DD70" s="158"/>
      <c r="DE70" s="158"/>
      <c r="DF70" s="158"/>
      <c r="DG70" s="158"/>
      <c r="DH70" s="158"/>
      <c r="DI70" s="158"/>
      <c r="DJ70" s="158"/>
      <c r="DK70" s="158"/>
      <c r="DL70" s="158"/>
      <c r="DM70" s="158"/>
      <c r="DN70" s="158"/>
      <c r="DO70" s="158"/>
      <c r="DP70" s="158"/>
      <c r="DQ70" s="158"/>
      <c r="DR70" s="158"/>
      <c r="DS70" s="158"/>
      <c r="DT70" s="158"/>
      <c r="DU70" s="158"/>
      <c r="DV70" s="158"/>
      <c r="DW70" s="158"/>
      <c r="DX70" s="158"/>
      <c r="DY70" s="158"/>
      <c r="DZ70" s="158"/>
      <c r="EA70" s="158"/>
      <c r="EB70" s="158"/>
      <c r="EC70" s="158"/>
      <c r="ED70" s="158"/>
      <c r="EE70" s="158"/>
      <c r="EF70" s="158"/>
      <c r="EG70" s="158"/>
      <c r="EH70" s="158"/>
      <c r="EI70" s="158"/>
      <c r="EJ70" s="158"/>
      <c r="EK70" s="158"/>
      <c r="EL70" s="158"/>
      <c r="EM70" s="158"/>
      <c r="EN70" s="158"/>
      <c r="EO70" s="158"/>
      <c r="EP70" s="158"/>
      <c r="EQ70" s="158"/>
      <c r="ER70" s="158"/>
      <c r="ES70" s="158"/>
      <c r="ET70" s="158"/>
      <c r="EU70" s="158"/>
      <c r="EV70" s="158"/>
      <c r="EW70" s="158"/>
      <c r="EX70" s="158"/>
      <c r="EY70" s="158"/>
      <c r="EZ70" s="158"/>
      <c r="FA70" s="158"/>
      <c r="FB70" s="158"/>
      <c r="FC70" s="158"/>
      <c r="FD70" s="158"/>
      <c r="FE70" s="158"/>
      <c r="FF70" s="158"/>
      <c r="FG70" s="158"/>
      <c r="FH70" s="158"/>
      <c r="FI70" s="158"/>
      <c r="FJ70" s="158"/>
      <c r="FK70" s="158"/>
      <c r="FL70" s="158"/>
      <c r="FM70" s="158"/>
      <c r="FN70" s="158"/>
      <c r="FO70" s="158"/>
      <c r="FP70" s="158"/>
      <c r="FQ70" s="158"/>
      <c r="FR70" s="158"/>
      <c r="FS70" s="158"/>
      <c r="FT70" s="158"/>
      <c r="FU70" s="158"/>
      <c r="FV70" s="158"/>
      <c r="FW70" s="158"/>
      <c r="FX70" s="158"/>
      <c r="FY70" s="158"/>
      <c r="FZ70" s="158"/>
      <c r="GA70" s="158"/>
      <c r="GB70" s="158"/>
      <c r="GC70" s="158"/>
      <c r="GD70" s="158"/>
      <c r="GE70" s="158"/>
      <c r="GF70" s="158"/>
      <c r="GG70" s="158"/>
      <c r="GH70" s="158"/>
      <c r="GI70" s="158"/>
      <c r="GJ70" s="158"/>
      <c r="GK70" s="158"/>
      <c r="GL70" s="158"/>
      <c r="GM70" s="158"/>
      <c r="GN70" s="158"/>
      <c r="GO70" s="158"/>
      <c r="GP70" s="158"/>
      <c r="GQ70" s="158"/>
      <c r="GR70" s="158"/>
      <c r="GS70" s="158"/>
      <c r="GT70" s="158"/>
      <c r="GU70" s="158"/>
      <c r="GV70" s="158"/>
      <c r="GW70" s="158"/>
      <c r="GX70" s="158"/>
      <c r="GY70" s="158"/>
      <c r="GZ70" s="158"/>
      <c r="HA70" s="158"/>
      <c r="HB70" s="158"/>
      <c r="HC70" s="158"/>
      <c r="HD70" s="158"/>
      <c r="HE70" s="158"/>
      <c r="HF70" s="158"/>
      <c r="HG70" s="158"/>
      <c r="HH70" s="158"/>
      <c r="HI70" s="158"/>
      <c r="HJ70" s="158"/>
      <c r="HK70" s="158"/>
      <c r="HL70" s="158"/>
    </row>
    <row r="71" spans="1:220">
      <c r="A71" s="49"/>
      <c r="B71" s="105" t="s">
        <v>318</v>
      </c>
      <c r="C71" s="162" t="s">
        <v>613</v>
      </c>
      <c r="D71" s="145">
        <f>Output_Hazard!D20</f>
        <v>0</v>
      </c>
      <c r="E71" s="158"/>
      <c r="F71" s="158"/>
      <c r="G71" s="158"/>
      <c r="H71" s="158"/>
      <c r="I71" s="158"/>
      <c r="J71" s="158"/>
      <c r="K71" s="158"/>
      <c r="L71" s="158"/>
      <c r="M71" s="158"/>
      <c r="N71" s="158"/>
      <c r="O71" s="158"/>
      <c r="P71" s="158"/>
      <c r="Q71" s="158"/>
      <c r="R71" s="158"/>
      <c r="S71" s="158"/>
      <c r="T71" s="158"/>
      <c r="U71" s="158"/>
      <c r="V71" s="158"/>
      <c r="W71" s="158"/>
      <c r="X71" s="158"/>
      <c r="Y71" s="158"/>
      <c r="Z71" s="158"/>
      <c r="AA71" s="158"/>
      <c r="AB71" s="158"/>
      <c r="AC71" s="158"/>
      <c r="AD71" s="158"/>
      <c r="AE71" s="158"/>
      <c r="AF71" s="158"/>
      <c r="AG71" s="158"/>
      <c r="AH71" s="158"/>
      <c r="AI71" s="158"/>
      <c r="AJ71" s="158"/>
      <c r="AK71" s="158"/>
      <c r="AL71" s="158"/>
      <c r="AM71" s="158"/>
      <c r="AN71" s="158"/>
      <c r="AO71" s="158"/>
      <c r="AP71" s="158"/>
      <c r="AQ71" s="158"/>
      <c r="AR71" s="158"/>
      <c r="AS71" s="158"/>
      <c r="AT71" s="158"/>
      <c r="AU71" s="158"/>
      <c r="AV71" s="158"/>
      <c r="AW71" s="158"/>
      <c r="AX71" s="158"/>
      <c r="AY71" s="158"/>
      <c r="AZ71" s="158"/>
      <c r="BA71" s="158"/>
      <c r="BB71" s="158"/>
      <c r="BC71" s="158"/>
      <c r="BD71" s="158"/>
      <c r="BE71" s="158"/>
      <c r="BF71" s="158"/>
      <c r="BG71" s="158"/>
      <c r="BH71" s="158"/>
      <c r="BI71" s="158"/>
      <c r="BJ71" s="158"/>
      <c r="BK71" s="158"/>
      <c r="BL71" s="158"/>
      <c r="BM71" s="158"/>
      <c r="BN71" s="158"/>
      <c r="BO71" s="158"/>
      <c r="BP71" s="158"/>
      <c r="BQ71" s="158"/>
      <c r="BR71" s="158"/>
      <c r="BS71" s="158"/>
      <c r="BT71" s="158"/>
      <c r="BU71" s="158"/>
      <c r="BV71" s="158"/>
      <c r="BW71" s="158"/>
      <c r="BX71" s="158"/>
      <c r="BY71" s="158"/>
      <c r="BZ71" s="158"/>
      <c r="CA71" s="158"/>
      <c r="CB71" s="158"/>
      <c r="CC71" s="158"/>
      <c r="CD71" s="158"/>
      <c r="CE71" s="158"/>
      <c r="CF71" s="158"/>
      <c r="CG71" s="158"/>
      <c r="CH71" s="158"/>
      <c r="CI71" s="158"/>
      <c r="CJ71" s="158"/>
      <c r="CK71" s="158"/>
      <c r="CL71" s="158"/>
      <c r="CM71" s="158"/>
      <c r="CN71" s="158"/>
      <c r="CO71" s="158"/>
      <c r="CP71" s="158"/>
      <c r="CQ71" s="158"/>
      <c r="CR71" s="158"/>
      <c r="CS71" s="158"/>
      <c r="CT71" s="158"/>
      <c r="CU71" s="158"/>
      <c r="CV71" s="158"/>
      <c r="CW71" s="158"/>
      <c r="CX71" s="158"/>
      <c r="CY71" s="158"/>
      <c r="CZ71" s="158"/>
      <c r="DA71" s="158"/>
      <c r="DB71" s="158"/>
      <c r="DC71" s="158"/>
      <c r="DD71" s="158"/>
      <c r="DE71" s="158"/>
      <c r="DF71" s="158"/>
      <c r="DG71" s="158"/>
      <c r="DH71" s="158"/>
      <c r="DI71" s="158"/>
      <c r="DJ71" s="158"/>
      <c r="DK71" s="158"/>
      <c r="DL71" s="158"/>
      <c r="DM71" s="158"/>
      <c r="DN71" s="158"/>
      <c r="DO71" s="158"/>
      <c r="DP71" s="158"/>
      <c r="DQ71" s="158"/>
      <c r="DR71" s="158"/>
      <c r="DS71" s="158"/>
      <c r="DT71" s="158"/>
      <c r="DU71" s="158"/>
      <c r="DV71" s="158"/>
      <c r="DW71" s="158"/>
      <c r="DX71" s="158"/>
      <c r="DY71" s="158"/>
      <c r="DZ71" s="158"/>
      <c r="EA71" s="158"/>
      <c r="EB71" s="158"/>
      <c r="EC71" s="158"/>
      <c r="ED71" s="158"/>
      <c r="EE71" s="158"/>
      <c r="EF71" s="158"/>
      <c r="EG71" s="158"/>
      <c r="EH71" s="158"/>
      <c r="EI71" s="158"/>
      <c r="EJ71" s="158"/>
      <c r="EK71" s="158"/>
      <c r="EL71" s="158"/>
      <c r="EM71" s="158"/>
      <c r="EN71" s="158"/>
      <c r="EO71" s="158"/>
      <c r="EP71" s="158"/>
      <c r="EQ71" s="158"/>
      <c r="ER71" s="158"/>
      <c r="ES71" s="158"/>
      <c r="ET71" s="158"/>
      <c r="EU71" s="158"/>
      <c r="EV71" s="158"/>
      <c r="EW71" s="158"/>
      <c r="EX71" s="158"/>
      <c r="EY71" s="158"/>
      <c r="EZ71" s="158"/>
      <c r="FA71" s="158"/>
      <c r="FB71" s="158"/>
      <c r="FC71" s="158"/>
      <c r="FD71" s="158"/>
      <c r="FE71" s="158"/>
      <c r="FF71" s="158"/>
      <c r="FG71" s="158"/>
      <c r="FH71" s="158"/>
      <c r="FI71" s="158"/>
      <c r="FJ71" s="158"/>
      <c r="FK71" s="158"/>
      <c r="FL71" s="158"/>
      <c r="FM71" s="158"/>
      <c r="FN71" s="158"/>
      <c r="FO71" s="158"/>
      <c r="FP71" s="158"/>
      <c r="FQ71" s="158"/>
      <c r="FR71" s="158"/>
      <c r="FS71" s="158"/>
      <c r="FT71" s="158"/>
      <c r="FU71" s="158"/>
      <c r="FV71" s="158"/>
      <c r="FW71" s="158"/>
      <c r="FX71" s="158"/>
      <c r="FY71" s="158"/>
      <c r="FZ71" s="158"/>
      <c r="GA71" s="158"/>
      <c r="GB71" s="158"/>
      <c r="GC71" s="158"/>
      <c r="GD71" s="158"/>
      <c r="GE71" s="158"/>
      <c r="GF71" s="158"/>
      <c r="GG71" s="158"/>
      <c r="GH71" s="158"/>
      <c r="GI71" s="158"/>
      <c r="GJ71" s="158"/>
      <c r="GK71" s="158"/>
      <c r="GL71" s="158"/>
      <c r="GM71" s="158"/>
      <c r="GN71" s="158"/>
      <c r="GO71" s="158"/>
      <c r="GP71" s="158"/>
      <c r="GQ71" s="158"/>
      <c r="GR71" s="158"/>
      <c r="GS71" s="158"/>
      <c r="GT71" s="158"/>
      <c r="GU71" s="158"/>
      <c r="GV71" s="158"/>
      <c r="GW71" s="158"/>
      <c r="GX71" s="158"/>
      <c r="GY71" s="158"/>
      <c r="GZ71" s="158"/>
      <c r="HA71" s="158"/>
      <c r="HB71" s="158"/>
      <c r="HC71" s="158"/>
      <c r="HD71" s="158"/>
      <c r="HE71" s="158"/>
      <c r="HF71" s="158"/>
      <c r="HG71" s="158"/>
      <c r="HH71" s="158"/>
      <c r="HI71" s="158"/>
      <c r="HJ71" s="158"/>
      <c r="HK71" s="158"/>
      <c r="HL71" s="158"/>
    </row>
    <row r="72" spans="1:220">
      <c r="A72" s="49"/>
      <c r="B72" s="105" t="s">
        <v>319</v>
      </c>
      <c r="C72" s="162" t="s">
        <v>614</v>
      </c>
      <c r="D72" s="145">
        <f>Output_Hazard!D21</f>
        <v>0</v>
      </c>
      <c r="E72" s="158"/>
      <c r="F72" s="158"/>
      <c r="G72" s="158"/>
      <c r="H72" s="158"/>
      <c r="I72" s="158"/>
      <c r="J72" s="158"/>
      <c r="K72" s="158"/>
      <c r="L72" s="158"/>
      <c r="M72" s="158"/>
      <c r="N72" s="158"/>
      <c r="O72" s="158"/>
      <c r="P72" s="158"/>
      <c r="Q72" s="158"/>
      <c r="R72" s="158"/>
      <c r="S72" s="158"/>
      <c r="T72" s="158"/>
      <c r="U72" s="158"/>
      <c r="V72" s="158"/>
      <c r="W72" s="158"/>
      <c r="X72" s="158"/>
      <c r="Y72" s="158"/>
      <c r="Z72" s="158"/>
      <c r="AA72" s="158"/>
      <c r="AB72" s="158"/>
      <c r="AC72" s="158"/>
      <c r="AD72" s="158"/>
      <c r="AE72" s="158"/>
      <c r="AF72" s="158"/>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8"/>
      <c r="BJ72" s="158"/>
      <c r="BK72" s="158"/>
      <c r="BL72" s="158"/>
      <c r="BM72" s="158"/>
      <c r="BN72" s="158"/>
      <c r="BO72" s="158"/>
      <c r="BP72" s="158"/>
      <c r="BQ72" s="158"/>
      <c r="BR72" s="158"/>
      <c r="BS72" s="158"/>
      <c r="BT72" s="158"/>
      <c r="BU72" s="158"/>
      <c r="BV72" s="158"/>
      <c r="BW72" s="158"/>
      <c r="BX72" s="158"/>
      <c r="BY72" s="158"/>
      <c r="BZ72" s="158"/>
      <c r="CA72" s="158"/>
      <c r="CB72" s="158"/>
      <c r="CC72" s="158"/>
      <c r="CD72" s="158"/>
      <c r="CE72" s="158"/>
      <c r="CF72" s="158"/>
      <c r="CG72" s="158"/>
      <c r="CH72" s="158"/>
      <c r="CI72" s="158"/>
      <c r="CJ72" s="158"/>
      <c r="CK72" s="158"/>
      <c r="CL72" s="158"/>
      <c r="CM72" s="158"/>
      <c r="CN72" s="158"/>
      <c r="CO72" s="158"/>
      <c r="CP72" s="158"/>
      <c r="CQ72" s="158"/>
      <c r="CR72" s="158"/>
      <c r="CS72" s="158"/>
      <c r="CT72" s="158"/>
      <c r="CU72" s="158"/>
      <c r="CV72" s="158"/>
      <c r="CW72" s="158"/>
      <c r="CX72" s="158"/>
      <c r="CY72" s="158"/>
      <c r="CZ72" s="158"/>
      <c r="DA72" s="158"/>
      <c r="DB72" s="158"/>
      <c r="DC72" s="158"/>
      <c r="DD72" s="158"/>
      <c r="DE72" s="158"/>
      <c r="DF72" s="158"/>
      <c r="DG72" s="158"/>
      <c r="DH72" s="158"/>
      <c r="DI72" s="158"/>
      <c r="DJ72" s="158"/>
      <c r="DK72" s="158"/>
      <c r="DL72" s="158"/>
      <c r="DM72" s="158"/>
      <c r="DN72" s="158"/>
      <c r="DO72" s="158"/>
      <c r="DP72" s="158"/>
      <c r="DQ72" s="158"/>
      <c r="DR72" s="158"/>
      <c r="DS72" s="158"/>
      <c r="DT72" s="158"/>
      <c r="DU72" s="158"/>
      <c r="DV72" s="158"/>
      <c r="DW72" s="158"/>
      <c r="DX72" s="158"/>
      <c r="DY72" s="158"/>
      <c r="DZ72" s="158"/>
      <c r="EA72" s="158"/>
      <c r="EB72" s="158"/>
      <c r="EC72" s="158"/>
      <c r="ED72" s="158"/>
      <c r="EE72" s="158"/>
      <c r="EF72" s="158"/>
      <c r="EG72" s="158"/>
      <c r="EH72" s="158"/>
      <c r="EI72" s="158"/>
      <c r="EJ72" s="158"/>
      <c r="EK72" s="158"/>
      <c r="EL72" s="158"/>
      <c r="EM72" s="158"/>
      <c r="EN72" s="158"/>
      <c r="EO72" s="158"/>
      <c r="EP72" s="158"/>
      <c r="EQ72" s="158"/>
      <c r="ER72" s="158"/>
      <c r="ES72" s="158"/>
      <c r="ET72" s="158"/>
      <c r="EU72" s="158"/>
      <c r="EV72" s="158"/>
      <c r="EW72" s="158"/>
      <c r="EX72" s="158"/>
      <c r="EY72" s="158"/>
      <c r="EZ72" s="158"/>
      <c r="FA72" s="158"/>
      <c r="FB72" s="158"/>
      <c r="FC72" s="158"/>
      <c r="FD72" s="158"/>
      <c r="FE72" s="158"/>
      <c r="FF72" s="158"/>
      <c r="FG72" s="158"/>
      <c r="FH72" s="158"/>
      <c r="FI72" s="158"/>
      <c r="FJ72" s="158"/>
      <c r="FK72" s="158"/>
      <c r="FL72" s="158"/>
      <c r="FM72" s="158"/>
      <c r="FN72" s="158"/>
      <c r="FO72" s="158"/>
      <c r="FP72" s="158"/>
      <c r="FQ72" s="158"/>
      <c r="FR72" s="158"/>
      <c r="FS72" s="158"/>
      <c r="FT72" s="158"/>
      <c r="FU72" s="158"/>
      <c r="FV72" s="158"/>
      <c r="FW72" s="158"/>
      <c r="FX72" s="158"/>
      <c r="FY72" s="158"/>
      <c r="FZ72" s="158"/>
      <c r="GA72" s="158"/>
      <c r="GB72" s="158"/>
      <c r="GC72" s="158"/>
      <c r="GD72" s="158"/>
      <c r="GE72" s="158"/>
      <c r="GF72" s="158"/>
      <c r="GG72" s="158"/>
      <c r="GH72" s="158"/>
      <c r="GI72" s="158"/>
      <c r="GJ72" s="158"/>
      <c r="GK72" s="158"/>
      <c r="GL72" s="158"/>
      <c r="GM72" s="158"/>
      <c r="GN72" s="158"/>
      <c r="GO72" s="158"/>
      <c r="GP72" s="158"/>
      <c r="GQ72" s="158"/>
      <c r="GR72" s="158"/>
      <c r="GS72" s="158"/>
      <c r="GT72" s="158"/>
      <c r="GU72" s="158"/>
      <c r="GV72" s="158"/>
      <c r="GW72" s="158"/>
      <c r="GX72" s="158"/>
      <c r="GY72" s="158"/>
      <c r="GZ72" s="158"/>
      <c r="HA72" s="158"/>
      <c r="HB72" s="158"/>
      <c r="HC72" s="158"/>
      <c r="HD72" s="158"/>
      <c r="HE72" s="158"/>
      <c r="HF72" s="158"/>
      <c r="HG72" s="158"/>
      <c r="HH72" s="158"/>
      <c r="HI72" s="158"/>
      <c r="HJ72" s="158"/>
      <c r="HK72" s="158"/>
      <c r="HL72" s="158"/>
    </row>
    <row r="73" spans="1:220">
      <c r="A73" s="49"/>
      <c r="B73" s="105" t="s">
        <v>320</v>
      </c>
      <c r="C73" s="162" t="s">
        <v>615</v>
      </c>
      <c r="D73" s="145">
        <f>Output_Hazard!D22</f>
        <v>0</v>
      </c>
      <c r="E73" s="158"/>
      <c r="F73" s="158"/>
      <c r="G73" s="158"/>
      <c r="H73" s="158"/>
      <c r="I73" s="158"/>
      <c r="J73" s="158"/>
      <c r="K73" s="158"/>
      <c r="L73" s="158"/>
      <c r="M73" s="158"/>
      <c r="N73" s="158"/>
      <c r="O73" s="158"/>
      <c r="P73" s="158"/>
      <c r="Q73" s="158"/>
      <c r="R73" s="158"/>
      <c r="S73" s="158"/>
      <c r="T73" s="158"/>
      <c r="U73" s="158"/>
      <c r="V73" s="158"/>
      <c r="W73" s="158"/>
      <c r="X73" s="158"/>
      <c r="Y73" s="158"/>
      <c r="Z73" s="158"/>
      <c r="AA73" s="158"/>
      <c r="AB73" s="158"/>
      <c r="AC73" s="158"/>
      <c r="AD73" s="158"/>
      <c r="AE73" s="158"/>
      <c r="AF73" s="158"/>
      <c r="AG73" s="158"/>
      <c r="AH73" s="158"/>
      <c r="AI73" s="158"/>
      <c r="AJ73" s="158"/>
      <c r="AK73" s="158"/>
      <c r="AL73" s="158"/>
      <c r="AM73" s="158"/>
      <c r="AN73" s="158"/>
      <c r="AO73" s="158"/>
      <c r="AP73" s="158"/>
      <c r="AQ73" s="158"/>
      <c r="AR73" s="158"/>
      <c r="AS73" s="158"/>
      <c r="AT73" s="158"/>
      <c r="AU73" s="158"/>
      <c r="AV73" s="158"/>
      <c r="AW73" s="158"/>
      <c r="AX73" s="158"/>
      <c r="AY73" s="158"/>
      <c r="AZ73" s="158"/>
      <c r="BA73" s="158"/>
      <c r="BB73" s="158"/>
      <c r="BC73" s="158"/>
      <c r="BD73" s="158"/>
      <c r="BE73" s="158"/>
      <c r="BF73" s="158"/>
      <c r="BG73" s="158"/>
      <c r="BH73" s="158"/>
      <c r="BI73" s="158"/>
      <c r="BJ73" s="158"/>
      <c r="BK73" s="158"/>
      <c r="BL73" s="158"/>
      <c r="BM73" s="158"/>
      <c r="BN73" s="158"/>
      <c r="BO73" s="158"/>
      <c r="BP73" s="158"/>
      <c r="BQ73" s="158"/>
      <c r="BR73" s="158"/>
      <c r="BS73" s="158"/>
      <c r="BT73" s="158"/>
      <c r="BU73" s="158"/>
      <c r="BV73" s="158"/>
      <c r="BW73" s="158"/>
      <c r="BX73" s="158"/>
      <c r="BY73" s="158"/>
      <c r="BZ73" s="158"/>
      <c r="CA73" s="158"/>
      <c r="CB73" s="158"/>
      <c r="CC73" s="158"/>
      <c r="CD73" s="158"/>
      <c r="CE73" s="158"/>
      <c r="CF73" s="158"/>
      <c r="CG73" s="158"/>
      <c r="CH73" s="158"/>
      <c r="CI73" s="158"/>
      <c r="CJ73" s="158"/>
      <c r="CK73" s="158"/>
      <c r="CL73" s="158"/>
      <c r="CM73" s="158"/>
      <c r="CN73" s="158"/>
      <c r="CO73" s="158"/>
      <c r="CP73" s="158"/>
      <c r="CQ73" s="158"/>
      <c r="CR73" s="158"/>
      <c r="CS73" s="158"/>
      <c r="CT73" s="158"/>
      <c r="CU73" s="158"/>
      <c r="CV73" s="158"/>
      <c r="CW73" s="158"/>
      <c r="CX73" s="158"/>
      <c r="CY73" s="158"/>
      <c r="CZ73" s="158"/>
      <c r="DA73" s="158"/>
      <c r="DB73" s="158"/>
      <c r="DC73" s="158"/>
      <c r="DD73" s="158"/>
      <c r="DE73" s="158"/>
      <c r="DF73" s="158"/>
      <c r="DG73" s="158"/>
      <c r="DH73" s="158"/>
      <c r="DI73" s="158"/>
      <c r="DJ73" s="158"/>
      <c r="DK73" s="158"/>
      <c r="DL73" s="158"/>
      <c r="DM73" s="158"/>
      <c r="DN73" s="158"/>
      <c r="DO73" s="158"/>
      <c r="DP73" s="158"/>
      <c r="DQ73" s="158"/>
      <c r="DR73" s="158"/>
      <c r="DS73" s="158"/>
      <c r="DT73" s="158"/>
      <c r="DU73" s="158"/>
      <c r="DV73" s="158"/>
      <c r="DW73" s="158"/>
      <c r="DX73" s="158"/>
      <c r="DY73" s="158"/>
      <c r="DZ73" s="158"/>
      <c r="EA73" s="158"/>
      <c r="EB73" s="158"/>
      <c r="EC73" s="158"/>
      <c r="ED73" s="158"/>
      <c r="EE73" s="158"/>
      <c r="EF73" s="158"/>
      <c r="EG73" s="158"/>
      <c r="EH73" s="158"/>
      <c r="EI73" s="158"/>
      <c r="EJ73" s="158"/>
      <c r="EK73" s="158"/>
      <c r="EL73" s="158"/>
      <c r="EM73" s="158"/>
      <c r="EN73" s="158"/>
      <c r="EO73" s="158"/>
      <c r="EP73" s="158"/>
      <c r="EQ73" s="158"/>
      <c r="ER73" s="158"/>
      <c r="ES73" s="158"/>
      <c r="ET73" s="158"/>
      <c r="EU73" s="158"/>
      <c r="EV73" s="158"/>
      <c r="EW73" s="158"/>
      <c r="EX73" s="158"/>
      <c r="EY73" s="158"/>
      <c r="EZ73" s="158"/>
      <c r="FA73" s="158"/>
      <c r="FB73" s="158"/>
      <c r="FC73" s="158"/>
      <c r="FD73" s="158"/>
      <c r="FE73" s="158"/>
      <c r="FF73" s="158"/>
      <c r="FG73" s="158"/>
      <c r="FH73" s="158"/>
      <c r="FI73" s="158"/>
      <c r="FJ73" s="158"/>
      <c r="FK73" s="158"/>
      <c r="FL73" s="158"/>
      <c r="FM73" s="158"/>
      <c r="FN73" s="158"/>
      <c r="FO73" s="158"/>
      <c r="FP73" s="158"/>
      <c r="FQ73" s="158"/>
      <c r="FR73" s="158"/>
      <c r="FS73" s="158"/>
      <c r="FT73" s="158"/>
      <c r="FU73" s="158"/>
      <c r="FV73" s="158"/>
      <c r="FW73" s="158"/>
      <c r="FX73" s="158"/>
      <c r="FY73" s="158"/>
      <c r="FZ73" s="158"/>
      <c r="GA73" s="158"/>
      <c r="GB73" s="158"/>
      <c r="GC73" s="158"/>
      <c r="GD73" s="158"/>
      <c r="GE73" s="158"/>
      <c r="GF73" s="158"/>
      <c r="GG73" s="158"/>
      <c r="GH73" s="158"/>
      <c r="GI73" s="158"/>
      <c r="GJ73" s="158"/>
      <c r="GK73" s="158"/>
      <c r="GL73" s="158"/>
      <c r="GM73" s="158"/>
      <c r="GN73" s="158"/>
      <c r="GO73" s="158"/>
      <c r="GP73" s="158"/>
      <c r="GQ73" s="158"/>
      <c r="GR73" s="158"/>
      <c r="GS73" s="158"/>
      <c r="GT73" s="158"/>
      <c r="GU73" s="158"/>
      <c r="GV73" s="158"/>
      <c r="GW73" s="158"/>
      <c r="GX73" s="158"/>
      <c r="GY73" s="158"/>
      <c r="GZ73" s="158"/>
      <c r="HA73" s="158"/>
      <c r="HB73" s="158"/>
      <c r="HC73" s="158"/>
      <c r="HD73" s="158"/>
      <c r="HE73" s="158"/>
      <c r="HF73" s="158"/>
      <c r="HG73" s="158"/>
      <c r="HH73" s="158"/>
      <c r="HI73" s="158"/>
      <c r="HJ73" s="158"/>
      <c r="HK73" s="158"/>
      <c r="HL73" s="158"/>
    </row>
    <row r="74" spans="1:220">
      <c r="A74" s="49"/>
      <c r="B74" s="105" t="s">
        <v>321</v>
      </c>
      <c r="C74" s="162" t="s">
        <v>616</v>
      </c>
      <c r="D74" s="145">
        <f>Output_Hazard!D23</f>
        <v>0</v>
      </c>
      <c r="E74" s="158"/>
      <c r="F74" s="158"/>
      <c r="G74" s="158"/>
      <c r="H74" s="158"/>
      <c r="I74" s="158"/>
      <c r="J74" s="158"/>
      <c r="K74" s="158"/>
      <c r="L74" s="158"/>
      <c r="M74" s="158"/>
      <c r="N74" s="158"/>
      <c r="O74" s="158"/>
      <c r="P74" s="158"/>
      <c r="Q74" s="158"/>
      <c r="R74" s="158"/>
      <c r="S74" s="158"/>
      <c r="T74" s="158"/>
      <c r="U74" s="158"/>
      <c r="V74" s="158"/>
      <c r="W74" s="158"/>
      <c r="X74" s="158"/>
      <c r="Y74" s="158"/>
      <c r="Z74" s="158"/>
      <c r="AA74" s="158"/>
      <c r="AB74" s="158"/>
      <c r="AC74" s="158"/>
      <c r="AD74" s="158"/>
      <c r="AE74" s="158"/>
      <c r="AF74" s="158"/>
      <c r="AG74" s="158"/>
      <c r="AH74" s="158"/>
      <c r="AI74" s="158"/>
      <c r="AJ74" s="158"/>
      <c r="AK74" s="158"/>
      <c r="AL74" s="158"/>
      <c r="AM74" s="158"/>
      <c r="AN74" s="158"/>
      <c r="AO74" s="158"/>
      <c r="AP74" s="158"/>
      <c r="AQ74" s="158"/>
      <c r="AR74" s="158"/>
      <c r="AS74" s="158"/>
      <c r="AT74" s="158"/>
      <c r="AU74" s="158"/>
      <c r="AV74" s="158"/>
      <c r="AW74" s="158"/>
      <c r="AX74" s="158"/>
      <c r="AY74" s="158"/>
      <c r="AZ74" s="158"/>
      <c r="BA74" s="158"/>
      <c r="BB74" s="158"/>
      <c r="BC74" s="158"/>
      <c r="BD74" s="158"/>
      <c r="BE74" s="158"/>
      <c r="BF74" s="158"/>
      <c r="BG74" s="158"/>
      <c r="BH74" s="158"/>
      <c r="BI74" s="158"/>
      <c r="BJ74" s="158"/>
      <c r="BK74" s="158"/>
      <c r="BL74" s="158"/>
      <c r="BM74" s="158"/>
      <c r="BN74" s="158"/>
      <c r="BO74" s="158"/>
      <c r="BP74" s="158"/>
      <c r="BQ74" s="158"/>
      <c r="BR74" s="158"/>
      <c r="BS74" s="158"/>
      <c r="BT74" s="158"/>
      <c r="BU74" s="158"/>
      <c r="BV74" s="158"/>
      <c r="BW74" s="158"/>
      <c r="BX74" s="158"/>
      <c r="BY74" s="158"/>
      <c r="BZ74" s="158"/>
      <c r="CA74" s="158"/>
      <c r="CB74" s="158"/>
      <c r="CC74" s="158"/>
      <c r="CD74" s="158"/>
      <c r="CE74" s="158"/>
      <c r="CF74" s="158"/>
      <c r="CG74" s="158"/>
      <c r="CH74" s="158"/>
      <c r="CI74" s="158"/>
      <c r="CJ74" s="158"/>
      <c r="CK74" s="158"/>
      <c r="CL74" s="158"/>
      <c r="CM74" s="158"/>
      <c r="CN74" s="158"/>
      <c r="CO74" s="158"/>
      <c r="CP74" s="158"/>
      <c r="CQ74" s="158"/>
      <c r="CR74" s="158"/>
      <c r="CS74" s="158"/>
      <c r="CT74" s="158"/>
      <c r="CU74" s="158"/>
      <c r="CV74" s="158"/>
      <c r="CW74" s="158"/>
      <c r="CX74" s="158"/>
      <c r="CY74" s="158"/>
      <c r="CZ74" s="158"/>
      <c r="DA74" s="158"/>
      <c r="DB74" s="158"/>
      <c r="DC74" s="158"/>
      <c r="DD74" s="158"/>
      <c r="DE74" s="158"/>
      <c r="DF74" s="158"/>
      <c r="DG74" s="158"/>
      <c r="DH74" s="158"/>
      <c r="DI74" s="158"/>
      <c r="DJ74" s="158"/>
      <c r="DK74" s="158"/>
      <c r="DL74" s="158"/>
      <c r="DM74" s="158"/>
      <c r="DN74" s="158"/>
      <c r="DO74" s="158"/>
      <c r="DP74" s="158"/>
      <c r="DQ74" s="158"/>
      <c r="DR74" s="158"/>
      <c r="DS74" s="158"/>
      <c r="DT74" s="158"/>
      <c r="DU74" s="158"/>
      <c r="DV74" s="158"/>
      <c r="DW74" s="158"/>
      <c r="DX74" s="158"/>
      <c r="DY74" s="158"/>
      <c r="DZ74" s="158"/>
      <c r="EA74" s="158"/>
      <c r="EB74" s="158"/>
      <c r="EC74" s="158"/>
      <c r="ED74" s="158"/>
      <c r="EE74" s="158"/>
      <c r="EF74" s="158"/>
      <c r="EG74" s="158"/>
      <c r="EH74" s="158"/>
      <c r="EI74" s="158"/>
      <c r="EJ74" s="158"/>
      <c r="EK74" s="158"/>
      <c r="EL74" s="158"/>
      <c r="EM74" s="158"/>
      <c r="EN74" s="158"/>
      <c r="EO74" s="158"/>
      <c r="EP74" s="158"/>
      <c r="EQ74" s="158"/>
      <c r="ER74" s="158"/>
      <c r="ES74" s="158"/>
      <c r="ET74" s="158"/>
      <c r="EU74" s="158"/>
      <c r="EV74" s="158"/>
      <c r="EW74" s="158"/>
      <c r="EX74" s="158"/>
      <c r="EY74" s="158"/>
      <c r="EZ74" s="158"/>
      <c r="FA74" s="158"/>
      <c r="FB74" s="158"/>
      <c r="FC74" s="158"/>
      <c r="FD74" s="158"/>
      <c r="FE74" s="158"/>
      <c r="FF74" s="158"/>
      <c r="FG74" s="158"/>
      <c r="FH74" s="158"/>
      <c r="FI74" s="158"/>
      <c r="FJ74" s="158"/>
      <c r="FK74" s="158"/>
      <c r="FL74" s="158"/>
      <c r="FM74" s="158"/>
      <c r="FN74" s="158"/>
      <c r="FO74" s="158"/>
      <c r="FP74" s="158"/>
      <c r="FQ74" s="158"/>
      <c r="FR74" s="158"/>
      <c r="FS74" s="158"/>
      <c r="FT74" s="158"/>
      <c r="FU74" s="158"/>
      <c r="FV74" s="158"/>
      <c r="FW74" s="158"/>
      <c r="FX74" s="158"/>
      <c r="FY74" s="158"/>
      <c r="FZ74" s="158"/>
      <c r="GA74" s="158"/>
      <c r="GB74" s="158"/>
      <c r="GC74" s="158"/>
      <c r="GD74" s="158"/>
      <c r="GE74" s="158"/>
      <c r="GF74" s="158"/>
      <c r="GG74" s="158"/>
      <c r="GH74" s="158"/>
      <c r="GI74" s="158"/>
      <c r="GJ74" s="158"/>
      <c r="GK74" s="158"/>
      <c r="GL74" s="158"/>
      <c r="GM74" s="158"/>
      <c r="GN74" s="158"/>
      <c r="GO74" s="158"/>
      <c r="GP74" s="158"/>
      <c r="GQ74" s="158"/>
      <c r="GR74" s="158"/>
      <c r="GS74" s="158"/>
      <c r="GT74" s="158"/>
      <c r="GU74" s="158"/>
      <c r="GV74" s="158"/>
      <c r="GW74" s="158"/>
      <c r="GX74" s="158"/>
      <c r="GY74" s="158"/>
      <c r="GZ74" s="158"/>
      <c r="HA74" s="158"/>
      <c r="HB74" s="158"/>
      <c r="HC74" s="158"/>
      <c r="HD74" s="158"/>
      <c r="HE74" s="158"/>
      <c r="HF74" s="158"/>
      <c r="HG74" s="158"/>
      <c r="HH74" s="158"/>
      <c r="HI74" s="158"/>
      <c r="HJ74" s="158"/>
      <c r="HK74" s="158"/>
      <c r="HL74" s="158"/>
    </row>
    <row r="75" spans="1:220">
      <c r="A75" s="49"/>
      <c r="B75" s="105" t="s">
        <v>322</v>
      </c>
      <c r="C75" s="162" t="s">
        <v>617</v>
      </c>
      <c r="D75" s="145">
        <f>Output_Concentration!AK4</f>
        <v>0</v>
      </c>
      <c r="E75" s="158"/>
      <c r="F75" s="158"/>
      <c r="G75" s="158"/>
      <c r="H75" s="158"/>
      <c r="I75" s="158"/>
      <c r="J75" s="158"/>
      <c r="K75" s="158"/>
      <c r="L75" s="158"/>
      <c r="M75" s="158"/>
      <c r="N75" s="158"/>
      <c r="O75" s="158"/>
      <c r="P75" s="158"/>
      <c r="Q75" s="158"/>
      <c r="R75" s="158"/>
      <c r="S75" s="158"/>
      <c r="T75" s="158"/>
      <c r="U75" s="158"/>
      <c r="V75" s="158"/>
      <c r="W75" s="158"/>
      <c r="X75" s="158"/>
      <c r="Y75" s="158"/>
      <c r="Z75" s="158"/>
      <c r="AA75" s="158"/>
      <c r="AB75" s="158"/>
      <c r="AC75" s="158"/>
      <c r="AD75" s="158"/>
      <c r="AE75" s="158"/>
      <c r="AF75" s="158"/>
      <c r="AG75" s="158"/>
      <c r="AH75" s="158"/>
      <c r="AI75" s="158"/>
      <c r="AJ75" s="158"/>
      <c r="AK75" s="158"/>
      <c r="AL75" s="158"/>
      <c r="AM75" s="158"/>
      <c r="AN75" s="158"/>
      <c r="AO75" s="158"/>
      <c r="AP75" s="158"/>
      <c r="AQ75" s="158"/>
      <c r="AR75" s="158"/>
      <c r="AS75" s="158"/>
      <c r="AT75" s="158"/>
      <c r="AU75" s="158"/>
      <c r="AV75" s="158"/>
      <c r="AW75" s="158"/>
      <c r="AX75" s="158"/>
      <c r="AY75" s="158"/>
      <c r="AZ75" s="158"/>
      <c r="BA75" s="158"/>
      <c r="BB75" s="158"/>
      <c r="BC75" s="158"/>
      <c r="BD75" s="158"/>
      <c r="BE75" s="158"/>
      <c r="BF75" s="158"/>
      <c r="BG75" s="158"/>
      <c r="BH75" s="158"/>
      <c r="BI75" s="158"/>
      <c r="BJ75" s="158"/>
      <c r="BK75" s="158"/>
      <c r="BL75" s="158"/>
      <c r="BM75" s="158"/>
      <c r="BN75" s="158"/>
      <c r="BO75" s="158"/>
      <c r="BP75" s="158"/>
      <c r="BQ75" s="158"/>
      <c r="BR75" s="158"/>
      <c r="BS75" s="158"/>
      <c r="BT75" s="158"/>
      <c r="BU75" s="158"/>
      <c r="BV75" s="158"/>
      <c r="BW75" s="158"/>
      <c r="BX75" s="158"/>
      <c r="BY75" s="158"/>
      <c r="BZ75" s="158"/>
      <c r="CA75" s="158"/>
      <c r="CB75" s="158"/>
      <c r="CC75" s="158"/>
      <c r="CD75" s="158"/>
      <c r="CE75" s="158"/>
      <c r="CF75" s="158"/>
      <c r="CG75" s="158"/>
      <c r="CH75" s="158"/>
      <c r="CI75" s="158"/>
      <c r="CJ75" s="158"/>
      <c r="CK75" s="158"/>
      <c r="CL75" s="158"/>
      <c r="CM75" s="158"/>
      <c r="CN75" s="158"/>
      <c r="CO75" s="158"/>
      <c r="CP75" s="158"/>
      <c r="CQ75" s="158"/>
      <c r="CR75" s="158"/>
      <c r="CS75" s="158"/>
      <c r="CT75" s="158"/>
      <c r="CU75" s="158"/>
      <c r="CV75" s="158"/>
      <c r="CW75" s="158"/>
      <c r="CX75" s="158"/>
      <c r="CY75" s="158"/>
      <c r="CZ75" s="158"/>
      <c r="DA75" s="158"/>
      <c r="DB75" s="158"/>
      <c r="DC75" s="158"/>
      <c r="DD75" s="158"/>
      <c r="DE75" s="158"/>
      <c r="DF75" s="158"/>
      <c r="DG75" s="158"/>
      <c r="DH75" s="158"/>
      <c r="DI75" s="158"/>
      <c r="DJ75" s="158"/>
      <c r="DK75" s="158"/>
      <c r="DL75" s="158"/>
      <c r="DM75" s="158"/>
      <c r="DN75" s="158"/>
      <c r="DO75" s="158"/>
      <c r="DP75" s="158"/>
      <c r="DQ75" s="158"/>
      <c r="DR75" s="158"/>
      <c r="DS75" s="158"/>
      <c r="DT75" s="158"/>
      <c r="DU75" s="158"/>
      <c r="DV75" s="158"/>
      <c r="DW75" s="158"/>
      <c r="DX75" s="158"/>
      <c r="DY75" s="158"/>
      <c r="DZ75" s="158"/>
      <c r="EA75" s="158"/>
      <c r="EB75" s="158"/>
      <c r="EC75" s="158"/>
      <c r="ED75" s="158"/>
      <c r="EE75" s="158"/>
      <c r="EF75" s="158"/>
      <c r="EG75" s="158"/>
      <c r="EH75" s="158"/>
      <c r="EI75" s="158"/>
      <c r="EJ75" s="158"/>
      <c r="EK75" s="158"/>
      <c r="EL75" s="158"/>
      <c r="EM75" s="158"/>
      <c r="EN75" s="158"/>
      <c r="EO75" s="158"/>
      <c r="EP75" s="158"/>
      <c r="EQ75" s="158"/>
      <c r="ER75" s="158"/>
      <c r="ES75" s="158"/>
      <c r="ET75" s="158"/>
      <c r="EU75" s="158"/>
      <c r="EV75" s="158"/>
      <c r="EW75" s="158"/>
      <c r="EX75" s="158"/>
      <c r="EY75" s="158"/>
      <c r="EZ75" s="158"/>
      <c r="FA75" s="158"/>
      <c r="FB75" s="158"/>
      <c r="FC75" s="158"/>
      <c r="FD75" s="158"/>
      <c r="FE75" s="158"/>
      <c r="FF75" s="158"/>
      <c r="FG75" s="158"/>
      <c r="FH75" s="158"/>
      <c r="FI75" s="158"/>
      <c r="FJ75" s="158"/>
      <c r="FK75" s="158"/>
      <c r="FL75" s="158"/>
      <c r="FM75" s="158"/>
      <c r="FN75" s="158"/>
      <c r="FO75" s="158"/>
      <c r="FP75" s="158"/>
      <c r="FQ75" s="158"/>
      <c r="FR75" s="158"/>
      <c r="FS75" s="158"/>
      <c r="FT75" s="158"/>
      <c r="FU75" s="158"/>
      <c r="FV75" s="158"/>
      <c r="FW75" s="158"/>
      <c r="FX75" s="158"/>
      <c r="FY75" s="158"/>
      <c r="FZ75" s="158"/>
      <c r="GA75" s="158"/>
      <c r="GB75" s="158"/>
      <c r="GC75" s="158"/>
      <c r="GD75" s="158"/>
      <c r="GE75" s="158"/>
      <c r="GF75" s="158"/>
      <c r="GG75" s="158"/>
      <c r="GH75" s="158"/>
      <c r="GI75" s="158"/>
      <c r="GJ75" s="158"/>
      <c r="GK75" s="158"/>
      <c r="GL75" s="158"/>
      <c r="GM75" s="158"/>
      <c r="GN75" s="158"/>
      <c r="GO75" s="158"/>
      <c r="GP75" s="158"/>
      <c r="GQ75" s="158"/>
      <c r="GR75" s="158"/>
      <c r="GS75" s="158"/>
      <c r="GT75" s="158"/>
      <c r="GU75" s="158"/>
      <c r="GV75" s="158"/>
      <c r="GW75" s="158"/>
      <c r="GX75" s="158"/>
      <c r="GY75" s="158"/>
      <c r="GZ75" s="158"/>
      <c r="HA75" s="158"/>
      <c r="HB75" s="158"/>
      <c r="HC75" s="158"/>
      <c r="HD75" s="158"/>
      <c r="HE75" s="158"/>
      <c r="HF75" s="158"/>
      <c r="HG75" s="158"/>
      <c r="HH75" s="158"/>
      <c r="HI75" s="158"/>
      <c r="HJ75" s="158"/>
      <c r="HK75" s="158"/>
      <c r="HL75" s="158"/>
    </row>
    <row r="76" spans="1:220">
      <c r="A76" s="49"/>
      <c r="B76" s="105" t="s">
        <v>323</v>
      </c>
      <c r="C76" s="162" t="s">
        <v>618</v>
      </c>
      <c r="D76" s="145">
        <f>Output_Concentration!AL4</f>
        <v>0</v>
      </c>
      <c r="E76" s="158"/>
      <c r="F76" s="158"/>
      <c r="G76" s="158"/>
      <c r="H76" s="158"/>
      <c r="I76" s="158"/>
      <c r="J76" s="158"/>
      <c r="K76" s="158"/>
      <c r="L76" s="158"/>
      <c r="M76" s="158"/>
      <c r="N76" s="158"/>
      <c r="O76" s="158"/>
      <c r="P76" s="158"/>
      <c r="Q76" s="158"/>
      <c r="R76" s="158"/>
      <c r="S76" s="158"/>
      <c r="T76" s="158"/>
      <c r="U76" s="158"/>
      <c r="V76" s="158"/>
      <c r="W76" s="158"/>
      <c r="X76" s="158"/>
      <c r="Y76" s="158"/>
      <c r="Z76" s="158"/>
      <c r="AA76" s="158"/>
      <c r="AB76" s="158"/>
      <c r="AC76" s="158"/>
      <c r="AD76" s="158"/>
      <c r="AE76" s="158"/>
      <c r="AF76" s="158"/>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8"/>
      <c r="BJ76" s="158"/>
      <c r="BK76" s="158"/>
      <c r="BL76" s="158"/>
      <c r="BM76" s="158"/>
      <c r="BN76" s="158"/>
      <c r="BO76" s="158"/>
      <c r="BP76" s="158"/>
      <c r="BQ76" s="158"/>
      <c r="BR76" s="158"/>
      <c r="BS76" s="158"/>
      <c r="BT76" s="158"/>
      <c r="BU76" s="158"/>
      <c r="BV76" s="158"/>
      <c r="BW76" s="158"/>
      <c r="BX76" s="158"/>
      <c r="BY76" s="158"/>
      <c r="BZ76" s="158"/>
      <c r="CA76" s="158"/>
      <c r="CB76" s="158"/>
      <c r="CC76" s="158"/>
      <c r="CD76" s="158"/>
      <c r="CE76" s="158"/>
      <c r="CF76" s="158"/>
      <c r="CG76" s="158"/>
      <c r="CH76" s="158"/>
      <c r="CI76" s="158"/>
      <c r="CJ76" s="158"/>
      <c r="CK76" s="158"/>
      <c r="CL76" s="158"/>
      <c r="CM76" s="158"/>
      <c r="CN76" s="158"/>
      <c r="CO76" s="158"/>
      <c r="CP76" s="158"/>
      <c r="CQ76" s="158"/>
      <c r="CR76" s="158"/>
      <c r="CS76" s="158"/>
      <c r="CT76" s="158"/>
      <c r="CU76" s="158"/>
      <c r="CV76" s="158"/>
      <c r="CW76" s="158"/>
      <c r="CX76" s="158"/>
      <c r="CY76" s="158"/>
      <c r="CZ76" s="158"/>
      <c r="DA76" s="158"/>
      <c r="DB76" s="158"/>
      <c r="DC76" s="158"/>
      <c r="DD76" s="158"/>
      <c r="DE76" s="158"/>
      <c r="DF76" s="158"/>
      <c r="DG76" s="158"/>
      <c r="DH76" s="158"/>
      <c r="DI76" s="158"/>
      <c r="DJ76" s="158"/>
      <c r="DK76" s="158"/>
      <c r="DL76" s="158"/>
      <c r="DM76" s="158"/>
      <c r="DN76" s="158"/>
      <c r="DO76" s="158"/>
      <c r="DP76" s="158"/>
      <c r="DQ76" s="158"/>
      <c r="DR76" s="158"/>
      <c r="DS76" s="158"/>
      <c r="DT76" s="158"/>
      <c r="DU76" s="158"/>
      <c r="DV76" s="158"/>
      <c r="DW76" s="158"/>
      <c r="DX76" s="158"/>
      <c r="DY76" s="158"/>
      <c r="DZ76" s="158"/>
      <c r="EA76" s="158"/>
      <c r="EB76" s="158"/>
      <c r="EC76" s="158"/>
      <c r="ED76" s="158"/>
      <c r="EE76" s="158"/>
      <c r="EF76" s="158"/>
      <c r="EG76" s="158"/>
      <c r="EH76" s="158"/>
      <c r="EI76" s="158"/>
      <c r="EJ76" s="158"/>
      <c r="EK76" s="158"/>
      <c r="EL76" s="158"/>
      <c r="EM76" s="158"/>
      <c r="EN76" s="158"/>
      <c r="EO76" s="158"/>
      <c r="EP76" s="158"/>
      <c r="EQ76" s="158"/>
      <c r="ER76" s="158"/>
      <c r="ES76" s="158"/>
      <c r="ET76" s="158"/>
      <c r="EU76" s="158"/>
      <c r="EV76" s="158"/>
      <c r="EW76" s="158"/>
      <c r="EX76" s="158"/>
      <c r="EY76" s="158"/>
      <c r="EZ76" s="158"/>
      <c r="FA76" s="158"/>
      <c r="FB76" s="158"/>
      <c r="FC76" s="158"/>
      <c r="FD76" s="158"/>
      <c r="FE76" s="158"/>
      <c r="FF76" s="158"/>
      <c r="FG76" s="158"/>
      <c r="FH76" s="158"/>
      <c r="FI76" s="158"/>
      <c r="FJ76" s="158"/>
      <c r="FK76" s="158"/>
      <c r="FL76" s="158"/>
      <c r="FM76" s="158"/>
      <c r="FN76" s="158"/>
      <c r="FO76" s="158"/>
      <c r="FP76" s="158"/>
      <c r="FQ76" s="158"/>
      <c r="FR76" s="158"/>
      <c r="FS76" s="158"/>
      <c r="FT76" s="158"/>
      <c r="FU76" s="158"/>
      <c r="FV76" s="158"/>
      <c r="FW76" s="158"/>
      <c r="FX76" s="158"/>
      <c r="FY76" s="158"/>
      <c r="FZ76" s="158"/>
      <c r="GA76" s="158"/>
      <c r="GB76" s="158"/>
      <c r="GC76" s="158"/>
      <c r="GD76" s="158"/>
      <c r="GE76" s="158"/>
      <c r="GF76" s="158"/>
      <c r="GG76" s="158"/>
      <c r="GH76" s="158"/>
      <c r="GI76" s="158"/>
      <c r="GJ76" s="158"/>
      <c r="GK76" s="158"/>
      <c r="GL76" s="158"/>
      <c r="GM76" s="158"/>
      <c r="GN76" s="158"/>
      <c r="GO76" s="158"/>
      <c r="GP76" s="158"/>
      <c r="GQ76" s="158"/>
      <c r="GR76" s="158"/>
      <c r="GS76" s="158"/>
      <c r="GT76" s="158"/>
      <c r="GU76" s="158"/>
      <c r="GV76" s="158"/>
      <c r="GW76" s="158"/>
      <c r="GX76" s="158"/>
      <c r="GY76" s="158"/>
      <c r="GZ76" s="158"/>
      <c r="HA76" s="158"/>
      <c r="HB76" s="158"/>
      <c r="HC76" s="158"/>
      <c r="HD76" s="158"/>
      <c r="HE76" s="158"/>
      <c r="HF76" s="158"/>
      <c r="HG76" s="158"/>
      <c r="HH76" s="158"/>
      <c r="HI76" s="158"/>
      <c r="HJ76" s="158"/>
      <c r="HK76" s="158"/>
      <c r="HL76" s="158"/>
    </row>
    <row r="77" spans="1:220">
      <c r="A77" s="49"/>
      <c r="B77" s="105" t="s">
        <v>324</v>
      </c>
      <c r="C77" s="162" t="s">
        <v>619</v>
      </c>
      <c r="D77" s="145">
        <f>Output_Concentration!AM4</f>
        <v>0</v>
      </c>
      <c r="E77" s="158"/>
      <c r="F77" s="158"/>
      <c r="G77" s="158"/>
      <c r="H77" s="158"/>
      <c r="I77" s="158"/>
      <c r="J77" s="158"/>
      <c r="K77" s="158"/>
      <c r="L77" s="158"/>
      <c r="M77" s="158"/>
      <c r="N77" s="158"/>
      <c r="O77" s="158"/>
      <c r="P77" s="158"/>
      <c r="Q77" s="158"/>
      <c r="R77" s="158"/>
      <c r="S77" s="158"/>
      <c r="T77" s="158"/>
      <c r="U77" s="158"/>
      <c r="V77" s="158"/>
      <c r="W77" s="158"/>
      <c r="X77" s="158"/>
      <c r="Y77" s="158"/>
      <c r="Z77" s="158"/>
      <c r="AA77" s="158"/>
      <c r="AB77" s="158"/>
      <c r="AC77" s="158"/>
      <c r="AD77" s="158"/>
      <c r="AE77" s="158"/>
      <c r="AF77" s="158"/>
      <c r="AG77" s="158"/>
      <c r="AH77" s="158"/>
      <c r="AI77" s="158"/>
      <c r="AJ77" s="158"/>
      <c r="AK77" s="158"/>
      <c r="AL77" s="158"/>
      <c r="AM77" s="158"/>
      <c r="AN77" s="158"/>
      <c r="AO77" s="158"/>
      <c r="AP77" s="158"/>
      <c r="AQ77" s="158"/>
      <c r="AR77" s="158"/>
      <c r="AS77" s="158"/>
      <c r="AT77" s="158"/>
      <c r="AU77" s="158"/>
      <c r="AV77" s="158"/>
      <c r="AW77" s="158"/>
      <c r="AX77" s="158"/>
      <c r="AY77" s="158"/>
      <c r="AZ77" s="158"/>
      <c r="BA77" s="158"/>
      <c r="BB77" s="158"/>
      <c r="BC77" s="158"/>
      <c r="BD77" s="158"/>
      <c r="BE77" s="158"/>
      <c r="BF77" s="158"/>
      <c r="BG77" s="158"/>
      <c r="BH77" s="158"/>
      <c r="BI77" s="158"/>
      <c r="BJ77" s="158"/>
      <c r="BK77" s="158"/>
      <c r="BL77" s="158"/>
      <c r="BM77" s="158"/>
      <c r="BN77" s="158"/>
      <c r="BO77" s="158"/>
      <c r="BP77" s="158"/>
      <c r="BQ77" s="158"/>
      <c r="BR77" s="158"/>
      <c r="BS77" s="158"/>
      <c r="BT77" s="158"/>
      <c r="BU77" s="158"/>
      <c r="BV77" s="158"/>
      <c r="BW77" s="158"/>
      <c r="BX77" s="158"/>
      <c r="BY77" s="158"/>
      <c r="BZ77" s="158"/>
      <c r="CA77" s="158"/>
      <c r="CB77" s="158"/>
      <c r="CC77" s="158"/>
      <c r="CD77" s="158"/>
      <c r="CE77" s="158"/>
      <c r="CF77" s="158"/>
      <c r="CG77" s="158"/>
      <c r="CH77" s="158"/>
      <c r="CI77" s="158"/>
      <c r="CJ77" s="158"/>
      <c r="CK77" s="158"/>
      <c r="CL77" s="158"/>
      <c r="CM77" s="158"/>
      <c r="CN77" s="158"/>
      <c r="CO77" s="158"/>
      <c r="CP77" s="158"/>
      <c r="CQ77" s="158"/>
      <c r="CR77" s="158"/>
      <c r="CS77" s="158"/>
      <c r="CT77" s="158"/>
      <c r="CU77" s="158"/>
      <c r="CV77" s="158"/>
      <c r="CW77" s="158"/>
      <c r="CX77" s="158"/>
      <c r="CY77" s="158"/>
      <c r="CZ77" s="158"/>
      <c r="DA77" s="158"/>
      <c r="DB77" s="158"/>
      <c r="DC77" s="158"/>
      <c r="DD77" s="158"/>
      <c r="DE77" s="158"/>
      <c r="DF77" s="158"/>
      <c r="DG77" s="158"/>
      <c r="DH77" s="158"/>
      <c r="DI77" s="158"/>
      <c r="DJ77" s="158"/>
      <c r="DK77" s="158"/>
      <c r="DL77" s="158"/>
      <c r="DM77" s="158"/>
      <c r="DN77" s="158"/>
      <c r="DO77" s="158"/>
      <c r="DP77" s="158"/>
      <c r="DQ77" s="158"/>
      <c r="DR77" s="158"/>
      <c r="DS77" s="158"/>
      <c r="DT77" s="158"/>
      <c r="DU77" s="158"/>
      <c r="DV77" s="158"/>
      <c r="DW77" s="158"/>
      <c r="DX77" s="158"/>
      <c r="DY77" s="158"/>
      <c r="DZ77" s="158"/>
      <c r="EA77" s="158"/>
      <c r="EB77" s="158"/>
      <c r="EC77" s="158"/>
      <c r="ED77" s="158"/>
      <c r="EE77" s="158"/>
      <c r="EF77" s="158"/>
      <c r="EG77" s="158"/>
      <c r="EH77" s="158"/>
      <c r="EI77" s="158"/>
      <c r="EJ77" s="158"/>
      <c r="EK77" s="158"/>
      <c r="EL77" s="158"/>
      <c r="EM77" s="158"/>
      <c r="EN77" s="158"/>
      <c r="EO77" s="158"/>
      <c r="EP77" s="158"/>
      <c r="EQ77" s="158"/>
      <c r="ER77" s="158"/>
      <c r="ES77" s="158"/>
      <c r="ET77" s="158"/>
      <c r="EU77" s="158"/>
      <c r="EV77" s="158"/>
      <c r="EW77" s="158"/>
      <c r="EX77" s="158"/>
      <c r="EY77" s="158"/>
      <c r="EZ77" s="158"/>
      <c r="FA77" s="158"/>
      <c r="FB77" s="158"/>
      <c r="FC77" s="158"/>
      <c r="FD77" s="158"/>
      <c r="FE77" s="158"/>
      <c r="FF77" s="158"/>
      <c r="FG77" s="158"/>
      <c r="FH77" s="158"/>
      <c r="FI77" s="158"/>
      <c r="FJ77" s="158"/>
      <c r="FK77" s="158"/>
      <c r="FL77" s="158"/>
      <c r="FM77" s="158"/>
      <c r="FN77" s="158"/>
      <c r="FO77" s="158"/>
      <c r="FP77" s="158"/>
      <c r="FQ77" s="158"/>
      <c r="FR77" s="158"/>
      <c r="FS77" s="158"/>
      <c r="FT77" s="158"/>
      <c r="FU77" s="158"/>
      <c r="FV77" s="158"/>
      <c r="FW77" s="158"/>
      <c r="FX77" s="158"/>
      <c r="FY77" s="158"/>
      <c r="FZ77" s="158"/>
      <c r="GA77" s="158"/>
      <c r="GB77" s="158"/>
      <c r="GC77" s="158"/>
      <c r="GD77" s="158"/>
      <c r="GE77" s="158"/>
      <c r="GF77" s="158"/>
      <c r="GG77" s="158"/>
      <c r="GH77" s="158"/>
      <c r="GI77" s="158"/>
      <c r="GJ77" s="158"/>
      <c r="GK77" s="158"/>
      <c r="GL77" s="158"/>
      <c r="GM77" s="158"/>
      <c r="GN77" s="158"/>
      <c r="GO77" s="158"/>
      <c r="GP77" s="158"/>
      <c r="GQ77" s="158"/>
      <c r="GR77" s="158"/>
      <c r="GS77" s="158"/>
      <c r="GT77" s="158"/>
      <c r="GU77" s="158"/>
      <c r="GV77" s="158"/>
      <c r="GW77" s="158"/>
      <c r="GX77" s="158"/>
      <c r="GY77" s="158"/>
      <c r="GZ77" s="158"/>
      <c r="HA77" s="158"/>
      <c r="HB77" s="158"/>
      <c r="HC77" s="158"/>
      <c r="HD77" s="158"/>
      <c r="HE77" s="158"/>
      <c r="HF77" s="158"/>
      <c r="HG77" s="158"/>
      <c r="HH77" s="158"/>
      <c r="HI77" s="158"/>
      <c r="HJ77" s="158"/>
      <c r="HK77" s="158"/>
      <c r="HL77" s="158"/>
    </row>
    <row r="78" spans="1:220">
      <c r="A78" s="49"/>
      <c r="B78" s="105" t="s">
        <v>325</v>
      </c>
      <c r="C78" s="162" t="s">
        <v>620</v>
      </c>
      <c r="D78" s="145">
        <f>Output_Concentration!AN4</f>
        <v>0</v>
      </c>
      <c r="E78" s="158"/>
      <c r="F78" s="158"/>
      <c r="G78" s="158"/>
      <c r="H78" s="158"/>
      <c r="I78" s="158"/>
      <c r="J78" s="158"/>
      <c r="K78" s="158"/>
      <c r="L78" s="158"/>
      <c r="M78" s="158"/>
      <c r="N78" s="158"/>
      <c r="O78" s="158"/>
      <c r="P78" s="158"/>
      <c r="Q78" s="158"/>
      <c r="R78" s="158"/>
      <c r="S78" s="158"/>
      <c r="T78" s="158"/>
      <c r="U78" s="158"/>
      <c r="V78" s="158"/>
      <c r="W78" s="158"/>
      <c r="X78" s="158"/>
      <c r="Y78" s="158"/>
      <c r="Z78" s="158"/>
      <c r="AA78" s="158"/>
      <c r="AB78" s="158"/>
      <c r="AC78" s="158"/>
      <c r="AD78" s="158"/>
      <c r="AE78" s="158"/>
      <c r="AF78" s="158"/>
      <c r="AG78" s="158"/>
      <c r="AH78" s="158"/>
      <c r="AI78" s="158"/>
      <c r="AJ78" s="158"/>
      <c r="AK78" s="158"/>
      <c r="AL78" s="158"/>
      <c r="AM78" s="158"/>
      <c r="AN78" s="158"/>
      <c r="AO78" s="158"/>
      <c r="AP78" s="158"/>
      <c r="AQ78" s="158"/>
      <c r="AR78" s="158"/>
      <c r="AS78" s="158"/>
      <c r="AT78" s="158"/>
      <c r="AU78" s="158"/>
      <c r="AV78" s="158"/>
      <c r="AW78" s="158"/>
      <c r="AX78" s="158"/>
      <c r="AY78" s="158"/>
      <c r="AZ78" s="158"/>
      <c r="BA78" s="158"/>
      <c r="BB78" s="158"/>
      <c r="BC78" s="158"/>
      <c r="BD78" s="158"/>
      <c r="BE78" s="158"/>
      <c r="BF78" s="158"/>
      <c r="BG78" s="158"/>
      <c r="BH78" s="158"/>
      <c r="BI78" s="158"/>
      <c r="BJ78" s="158"/>
      <c r="BK78" s="158"/>
      <c r="BL78" s="158"/>
      <c r="BM78" s="158"/>
      <c r="BN78" s="158"/>
      <c r="BO78" s="158"/>
      <c r="BP78" s="158"/>
      <c r="BQ78" s="158"/>
      <c r="BR78" s="158"/>
      <c r="BS78" s="158"/>
      <c r="BT78" s="158"/>
      <c r="BU78" s="158"/>
      <c r="BV78" s="158"/>
      <c r="BW78" s="158"/>
      <c r="BX78" s="158"/>
      <c r="BY78" s="158"/>
      <c r="BZ78" s="158"/>
      <c r="CA78" s="158"/>
      <c r="CB78" s="158"/>
      <c r="CC78" s="158"/>
      <c r="CD78" s="158"/>
      <c r="CE78" s="158"/>
      <c r="CF78" s="158"/>
      <c r="CG78" s="158"/>
      <c r="CH78" s="158"/>
      <c r="CI78" s="158"/>
      <c r="CJ78" s="158"/>
      <c r="CK78" s="158"/>
      <c r="CL78" s="158"/>
      <c r="CM78" s="158"/>
      <c r="CN78" s="158"/>
      <c r="CO78" s="158"/>
      <c r="CP78" s="158"/>
      <c r="CQ78" s="158"/>
      <c r="CR78" s="158"/>
      <c r="CS78" s="158"/>
      <c r="CT78" s="158"/>
      <c r="CU78" s="158"/>
      <c r="CV78" s="158"/>
      <c r="CW78" s="158"/>
      <c r="CX78" s="158"/>
      <c r="CY78" s="158"/>
      <c r="CZ78" s="158"/>
      <c r="DA78" s="158"/>
      <c r="DB78" s="158"/>
      <c r="DC78" s="158"/>
      <c r="DD78" s="158"/>
      <c r="DE78" s="158"/>
      <c r="DF78" s="158"/>
      <c r="DG78" s="158"/>
      <c r="DH78" s="158"/>
      <c r="DI78" s="158"/>
      <c r="DJ78" s="158"/>
      <c r="DK78" s="158"/>
      <c r="DL78" s="158"/>
      <c r="DM78" s="158"/>
      <c r="DN78" s="158"/>
      <c r="DO78" s="158"/>
      <c r="DP78" s="158"/>
      <c r="DQ78" s="158"/>
      <c r="DR78" s="158"/>
      <c r="DS78" s="158"/>
      <c r="DT78" s="158"/>
      <c r="DU78" s="158"/>
      <c r="DV78" s="158"/>
      <c r="DW78" s="158"/>
      <c r="DX78" s="158"/>
      <c r="DY78" s="158"/>
      <c r="DZ78" s="158"/>
      <c r="EA78" s="158"/>
      <c r="EB78" s="158"/>
      <c r="EC78" s="158"/>
      <c r="ED78" s="158"/>
      <c r="EE78" s="158"/>
      <c r="EF78" s="158"/>
      <c r="EG78" s="158"/>
      <c r="EH78" s="158"/>
      <c r="EI78" s="158"/>
      <c r="EJ78" s="158"/>
      <c r="EK78" s="158"/>
      <c r="EL78" s="158"/>
      <c r="EM78" s="158"/>
      <c r="EN78" s="158"/>
      <c r="EO78" s="158"/>
      <c r="EP78" s="158"/>
      <c r="EQ78" s="158"/>
      <c r="ER78" s="158"/>
      <c r="ES78" s="158"/>
      <c r="ET78" s="158"/>
      <c r="EU78" s="158"/>
      <c r="EV78" s="158"/>
      <c r="EW78" s="158"/>
      <c r="EX78" s="158"/>
      <c r="EY78" s="158"/>
      <c r="EZ78" s="158"/>
      <c r="FA78" s="158"/>
      <c r="FB78" s="158"/>
      <c r="FC78" s="158"/>
      <c r="FD78" s="158"/>
      <c r="FE78" s="158"/>
      <c r="FF78" s="158"/>
      <c r="FG78" s="158"/>
      <c r="FH78" s="158"/>
      <c r="FI78" s="158"/>
      <c r="FJ78" s="158"/>
      <c r="FK78" s="158"/>
      <c r="FL78" s="158"/>
      <c r="FM78" s="158"/>
      <c r="FN78" s="158"/>
      <c r="FO78" s="158"/>
      <c r="FP78" s="158"/>
      <c r="FQ78" s="158"/>
      <c r="FR78" s="158"/>
      <c r="FS78" s="158"/>
      <c r="FT78" s="158"/>
      <c r="FU78" s="158"/>
      <c r="FV78" s="158"/>
      <c r="FW78" s="158"/>
      <c r="FX78" s="158"/>
      <c r="FY78" s="158"/>
      <c r="FZ78" s="158"/>
      <c r="GA78" s="158"/>
      <c r="GB78" s="158"/>
      <c r="GC78" s="158"/>
      <c r="GD78" s="158"/>
      <c r="GE78" s="158"/>
      <c r="GF78" s="158"/>
      <c r="GG78" s="158"/>
      <c r="GH78" s="158"/>
      <c r="GI78" s="158"/>
      <c r="GJ78" s="158"/>
      <c r="GK78" s="158"/>
      <c r="GL78" s="158"/>
      <c r="GM78" s="158"/>
      <c r="GN78" s="158"/>
      <c r="GO78" s="158"/>
      <c r="GP78" s="158"/>
      <c r="GQ78" s="158"/>
      <c r="GR78" s="158"/>
      <c r="GS78" s="158"/>
      <c r="GT78" s="158"/>
      <c r="GU78" s="158"/>
      <c r="GV78" s="158"/>
      <c r="GW78" s="158"/>
      <c r="GX78" s="158"/>
      <c r="GY78" s="158"/>
      <c r="GZ78" s="158"/>
      <c r="HA78" s="158"/>
      <c r="HB78" s="158"/>
      <c r="HC78" s="158"/>
      <c r="HD78" s="158"/>
      <c r="HE78" s="158"/>
      <c r="HF78" s="158"/>
      <c r="HG78" s="158"/>
      <c r="HH78" s="158"/>
      <c r="HI78" s="158"/>
      <c r="HJ78" s="158"/>
      <c r="HK78" s="158"/>
      <c r="HL78" s="158"/>
    </row>
    <row r="79" spans="1:220">
      <c r="A79" s="49"/>
      <c r="B79" s="105" t="s">
        <v>326</v>
      </c>
      <c r="C79" s="162" t="s">
        <v>621</v>
      </c>
      <c r="D79" s="145">
        <f>Output_Concentration!AO4</f>
        <v>0</v>
      </c>
      <c r="E79" s="158"/>
      <c r="F79" s="158"/>
      <c r="G79" s="158"/>
      <c r="H79" s="158"/>
      <c r="I79" s="158"/>
      <c r="J79" s="158"/>
      <c r="K79" s="158"/>
      <c r="L79" s="158"/>
      <c r="M79" s="158"/>
      <c r="N79" s="158"/>
      <c r="O79" s="158"/>
      <c r="P79" s="158"/>
      <c r="Q79" s="158"/>
      <c r="R79" s="158"/>
      <c r="S79" s="158"/>
      <c r="T79" s="158"/>
      <c r="U79" s="158"/>
      <c r="V79" s="158"/>
      <c r="W79" s="158"/>
      <c r="X79" s="158"/>
      <c r="Y79" s="158"/>
      <c r="Z79" s="158"/>
      <c r="AA79" s="158"/>
      <c r="AB79" s="158"/>
      <c r="AC79" s="158"/>
      <c r="AD79" s="158"/>
      <c r="AE79" s="158"/>
      <c r="AF79" s="158"/>
      <c r="AG79" s="158"/>
      <c r="AH79" s="158"/>
      <c r="AI79" s="158"/>
      <c r="AJ79" s="158"/>
      <c r="AK79" s="158"/>
      <c r="AL79" s="158"/>
      <c r="AM79" s="158"/>
      <c r="AN79" s="158"/>
      <c r="AO79" s="158"/>
      <c r="AP79" s="158"/>
      <c r="AQ79" s="158"/>
      <c r="AR79" s="158"/>
      <c r="AS79" s="158"/>
      <c r="AT79" s="158"/>
      <c r="AU79" s="158"/>
      <c r="AV79" s="158"/>
      <c r="AW79" s="158"/>
      <c r="AX79" s="158"/>
      <c r="AY79" s="158"/>
      <c r="AZ79" s="158"/>
      <c r="BA79" s="158"/>
      <c r="BB79" s="158"/>
      <c r="BC79" s="158"/>
      <c r="BD79" s="158"/>
      <c r="BE79" s="158"/>
      <c r="BF79" s="158"/>
      <c r="BG79" s="158"/>
      <c r="BH79" s="158"/>
      <c r="BI79" s="158"/>
      <c r="BJ79" s="158"/>
      <c r="BK79" s="158"/>
      <c r="BL79" s="158"/>
      <c r="BM79" s="158"/>
      <c r="BN79" s="158"/>
      <c r="BO79" s="158"/>
      <c r="BP79" s="158"/>
      <c r="BQ79" s="158"/>
      <c r="BR79" s="158"/>
      <c r="BS79" s="158"/>
      <c r="BT79" s="158"/>
      <c r="BU79" s="158"/>
      <c r="BV79" s="158"/>
      <c r="BW79" s="158"/>
      <c r="BX79" s="158"/>
      <c r="BY79" s="158"/>
      <c r="BZ79" s="158"/>
      <c r="CA79" s="158"/>
      <c r="CB79" s="158"/>
      <c r="CC79" s="158"/>
      <c r="CD79" s="158"/>
      <c r="CE79" s="158"/>
      <c r="CF79" s="158"/>
      <c r="CG79" s="158"/>
      <c r="CH79" s="158"/>
      <c r="CI79" s="158"/>
      <c r="CJ79" s="158"/>
      <c r="CK79" s="158"/>
      <c r="CL79" s="158"/>
      <c r="CM79" s="158"/>
      <c r="CN79" s="158"/>
      <c r="CO79" s="158"/>
      <c r="CP79" s="158"/>
      <c r="CQ79" s="158"/>
      <c r="CR79" s="158"/>
      <c r="CS79" s="158"/>
      <c r="CT79" s="158"/>
      <c r="CU79" s="158"/>
      <c r="CV79" s="158"/>
      <c r="CW79" s="158"/>
      <c r="CX79" s="158"/>
      <c r="CY79" s="158"/>
      <c r="CZ79" s="158"/>
      <c r="DA79" s="158"/>
      <c r="DB79" s="158"/>
      <c r="DC79" s="158"/>
      <c r="DD79" s="158"/>
      <c r="DE79" s="158"/>
      <c r="DF79" s="158"/>
      <c r="DG79" s="158"/>
      <c r="DH79" s="158"/>
      <c r="DI79" s="158"/>
      <c r="DJ79" s="158"/>
      <c r="DK79" s="158"/>
      <c r="DL79" s="158"/>
      <c r="DM79" s="158"/>
      <c r="DN79" s="158"/>
      <c r="DO79" s="158"/>
      <c r="DP79" s="158"/>
      <c r="DQ79" s="158"/>
      <c r="DR79" s="158"/>
      <c r="DS79" s="158"/>
      <c r="DT79" s="158"/>
      <c r="DU79" s="158"/>
      <c r="DV79" s="158"/>
      <c r="DW79" s="158"/>
      <c r="DX79" s="158"/>
      <c r="DY79" s="158"/>
      <c r="DZ79" s="158"/>
      <c r="EA79" s="158"/>
      <c r="EB79" s="158"/>
      <c r="EC79" s="158"/>
      <c r="ED79" s="158"/>
      <c r="EE79" s="158"/>
      <c r="EF79" s="158"/>
      <c r="EG79" s="158"/>
      <c r="EH79" s="158"/>
      <c r="EI79" s="158"/>
      <c r="EJ79" s="158"/>
      <c r="EK79" s="158"/>
      <c r="EL79" s="158"/>
      <c r="EM79" s="158"/>
      <c r="EN79" s="158"/>
      <c r="EO79" s="158"/>
      <c r="EP79" s="158"/>
      <c r="EQ79" s="158"/>
      <c r="ER79" s="158"/>
      <c r="ES79" s="158"/>
      <c r="ET79" s="158"/>
      <c r="EU79" s="158"/>
      <c r="EV79" s="158"/>
      <c r="EW79" s="158"/>
      <c r="EX79" s="158"/>
      <c r="EY79" s="158"/>
      <c r="EZ79" s="158"/>
      <c r="FA79" s="158"/>
      <c r="FB79" s="158"/>
      <c r="FC79" s="158"/>
      <c r="FD79" s="158"/>
      <c r="FE79" s="158"/>
      <c r="FF79" s="158"/>
      <c r="FG79" s="158"/>
      <c r="FH79" s="158"/>
      <c r="FI79" s="158"/>
      <c r="FJ79" s="158"/>
      <c r="FK79" s="158"/>
      <c r="FL79" s="158"/>
      <c r="FM79" s="158"/>
      <c r="FN79" s="158"/>
      <c r="FO79" s="158"/>
      <c r="FP79" s="158"/>
      <c r="FQ79" s="158"/>
      <c r="FR79" s="158"/>
      <c r="FS79" s="158"/>
      <c r="FT79" s="158"/>
      <c r="FU79" s="158"/>
      <c r="FV79" s="158"/>
      <c r="FW79" s="158"/>
      <c r="FX79" s="158"/>
      <c r="FY79" s="158"/>
      <c r="FZ79" s="158"/>
      <c r="GA79" s="158"/>
      <c r="GB79" s="158"/>
      <c r="GC79" s="158"/>
      <c r="GD79" s="158"/>
      <c r="GE79" s="158"/>
      <c r="GF79" s="158"/>
      <c r="GG79" s="158"/>
      <c r="GH79" s="158"/>
      <c r="GI79" s="158"/>
      <c r="GJ79" s="158"/>
      <c r="GK79" s="158"/>
      <c r="GL79" s="158"/>
      <c r="GM79" s="158"/>
      <c r="GN79" s="158"/>
      <c r="GO79" s="158"/>
      <c r="GP79" s="158"/>
      <c r="GQ79" s="158"/>
      <c r="GR79" s="158"/>
      <c r="GS79" s="158"/>
      <c r="GT79" s="158"/>
      <c r="GU79" s="158"/>
      <c r="GV79" s="158"/>
      <c r="GW79" s="158"/>
      <c r="GX79" s="158"/>
      <c r="GY79" s="158"/>
      <c r="GZ79" s="158"/>
      <c r="HA79" s="158"/>
      <c r="HB79" s="158"/>
      <c r="HC79" s="158"/>
      <c r="HD79" s="158"/>
      <c r="HE79" s="158"/>
      <c r="HF79" s="158"/>
      <c r="HG79" s="158"/>
      <c r="HH79" s="158"/>
      <c r="HI79" s="158"/>
      <c r="HJ79" s="158"/>
      <c r="HK79" s="158"/>
      <c r="HL79" s="158"/>
    </row>
    <row r="80" spans="1:220">
      <c r="A80" s="49"/>
      <c r="B80" s="105" t="s">
        <v>327</v>
      </c>
      <c r="C80" s="162" t="s">
        <v>622</v>
      </c>
      <c r="D80" s="145">
        <f>Output_Concentration!AP4</f>
        <v>0</v>
      </c>
      <c r="E80" s="158"/>
      <c r="F80" s="158"/>
      <c r="G80" s="158"/>
      <c r="H80" s="158"/>
      <c r="I80" s="158"/>
      <c r="J80" s="158"/>
      <c r="K80" s="158"/>
      <c r="L80" s="158"/>
      <c r="M80" s="158"/>
      <c r="N80" s="158"/>
      <c r="O80" s="158"/>
      <c r="P80" s="158"/>
      <c r="Q80" s="158"/>
      <c r="R80" s="158"/>
      <c r="S80" s="158"/>
      <c r="T80" s="158"/>
      <c r="U80" s="158"/>
      <c r="V80" s="158"/>
      <c r="W80" s="158"/>
      <c r="X80" s="158"/>
      <c r="Y80" s="158"/>
      <c r="Z80" s="158"/>
      <c r="AA80" s="158"/>
      <c r="AB80" s="158"/>
      <c r="AC80" s="158"/>
      <c r="AD80" s="158"/>
      <c r="AE80" s="158"/>
      <c r="AF80" s="158"/>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8"/>
      <c r="BJ80" s="158"/>
      <c r="BK80" s="158"/>
      <c r="BL80" s="158"/>
      <c r="BM80" s="158"/>
      <c r="BN80" s="158"/>
      <c r="BO80" s="158"/>
      <c r="BP80" s="158"/>
      <c r="BQ80" s="158"/>
      <c r="BR80" s="158"/>
      <c r="BS80" s="158"/>
      <c r="BT80" s="158"/>
      <c r="BU80" s="158"/>
      <c r="BV80" s="158"/>
      <c r="BW80" s="158"/>
      <c r="BX80" s="158"/>
      <c r="BY80" s="158"/>
      <c r="BZ80" s="158"/>
      <c r="CA80" s="158"/>
      <c r="CB80" s="158"/>
      <c r="CC80" s="158"/>
      <c r="CD80" s="158"/>
      <c r="CE80" s="158"/>
      <c r="CF80" s="158"/>
      <c r="CG80" s="158"/>
      <c r="CH80" s="158"/>
      <c r="CI80" s="158"/>
      <c r="CJ80" s="158"/>
      <c r="CK80" s="158"/>
      <c r="CL80" s="158"/>
      <c r="CM80" s="158"/>
      <c r="CN80" s="158"/>
      <c r="CO80" s="158"/>
      <c r="CP80" s="158"/>
      <c r="CQ80" s="158"/>
      <c r="CR80" s="158"/>
      <c r="CS80" s="158"/>
      <c r="CT80" s="158"/>
      <c r="CU80" s="158"/>
      <c r="CV80" s="158"/>
      <c r="CW80" s="158"/>
      <c r="CX80" s="158"/>
      <c r="CY80" s="158"/>
      <c r="CZ80" s="158"/>
      <c r="DA80" s="158"/>
      <c r="DB80" s="158"/>
      <c r="DC80" s="158"/>
      <c r="DD80" s="158"/>
      <c r="DE80" s="158"/>
      <c r="DF80" s="158"/>
      <c r="DG80" s="158"/>
      <c r="DH80" s="158"/>
      <c r="DI80" s="158"/>
      <c r="DJ80" s="158"/>
      <c r="DK80" s="158"/>
      <c r="DL80" s="158"/>
      <c r="DM80" s="158"/>
      <c r="DN80" s="158"/>
      <c r="DO80" s="158"/>
      <c r="DP80" s="158"/>
      <c r="DQ80" s="158"/>
      <c r="DR80" s="158"/>
      <c r="DS80" s="158"/>
      <c r="DT80" s="158"/>
      <c r="DU80" s="158"/>
      <c r="DV80" s="158"/>
      <c r="DW80" s="158"/>
      <c r="DX80" s="158"/>
      <c r="DY80" s="158"/>
      <c r="DZ80" s="158"/>
      <c r="EA80" s="158"/>
      <c r="EB80" s="158"/>
      <c r="EC80" s="158"/>
      <c r="ED80" s="158"/>
      <c r="EE80" s="158"/>
      <c r="EF80" s="158"/>
      <c r="EG80" s="158"/>
      <c r="EH80" s="158"/>
      <c r="EI80" s="158"/>
      <c r="EJ80" s="158"/>
      <c r="EK80" s="158"/>
      <c r="EL80" s="158"/>
      <c r="EM80" s="158"/>
      <c r="EN80" s="158"/>
      <c r="EO80" s="158"/>
      <c r="EP80" s="158"/>
      <c r="EQ80" s="158"/>
      <c r="ER80" s="158"/>
      <c r="ES80" s="158"/>
      <c r="ET80" s="158"/>
      <c r="EU80" s="158"/>
      <c r="EV80" s="158"/>
      <c r="EW80" s="158"/>
      <c r="EX80" s="158"/>
      <c r="EY80" s="158"/>
      <c r="EZ80" s="158"/>
      <c r="FA80" s="158"/>
      <c r="FB80" s="158"/>
      <c r="FC80" s="158"/>
      <c r="FD80" s="158"/>
      <c r="FE80" s="158"/>
      <c r="FF80" s="158"/>
      <c r="FG80" s="158"/>
      <c r="FH80" s="158"/>
      <c r="FI80" s="158"/>
      <c r="FJ80" s="158"/>
      <c r="FK80" s="158"/>
      <c r="FL80" s="158"/>
      <c r="FM80" s="158"/>
      <c r="FN80" s="158"/>
      <c r="FO80" s="158"/>
      <c r="FP80" s="158"/>
      <c r="FQ80" s="158"/>
      <c r="FR80" s="158"/>
      <c r="FS80" s="158"/>
      <c r="FT80" s="158"/>
      <c r="FU80" s="158"/>
      <c r="FV80" s="158"/>
      <c r="FW80" s="158"/>
      <c r="FX80" s="158"/>
      <c r="FY80" s="158"/>
      <c r="FZ80" s="158"/>
      <c r="GA80" s="158"/>
      <c r="GB80" s="158"/>
      <c r="GC80" s="158"/>
      <c r="GD80" s="158"/>
      <c r="GE80" s="158"/>
      <c r="GF80" s="158"/>
      <c r="GG80" s="158"/>
      <c r="GH80" s="158"/>
      <c r="GI80" s="158"/>
      <c r="GJ80" s="158"/>
      <c r="GK80" s="158"/>
      <c r="GL80" s="158"/>
      <c r="GM80" s="158"/>
      <c r="GN80" s="158"/>
      <c r="GO80" s="158"/>
      <c r="GP80" s="158"/>
      <c r="GQ80" s="158"/>
      <c r="GR80" s="158"/>
      <c r="GS80" s="158"/>
      <c r="GT80" s="158"/>
      <c r="GU80" s="158"/>
      <c r="GV80" s="158"/>
      <c r="GW80" s="158"/>
      <c r="GX80" s="158"/>
      <c r="GY80" s="158"/>
      <c r="GZ80" s="158"/>
      <c r="HA80" s="158"/>
      <c r="HB80" s="158"/>
      <c r="HC80" s="158"/>
      <c r="HD80" s="158"/>
      <c r="HE80" s="158"/>
      <c r="HF80" s="158"/>
      <c r="HG80" s="158"/>
      <c r="HH80" s="158"/>
      <c r="HI80" s="158"/>
      <c r="HJ80" s="158"/>
      <c r="HK80" s="158"/>
      <c r="HL80" s="158"/>
    </row>
    <row r="81" spans="1:220">
      <c r="A81" s="49"/>
      <c r="B81" s="105" t="s">
        <v>328</v>
      </c>
      <c r="C81" s="162" t="s">
        <v>623</v>
      </c>
      <c r="D81" s="145">
        <f>Output_Concentration!AQ4</f>
        <v>0</v>
      </c>
      <c r="E81" s="158"/>
      <c r="F81" s="158"/>
      <c r="G81" s="158"/>
      <c r="H81" s="158"/>
      <c r="I81" s="158"/>
      <c r="J81" s="158"/>
      <c r="K81" s="158"/>
      <c r="L81" s="158"/>
      <c r="M81" s="158"/>
      <c r="N81" s="158"/>
      <c r="O81" s="158"/>
      <c r="P81" s="158"/>
      <c r="Q81" s="158"/>
      <c r="R81" s="158"/>
      <c r="S81" s="158"/>
      <c r="T81" s="158"/>
      <c r="U81" s="158"/>
      <c r="V81" s="158"/>
      <c r="W81" s="158"/>
      <c r="X81" s="158"/>
      <c r="Y81" s="158"/>
      <c r="Z81" s="158"/>
      <c r="AA81" s="158"/>
      <c r="AB81" s="158"/>
      <c r="AC81" s="158"/>
      <c r="AD81" s="158"/>
      <c r="AE81" s="158"/>
      <c r="AF81" s="158"/>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8"/>
      <c r="BJ81" s="158"/>
      <c r="BK81" s="158"/>
      <c r="BL81" s="158"/>
      <c r="BM81" s="158"/>
      <c r="BN81" s="158"/>
      <c r="BO81" s="158"/>
      <c r="BP81" s="158"/>
      <c r="BQ81" s="158"/>
      <c r="BR81" s="158"/>
      <c r="BS81" s="158"/>
      <c r="BT81" s="158"/>
      <c r="BU81" s="158"/>
      <c r="BV81" s="158"/>
      <c r="BW81" s="158"/>
      <c r="BX81" s="158"/>
      <c r="BY81" s="158"/>
      <c r="BZ81" s="158"/>
      <c r="CA81" s="158"/>
      <c r="CB81" s="158"/>
      <c r="CC81" s="158"/>
      <c r="CD81" s="158"/>
      <c r="CE81" s="158"/>
      <c r="CF81" s="158"/>
      <c r="CG81" s="158"/>
      <c r="CH81" s="158"/>
      <c r="CI81" s="158"/>
      <c r="CJ81" s="158"/>
      <c r="CK81" s="158"/>
      <c r="CL81" s="158"/>
      <c r="CM81" s="158"/>
      <c r="CN81" s="158"/>
      <c r="CO81" s="158"/>
      <c r="CP81" s="158"/>
      <c r="CQ81" s="158"/>
      <c r="CR81" s="158"/>
      <c r="CS81" s="158"/>
      <c r="CT81" s="158"/>
      <c r="CU81" s="158"/>
      <c r="CV81" s="158"/>
      <c r="CW81" s="158"/>
      <c r="CX81" s="158"/>
      <c r="CY81" s="158"/>
      <c r="CZ81" s="158"/>
      <c r="DA81" s="158"/>
      <c r="DB81" s="158"/>
      <c r="DC81" s="158"/>
      <c r="DD81" s="158"/>
      <c r="DE81" s="158"/>
      <c r="DF81" s="158"/>
      <c r="DG81" s="158"/>
      <c r="DH81" s="158"/>
      <c r="DI81" s="158"/>
      <c r="DJ81" s="158"/>
      <c r="DK81" s="158"/>
      <c r="DL81" s="158"/>
      <c r="DM81" s="158"/>
      <c r="DN81" s="158"/>
      <c r="DO81" s="158"/>
      <c r="DP81" s="158"/>
      <c r="DQ81" s="158"/>
      <c r="DR81" s="158"/>
      <c r="DS81" s="158"/>
      <c r="DT81" s="158"/>
      <c r="DU81" s="158"/>
      <c r="DV81" s="158"/>
      <c r="DW81" s="158"/>
      <c r="DX81" s="158"/>
      <c r="DY81" s="158"/>
      <c r="DZ81" s="158"/>
      <c r="EA81" s="158"/>
      <c r="EB81" s="158"/>
      <c r="EC81" s="158"/>
      <c r="ED81" s="158"/>
      <c r="EE81" s="158"/>
      <c r="EF81" s="158"/>
      <c r="EG81" s="158"/>
      <c r="EH81" s="158"/>
      <c r="EI81" s="158"/>
      <c r="EJ81" s="158"/>
      <c r="EK81" s="158"/>
      <c r="EL81" s="158"/>
      <c r="EM81" s="158"/>
      <c r="EN81" s="158"/>
      <c r="EO81" s="158"/>
      <c r="EP81" s="158"/>
      <c r="EQ81" s="158"/>
      <c r="ER81" s="158"/>
      <c r="ES81" s="158"/>
      <c r="ET81" s="158"/>
      <c r="EU81" s="158"/>
      <c r="EV81" s="158"/>
      <c r="EW81" s="158"/>
      <c r="EX81" s="158"/>
      <c r="EY81" s="158"/>
      <c r="EZ81" s="158"/>
      <c r="FA81" s="158"/>
      <c r="FB81" s="158"/>
      <c r="FC81" s="158"/>
      <c r="FD81" s="158"/>
      <c r="FE81" s="158"/>
      <c r="FF81" s="158"/>
      <c r="FG81" s="158"/>
      <c r="FH81" s="158"/>
      <c r="FI81" s="158"/>
      <c r="FJ81" s="158"/>
      <c r="FK81" s="158"/>
      <c r="FL81" s="158"/>
      <c r="FM81" s="158"/>
      <c r="FN81" s="158"/>
      <c r="FO81" s="158"/>
      <c r="FP81" s="158"/>
      <c r="FQ81" s="158"/>
      <c r="FR81" s="158"/>
      <c r="FS81" s="158"/>
      <c r="FT81" s="158"/>
      <c r="FU81" s="158"/>
      <c r="FV81" s="158"/>
      <c r="FW81" s="158"/>
      <c r="FX81" s="158"/>
      <c r="FY81" s="158"/>
      <c r="FZ81" s="158"/>
      <c r="GA81" s="158"/>
      <c r="GB81" s="158"/>
      <c r="GC81" s="158"/>
      <c r="GD81" s="158"/>
      <c r="GE81" s="158"/>
      <c r="GF81" s="158"/>
      <c r="GG81" s="158"/>
      <c r="GH81" s="158"/>
      <c r="GI81" s="158"/>
      <c r="GJ81" s="158"/>
      <c r="GK81" s="158"/>
      <c r="GL81" s="158"/>
      <c r="GM81" s="158"/>
      <c r="GN81" s="158"/>
      <c r="GO81" s="158"/>
      <c r="GP81" s="158"/>
      <c r="GQ81" s="158"/>
      <c r="GR81" s="158"/>
      <c r="GS81" s="158"/>
      <c r="GT81" s="158"/>
      <c r="GU81" s="158"/>
      <c r="GV81" s="158"/>
      <c r="GW81" s="158"/>
      <c r="GX81" s="158"/>
      <c r="GY81" s="158"/>
      <c r="GZ81" s="158"/>
      <c r="HA81" s="158"/>
      <c r="HB81" s="158"/>
      <c r="HC81" s="158"/>
      <c r="HD81" s="158"/>
      <c r="HE81" s="158"/>
      <c r="HF81" s="158"/>
      <c r="HG81" s="158"/>
      <c r="HH81" s="158"/>
      <c r="HI81" s="158"/>
      <c r="HJ81" s="158"/>
      <c r="HK81" s="158"/>
      <c r="HL81" s="158"/>
    </row>
    <row r="82" spans="1:220">
      <c r="A82" s="49"/>
      <c r="B82" s="105" t="s">
        <v>329</v>
      </c>
      <c r="C82" s="162" t="s">
        <v>624</v>
      </c>
      <c r="D82" s="145">
        <f>Output_Concentration!AR4</f>
        <v>0</v>
      </c>
      <c r="E82" s="158"/>
      <c r="F82" s="158"/>
      <c r="G82" s="158"/>
      <c r="H82" s="158"/>
      <c r="I82" s="158"/>
      <c r="J82" s="158"/>
      <c r="K82" s="158"/>
      <c r="L82" s="158"/>
      <c r="M82" s="158"/>
      <c r="N82" s="158"/>
      <c r="O82" s="158"/>
      <c r="P82" s="158"/>
      <c r="Q82" s="158"/>
      <c r="R82" s="158"/>
      <c r="S82" s="158"/>
      <c r="T82" s="158"/>
      <c r="U82" s="158"/>
      <c r="V82" s="158"/>
      <c r="W82" s="158"/>
      <c r="X82" s="158"/>
      <c r="Y82" s="158"/>
      <c r="Z82" s="158"/>
      <c r="AA82" s="158"/>
      <c r="AB82" s="158"/>
      <c r="AC82" s="158"/>
      <c r="AD82" s="158"/>
      <c r="AE82" s="158"/>
      <c r="AF82" s="158"/>
      <c r="AG82" s="158"/>
      <c r="AH82" s="158"/>
      <c r="AI82" s="158"/>
      <c r="AJ82" s="158"/>
      <c r="AK82" s="158"/>
      <c r="AL82" s="158"/>
      <c r="AM82" s="158"/>
      <c r="AN82" s="158"/>
      <c r="AO82" s="158"/>
      <c r="AP82" s="158"/>
      <c r="AQ82" s="158"/>
      <c r="AR82" s="158"/>
      <c r="AS82" s="158"/>
      <c r="AT82" s="158"/>
      <c r="AU82" s="158"/>
      <c r="AV82" s="158"/>
      <c r="AW82" s="158"/>
      <c r="AX82" s="158"/>
      <c r="AY82" s="158"/>
      <c r="AZ82" s="158"/>
      <c r="BA82" s="158"/>
      <c r="BB82" s="158"/>
      <c r="BC82" s="158"/>
      <c r="BD82" s="158"/>
      <c r="BE82" s="158"/>
      <c r="BF82" s="158"/>
      <c r="BG82" s="158"/>
      <c r="BH82" s="158"/>
      <c r="BI82" s="158"/>
      <c r="BJ82" s="158"/>
      <c r="BK82" s="158"/>
      <c r="BL82" s="158"/>
      <c r="BM82" s="158"/>
      <c r="BN82" s="158"/>
      <c r="BO82" s="158"/>
      <c r="BP82" s="158"/>
      <c r="BQ82" s="158"/>
      <c r="BR82" s="158"/>
      <c r="BS82" s="158"/>
      <c r="BT82" s="158"/>
      <c r="BU82" s="158"/>
      <c r="BV82" s="158"/>
      <c r="BW82" s="158"/>
      <c r="BX82" s="158"/>
      <c r="BY82" s="158"/>
      <c r="BZ82" s="158"/>
      <c r="CA82" s="158"/>
      <c r="CB82" s="158"/>
      <c r="CC82" s="158"/>
      <c r="CD82" s="158"/>
      <c r="CE82" s="158"/>
      <c r="CF82" s="158"/>
      <c r="CG82" s="158"/>
      <c r="CH82" s="158"/>
      <c r="CI82" s="158"/>
      <c r="CJ82" s="158"/>
      <c r="CK82" s="158"/>
      <c r="CL82" s="158"/>
      <c r="CM82" s="158"/>
      <c r="CN82" s="158"/>
      <c r="CO82" s="158"/>
      <c r="CP82" s="158"/>
      <c r="CQ82" s="158"/>
      <c r="CR82" s="158"/>
      <c r="CS82" s="158"/>
      <c r="CT82" s="158"/>
      <c r="CU82" s="158"/>
      <c r="CV82" s="158"/>
      <c r="CW82" s="158"/>
      <c r="CX82" s="158"/>
      <c r="CY82" s="158"/>
      <c r="CZ82" s="158"/>
      <c r="DA82" s="158"/>
      <c r="DB82" s="158"/>
      <c r="DC82" s="158"/>
      <c r="DD82" s="158"/>
      <c r="DE82" s="158"/>
      <c r="DF82" s="158"/>
      <c r="DG82" s="158"/>
      <c r="DH82" s="158"/>
      <c r="DI82" s="158"/>
      <c r="DJ82" s="158"/>
      <c r="DK82" s="158"/>
      <c r="DL82" s="158"/>
      <c r="DM82" s="158"/>
      <c r="DN82" s="158"/>
      <c r="DO82" s="158"/>
      <c r="DP82" s="158"/>
      <c r="DQ82" s="158"/>
      <c r="DR82" s="158"/>
      <c r="DS82" s="158"/>
      <c r="DT82" s="158"/>
      <c r="DU82" s="158"/>
      <c r="DV82" s="158"/>
      <c r="DW82" s="158"/>
      <c r="DX82" s="158"/>
      <c r="DY82" s="158"/>
      <c r="DZ82" s="158"/>
      <c r="EA82" s="158"/>
      <c r="EB82" s="158"/>
      <c r="EC82" s="158"/>
      <c r="ED82" s="158"/>
      <c r="EE82" s="158"/>
      <c r="EF82" s="158"/>
      <c r="EG82" s="158"/>
      <c r="EH82" s="158"/>
      <c r="EI82" s="158"/>
      <c r="EJ82" s="158"/>
      <c r="EK82" s="158"/>
      <c r="EL82" s="158"/>
      <c r="EM82" s="158"/>
      <c r="EN82" s="158"/>
      <c r="EO82" s="158"/>
      <c r="EP82" s="158"/>
      <c r="EQ82" s="158"/>
      <c r="ER82" s="158"/>
      <c r="ES82" s="158"/>
      <c r="ET82" s="158"/>
      <c r="EU82" s="158"/>
      <c r="EV82" s="158"/>
      <c r="EW82" s="158"/>
      <c r="EX82" s="158"/>
      <c r="EY82" s="158"/>
      <c r="EZ82" s="158"/>
      <c r="FA82" s="158"/>
      <c r="FB82" s="158"/>
      <c r="FC82" s="158"/>
      <c r="FD82" s="158"/>
      <c r="FE82" s="158"/>
      <c r="FF82" s="158"/>
      <c r="FG82" s="158"/>
      <c r="FH82" s="158"/>
      <c r="FI82" s="158"/>
      <c r="FJ82" s="158"/>
      <c r="FK82" s="158"/>
      <c r="FL82" s="158"/>
      <c r="FM82" s="158"/>
      <c r="FN82" s="158"/>
      <c r="FO82" s="158"/>
      <c r="FP82" s="158"/>
      <c r="FQ82" s="158"/>
      <c r="FR82" s="158"/>
      <c r="FS82" s="158"/>
      <c r="FT82" s="158"/>
      <c r="FU82" s="158"/>
      <c r="FV82" s="158"/>
      <c r="FW82" s="158"/>
      <c r="FX82" s="158"/>
      <c r="FY82" s="158"/>
      <c r="FZ82" s="158"/>
      <c r="GA82" s="158"/>
      <c r="GB82" s="158"/>
      <c r="GC82" s="158"/>
      <c r="GD82" s="158"/>
      <c r="GE82" s="158"/>
      <c r="GF82" s="158"/>
      <c r="GG82" s="158"/>
      <c r="GH82" s="158"/>
      <c r="GI82" s="158"/>
      <c r="GJ82" s="158"/>
      <c r="GK82" s="158"/>
      <c r="GL82" s="158"/>
      <c r="GM82" s="158"/>
      <c r="GN82" s="158"/>
      <c r="GO82" s="158"/>
      <c r="GP82" s="158"/>
      <c r="GQ82" s="158"/>
      <c r="GR82" s="158"/>
      <c r="GS82" s="158"/>
      <c r="GT82" s="158"/>
      <c r="GU82" s="158"/>
      <c r="GV82" s="158"/>
      <c r="GW82" s="158"/>
      <c r="GX82" s="158"/>
      <c r="GY82" s="158"/>
      <c r="GZ82" s="158"/>
      <c r="HA82" s="158"/>
      <c r="HB82" s="158"/>
      <c r="HC82" s="158"/>
      <c r="HD82" s="158"/>
      <c r="HE82" s="158"/>
      <c r="HF82" s="158"/>
      <c r="HG82" s="158"/>
      <c r="HH82" s="158"/>
      <c r="HI82" s="158"/>
      <c r="HJ82" s="158"/>
      <c r="HK82" s="158"/>
      <c r="HL82" s="158"/>
    </row>
    <row r="83" spans="1:220">
      <c r="A83" s="49"/>
      <c r="B83" s="105" t="s">
        <v>330</v>
      </c>
      <c r="C83" s="162" t="s">
        <v>625</v>
      </c>
      <c r="D83" s="145">
        <f>Output_Concentration!AS4</f>
        <v>0</v>
      </c>
      <c r="E83" s="158"/>
      <c r="F83" s="158"/>
      <c r="G83" s="158"/>
      <c r="H83" s="158"/>
      <c r="I83" s="158"/>
      <c r="J83" s="158"/>
      <c r="K83" s="158"/>
      <c r="L83" s="158"/>
      <c r="M83" s="158"/>
      <c r="N83" s="158"/>
      <c r="O83" s="158"/>
      <c r="P83" s="158"/>
      <c r="Q83" s="158"/>
      <c r="R83" s="158"/>
      <c r="S83" s="158"/>
      <c r="T83" s="158"/>
      <c r="U83" s="158"/>
      <c r="V83" s="158"/>
      <c r="W83" s="158"/>
      <c r="X83" s="158"/>
      <c r="Y83" s="158"/>
      <c r="Z83" s="158"/>
      <c r="AA83" s="158"/>
      <c r="AB83" s="158"/>
      <c r="AC83" s="158"/>
      <c r="AD83" s="158"/>
      <c r="AE83" s="158"/>
      <c r="AF83" s="158"/>
      <c r="AG83" s="158"/>
      <c r="AH83" s="158"/>
      <c r="AI83" s="158"/>
      <c r="AJ83" s="158"/>
      <c r="AK83" s="158"/>
      <c r="AL83" s="158"/>
      <c r="AM83" s="158"/>
      <c r="AN83" s="158"/>
      <c r="AO83" s="158"/>
      <c r="AP83" s="158"/>
      <c r="AQ83" s="158"/>
      <c r="AR83" s="158"/>
      <c r="AS83" s="158"/>
      <c r="AT83" s="158"/>
      <c r="AU83" s="158"/>
      <c r="AV83" s="158"/>
      <c r="AW83" s="158"/>
      <c r="AX83" s="158"/>
      <c r="AY83" s="158"/>
      <c r="AZ83" s="158"/>
      <c r="BA83" s="158"/>
      <c r="BB83" s="158"/>
      <c r="BC83" s="158"/>
      <c r="BD83" s="158"/>
      <c r="BE83" s="158"/>
      <c r="BF83" s="158"/>
      <c r="BG83" s="158"/>
      <c r="BH83" s="158"/>
      <c r="BI83" s="158"/>
      <c r="BJ83" s="158"/>
      <c r="BK83" s="158"/>
      <c r="BL83" s="158"/>
      <c r="BM83" s="158"/>
      <c r="BN83" s="158"/>
      <c r="BO83" s="158"/>
      <c r="BP83" s="158"/>
      <c r="BQ83" s="158"/>
      <c r="BR83" s="158"/>
      <c r="BS83" s="158"/>
      <c r="BT83" s="158"/>
      <c r="BU83" s="158"/>
      <c r="BV83" s="158"/>
      <c r="BW83" s="158"/>
      <c r="BX83" s="158"/>
      <c r="BY83" s="158"/>
      <c r="BZ83" s="158"/>
      <c r="CA83" s="158"/>
      <c r="CB83" s="158"/>
      <c r="CC83" s="158"/>
      <c r="CD83" s="158"/>
      <c r="CE83" s="158"/>
      <c r="CF83" s="158"/>
      <c r="CG83" s="158"/>
      <c r="CH83" s="158"/>
      <c r="CI83" s="158"/>
      <c r="CJ83" s="158"/>
      <c r="CK83" s="158"/>
      <c r="CL83" s="158"/>
      <c r="CM83" s="158"/>
      <c r="CN83" s="158"/>
      <c r="CO83" s="158"/>
      <c r="CP83" s="158"/>
      <c r="CQ83" s="158"/>
      <c r="CR83" s="158"/>
      <c r="CS83" s="158"/>
      <c r="CT83" s="158"/>
      <c r="CU83" s="158"/>
      <c r="CV83" s="158"/>
      <c r="CW83" s="158"/>
      <c r="CX83" s="158"/>
      <c r="CY83" s="158"/>
      <c r="CZ83" s="158"/>
      <c r="DA83" s="158"/>
      <c r="DB83" s="158"/>
      <c r="DC83" s="158"/>
      <c r="DD83" s="158"/>
      <c r="DE83" s="158"/>
      <c r="DF83" s="158"/>
      <c r="DG83" s="158"/>
      <c r="DH83" s="158"/>
      <c r="DI83" s="158"/>
      <c r="DJ83" s="158"/>
      <c r="DK83" s="158"/>
      <c r="DL83" s="158"/>
      <c r="DM83" s="158"/>
      <c r="DN83" s="158"/>
      <c r="DO83" s="158"/>
      <c r="DP83" s="158"/>
      <c r="DQ83" s="158"/>
      <c r="DR83" s="158"/>
      <c r="DS83" s="158"/>
      <c r="DT83" s="158"/>
      <c r="DU83" s="158"/>
      <c r="DV83" s="158"/>
      <c r="DW83" s="158"/>
      <c r="DX83" s="158"/>
      <c r="DY83" s="158"/>
      <c r="DZ83" s="158"/>
      <c r="EA83" s="158"/>
      <c r="EB83" s="158"/>
      <c r="EC83" s="158"/>
      <c r="ED83" s="158"/>
      <c r="EE83" s="158"/>
      <c r="EF83" s="158"/>
      <c r="EG83" s="158"/>
      <c r="EH83" s="158"/>
      <c r="EI83" s="158"/>
      <c r="EJ83" s="158"/>
      <c r="EK83" s="158"/>
      <c r="EL83" s="158"/>
      <c r="EM83" s="158"/>
      <c r="EN83" s="158"/>
      <c r="EO83" s="158"/>
      <c r="EP83" s="158"/>
      <c r="EQ83" s="158"/>
      <c r="ER83" s="158"/>
      <c r="ES83" s="158"/>
      <c r="ET83" s="158"/>
      <c r="EU83" s="158"/>
      <c r="EV83" s="158"/>
      <c r="EW83" s="158"/>
      <c r="EX83" s="158"/>
      <c r="EY83" s="158"/>
      <c r="EZ83" s="158"/>
      <c r="FA83" s="158"/>
      <c r="FB83" s="158"/>
      <c r="FC83" s="158"/>
      <c r="FD83" s="158"/>
      <c r="FE83" s="158"/>
      <c r="FF83" s="158"/>
      <c r="FG83" s="158"/>
      <c r="FH83" s="158"/>
      <c r="FI83" s="158"/>
      <c r="FJ83" s="158"/>
      <c r="FK83" s="158"/>
      <c r="FL83" s="158"/>
      <c r="FM83" s="158"/>
      <c r="FN83" s="158"/>
      <c r="FO83" s="158"/>
      <c r="FP83" s="158"/>
      <c r="FQ83" s="158"/>
      <c r="FR83" s="158"/>
      <c r="FS83" s="158"/>
      <c r="FT83" s="158"/>
      <c r="FU83" s="158"/>
      <c r="FV83" s="158"/>
      <c r="FW83" s="158"/>
      <c r="FX83" s="158"/>
      <c r="FY83" s="158"/>
      <c r="FZ83" s="158"/>
      <c r="GA83" s="158"/>
      <c r="GB83" s="158"/>
      <c r="GC83" s="158"/>
      <c r="GD83" s="158"/>
      <c r="GE83" s="158"/>
      <c r="GF83" s="158"/>
      <c r="GG83" s="158"/>
      <c r="GH83" s="158"/>
      <c r="GI83" s="158"/>
      <c r="GJ83" s="158"/>
      <c r="GK83" s="158"/>
      <c r="GL83" s="158"/>
      <c r="GM83" s="158"/>
      <c r="GN83" s="158"/>
      <c r="GO83" s="158"/>
      <c r="GP83" s="158"/>
      <c r="GQ83" s="158"/>
      <c r="GR83" s="158"/>
      <c r="GS83" s="158"/>
      <c r="GT83" s="158"/>
      <c r="GU83" s="158"/>
      <c r="GV83" s="158"/>
      <c r="GW83" s="158"/>
      <c r="GX83" s="158"/>
      <c r="GY83" s="158"/>
      <c r="GZ83" s="158"/>
      <c r="HA83" s="158"/>
      <c r="HB83" s="158"/>
      <c r="HC83" s="158"/>
      <c r="HD83" s="158"/>
      <c r="HE83" s="158"/>
      <c r="HF83" s="158"/>
      <c r="HG83" s="158"/>
      <c r="HH83" s="158"/>
      <c r="HI83" s="158"/>
      <c r="HJ83" s="158"/>
      <c r="HK83" s="158"/>
      <c r="HL83" s="158"/>
    </row>
    <row r="84" spans="1:220">
      <c r="A84" s="49"/>
      <c r="B84" s="105" t="s">
        <v>331</v>
      </c>
      <c r="C84" s="162" t="s">
        <v>626</v>
      </c>
      <c r="D84" s="145">
        <f>Output_Concentration!AT4</f>
        <v>0</v>
      </c>
      <c r="E84" s="158"/>
      <c r="F84" s="158"/>
      <c r="G84" s="158"/>
      <c r="H84" s="158"/>
      <c r="I84" s="158"/>
      <c r="J84" s="158"/>
      <c r="K84" s="158"/>
      <c r="L84" s="158"/>
      <c r="M84" s="158"/>
      <c r="N84" s="158"/>
      <c r="O84" s="158"/>
      <c r="P84" s="158"/>
      <c r="Q84" s="158"/>
      <c r="R84" s="158"/>
      <c r="S84" s="158"/>
      <c r="T84" s="158"/>
      <c r="U84" s="158"/>
      <c r="V84" s="158"/>
      <c r="W84" s="158"/>
      <c r="X84" s="158"/>
      <c r="Y84" s="158"/>
      <c r="Z84" s="158"/>
      <c r="AA84" s="158"/>
      <c r="AB84" s="158"/>
      <c r="AC84" s="158"/>
      <c r="AD84" s="158"/>
      <c r="AE84" s="158"/>
      <c r="AF84" s="158"/>
      <c r="AG84" s="158"/>
      <c r="AH84" s="158"/>
      <c r="AI84" s="158"/>
      <c r="AJ84" s="158"/>
      <c r="AK84" s="158"/>
      <c r="AL84" s="158"/>
      <c r="AM84" s="158"/>
      <c r="AN84" s="158"/>
      <c r="AO84" s="158"/>
      <c r="AP84" s="158"/>
      <c r="AQ84" s="158"/>
      <c r="AR84" s="158"/>
      <c r="AS84" s="158"/>
      <c r="AT84" s="158"/>
      <c r="AU84" s="158"/>
      <c r="AV84" s="158"/>
      <c r="AW84" s="158"/>
      <c r="AX84" s="158"/>
      <c r="AY84" s="158"/>
      <c r="AZ84" s="158"/>
      <c r="BA84" s="158"/>
      <c r="BB84" s="158"/>
      <c r="BC84" s="158"/>
      <c r="BD84" s="158"/>
      <c r="BE84" s="158"/>
      <c r="BF84" s="158"/>
      <c r="BG84" s="158"/>
      <c r="BH84" s="158"/>
      <c r="BI84" s="158"/>
      <c r="BJ84" s="158"/>
      <c r="BK84" s="158"/>
      <c r="BL84" s="158"/>
      <c r="BM84" s="158"/>
      <c r="BN84" s="158"/>
      <c r="BO84" s="158"/>
      <c r="BP84" s="158"/>
      <c r="BQ84" s="158"/>
      <c r="BR84" s="158"/>
      <c r="BS84" s="158"/>
      <c r="BT84" s="158"/>
      <c r="BU84" s="158"/>
      <c r="BV84" s="158"/>
      <c r="BW84" s="158"/>
      <c r="BX84" s="158"/>
      <c r="BY84" s="158"/>
      <c r="BZ84" s="158"/>
      <c r="CA84" s="158"/>
      <c r="CB84" s="158"/>
      <c r="CC84" s="158"/>
      <c r="CD84" s="158"/>
      <c r="CE84" s="158"/>
      <c r="CF84" s="158"/>
      <c r="CG84" s="158"/>
      <c r="CH84" s="158"/>
      <c r="CI84" s="158"/>
      <c r="CJ84" s="158"/>
      <c r="CK84" s="158"/>
      <c r="CL84" s="158"/>
      <c r="CM84" s="158"/>
      <c r="CN84" s="158"/>
      <c r="CO84" s="158"/>
      <c r="CP84" s="158"/>
      <c r="CQ84" s="158"/>
      <c r="CR84" s="158"/>
      <c r="CS84" s="158"/>
      <c r="CT84" s="158"/>
      <c r="CU84" s="158"/>
      <c r="CV84" s="158"/>
      <c r="CW84" s="158"/>
      <c r="CX84" s="158"/>
      <c r="CY84" s="158"/>
      <c r="CZ84" s="158"/>
      <c r="DA84" s="158"/>
      <c r="DB84" s="158"/>
      <c r="DC84" s="158"/>
      <c r="DD84" s="158"/>
      <c r="DE84" s="158"/>
      <c r="DF84" s="158"/>
      <c r="DG84" s="158"/>
      <c r="DH84" s="158"/>
      <c r="DI84" s="158"/>
      <c r="DJ84" s="158"/>
      <c r="DK84" s="158"/>
      <c r="DL84" s="158"/>
      <c r="DM84" s="158"/>
      <c r="DN84" s="158"/>
      <c r="DO84" s="158"/>
      <c r="DP84" s="158"/>
      <c r="DQ84" s="158"/>
      <c r="DR84" s="158"/>
      <c r="DS84" s="158"/>
      <c r="DT84" s="158"/>
      <c r="DU84" s="158"/>
      <c r="DV84" s="158"/>
      <c r="DW84" s="158"/>
      <c r="DX84" s="158"/>
      <c r="DY84" s="158"/>
      <c r="DZ84" s="158"/>
      <c r="EA84" s="158"/>
      <c r="EB84" s="158"/>
      <c r="EC84" s="158"/>
      <c r="ED84" s="158"/>
      <c r="EE84" s="158"/>
      <c r="EF84" s="158"/>
      <c r="EG84" s="158"/>
      <c r="EH84" s="158"/>
      <c r="EI84" s="158"/>
      <c r="EJ84" s="158"/>
      <c r="EK84" s="158"/>
      <c r="EL84" s="158"/>
      <c r="EM84" s="158"/>
      <c r="EN84" s="158"/>
      <c r="EO84" s="158"/>
      <c r="EP84" s="158"/>
      <c r="EQ84" s="158"/>
      <c r="ER84" s="158"/>
      <c r="ES84" s="158"/>
      <c r="ET84" s="158"/>
      <c r="EU84" s="158"/>
      <c r="EV84" s="158"/>
      <c r="EW84" s="158"/>
      <c r="EX84" s="158"/>
      <c r="EY84" s="158"/>
      <c r="EZ84" s="158"/>
      <c r="FA84" s="158"/>
      <c r="FB84" s="158"/>
      <c r="FC84" s="158"/>
      <c r="FD84" s="158"/>
      <c r="FE84" s="158"/>
      <c r="FF84" s="158"/>
      <c r="FG84" s="158"/>
      <c r="FH84" s="158"/>
      <c r="FI84" s="158"/>
      <c r="FJ84" s="158"/>
      <c r="FK84" s="158"/>
      <c r="FL84" s="158"/>
      <c r="FM84" s="158"/>
      <c r="FN84" s="158"/>
      <c r="FO84" s="158"/>
      <c r="FP84" s="158"/>
      <c r="FQ84" s="158"/>
      <c r="FR84" s="158"/>
      <c r="FS84" s="158"/>
      <c r="FT84" s="158"/>
      <c r="FU84" s="158"/>
      <c r="FV84" s="158"/>
      <c r="FW84" s="158"/>
      <c r="FX84" s="158"/>
      <c r="FY84" s="158"/>
      <c r="FZ84" s="158"/>
      <c r="GA84" s="158"/>
      <c r="GB84" s="158"/>
      <c r="GC84" s="158"/>
      <c r="GD84" s="158"/>
      <c r="GE84" s="158"/>
      <c r="GF84" s="158"/>
      <c r="GG84" s="158"/>
      <c r="GH84" s="158"/>
      <c r="GI84" s="158"/>
      <c r="GJ84" s="158"/>
      <c r="GK84" s="158"/>
      <c r="GL84" s="158"/>
      <c r="GM84" s="158"/>
      <c r="GN84" s="158"/>
      <c r="GO84" s="158"/>
      <c r="GP84" s="158"/>
      <c r="GQ84" s="158"/>
      <c r="GR84" s="158"/>
      <c r="GS84" s="158"/>
      <c r="GT84" s="158"/>
      <c r="GU84" s="158"/>
      <c r="GV84" s="158"/>
      <c r="GW84" s="158"/>
      <c r="GX84" s="158"/>
      <c r="GY84" s="158"/>
      <c r="GZ84" s="158"/>
      <c r="HA84" s="158"/>
      <c r="HB84" s="158"/>
      <c r="HC84" s="158"/>
      <c r="HD84" s="158"/>
      <c r="HE84" s="158"/>
      <c r="HF84" s="158"/>
      <c r="HG84" s="158"/>
      <c r="HH84" s="158"/>
      <c r="HI84" s="158"/>
      <c r="HJ84" s="158"/>
      <c r="HK84" s="158"/>
      <c r="HL84" s="158"/>
    </row>
    <row r="85" spans="1:220">
      <c r="A85" s="49"/>
      <c r="B85" s="105" t="s">
        <v>332</v>
      </c>
      <c r="C85" s="162" t="s">
        <v>627</v>
      </c>
      <c r="D85" s="145">
        <f>Output_Hazard!D52</f>
        <v>0</v>
      </c>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c r="BH85" s="158"/>
      <c r="BI85" s="158"/>
      <c r="BJ85" s="158"/>
      <c r="BK85" s="158"/>
      <c r="BL85" s="158"/>
      <c r="BM85" s="158"/>
      <c r="BN85" s="158"/>
      <c r="BO85" s="158"/>
      <c r="BP85" s="158"/>
      <c r="BQ85" s="158"/>
      <c r="BR85" s="158"/>
      <c r="BS85" s="158"/>
      <c r="BT85" s="158"/>
      <c r="BU85" s="158"/>
      <c r="BV85" s="158"/>
      <c r="BW85" s="158"/>
      <c r="BX85" s="158"/>
      <c r="BY85" s="158"/>
      <c r="BZ85" s="158"/>
      <c r="CA85" s="158"/>
      <c r="CB85" s="158"/>
      <c r="CC85" s="158"/>
      <c r="CD85" s="158"/>
      <c r="CE85" s="158"/>
      <c r="CF85" s="158"/>
      <c r="CG85" s="158"/>
      <c r="CH85" s="158"/>
      <c r="CI85" s="158"/>
      <c r="CJ85" s="158"/>
      <c r="CK85" s="158"/>
      <c r="CL85" s="158"/>
      <c r="CM85" s="158"/>
      <c r="CN85" s="158"/>
      <c r="CO85" s="158"/>
      <c r="CP85" s="158"/>
      <c r="CQ85" s="158"/>
      <c r="CR85" s="158"/>
      <c r="CS85" s="158"/>
      <c r="CT85" s="158"/>
      <c r="CU85" s="158"/>
      <c r="CV85" s="158"/>
      <c r="CW85" s="158"/>
      <c r="CX85" s="158"/>
      <c r="CY85" s="158"/>
      <c r="CZ85" s="158"/>
      <c r="DA85" s="158"/>
      <c r="DB85" s="158"/>
      <c r="DC85" s="158"/>
      <c r="DD85" s="158"/>
      <c r="DE85" s="158"/>
      <c r="DF85" s="158"/>
      <c r="DG85" s="158"/>
      <c r="DH85" s="158"/>
      <c r="DI85" s="158"/>
      <c r="DJ85" s="158"/>
      <c r="DK85" s="158"/>
      <c r="DL85" s="158"/>
      <c r="DM85" s="158"/>
      <c r="DN85" s="158"/>
      <c r="DO85" s="158"/>
      <c r="DP85" s="158"/>
      <c r="DQ85" s="158"/>
      <c r="DR85" s="158"/>
      <c r="DS85" s="158"/>
      <c r="DT85" s="158"/>
      <c r="DU85" s="158"/>
      <c r="DV85" s="158"/>
      <c r="DW85" s="158"/>
      <c r="DX85" s="158"/>
      <c r="DY85" s="158"/>
      <c r="DZ85" s="158"/>
      <c r="EA85" s="158"/>
      <c r="EB85" s="158"/>
      <c r="EC85" s="158"/>
      <c r="ED85" s="158"/>
      <c r="EE85" s="158"/>
      <c r="EF85" s="158"/>
      <c r="EG85" s="158"/>
      <c r="EH85" s="158"/>
      <c r="EI85" s="158"/>
      <c r="EJ85" s="158"/>
      <c r="EK85" s="158"/>
      <c r="EL85" s="158"/>
      <c r="EM85" s="158"/>
      <c r="EN85" s="158"/>
      <c r="EO85" s="158"/>
      <c r="EP85" s="158"/>
      <c r="EQ85" s="158"/>
      <c r="ER85" s="158"/>
      <c r="ES85" s="158"/>
      <c r="ET85" s="158"/>
      <c r="EU85" s="158"/>
      <c r="EV85" s="158"/>
      <c r="EW85" s="158"/>
      <c r="EX85" s="158"/>
      <c r="EY85" s="158"/>
      <c r="EZ85" s="158"/>
      <c r="FA85" s="158"/>
      <c r="FB85" s="158"/>
      <c r="FC85" s="158"/>
      <c r="FD85" s="158"/>
      <c r="FE85" s="158"/>
      <c r="FF85" s="158"/>
      <c r="FG85" s="158"/>
      <c r="FH85" s="158"/>
      <c r="FI85" s="158"/>
      <c r="FJ85" s="158"/>
      <c r="FK85" s="158"/>
      <c r="FL85" s="158"/>
      <c r="FM85" s="158"/>
      <c r="FN85" s="158"/>
      <c r="FO85" s="158"/>
      <c r="FP85" s="158"/>
      <c r="FQ85" s="158"/>
      <c r="FR85" s="158"/>
      <c r="FS85" s="158"/>
      <c r="FT85" s="158"/>
      <c r="FU85" s="158"/>
      <c r="FV85" s="158"/>
      <c r="FW85" s="158"/>
      <c r="FX85" s="158"/>
      <c r="FY85" s="158"/>
      <c r="FZ85" s="158"/>
      <c r="GA85" s="158"/>
      <c r="GB85" s="158"/>
      <c r="GC85" s="158"/>
      <c r="GD85" s="158"/>
      <c r="GE85" s="158"/>
      <c r="GF85" s="158"/>
      <c r="GG85" s="158"/>
      <c r="GH85" s="158"/>
      <c r="GI85" s="158"/>
      <c r="GJ85" s="158"/>
      <c r="GK85" s="158"/>
      <c r="GL85" s="158"/>
      <c r="GM85" s="158"/>
      <c r="GN85" s="158"/>
      <c r="GO85" s="158"/>
      <c r="GP85" s="158"/>
      <c r="GQ85" s="158"/>
      <c r="GR85" s="158"/>
      <c r="GS85" s="158"/>
      <c r="GT85" s="158"/>
      <c r="GU85" s="158"/>
      <c r="GV85" s="158"/>
      <c r="GW85" s="158"/>
      <c r="GX85" s="158"/>
      <c r="GY85" s="158"/>
      <c r="GZ85" s="158"/>
      <c r="HA85" s="158"/>
      <c r="HB85" s="158"/>
      <c r="HC85" s="158"/>
      <c r="HD85" s="158"/>
      <c r="HE85" s="158"/>
      <c r="HF85" s="158"/>
      <c r="HG85" s="158"/>
      <c r="HH85" s="158"/>
      <c r="HI85" s="158"/>
      <c r="HJ85" s="158"/>
      <c r="HK85" s="158"/>
      <c r="HL85" s="158"/>
    </row>
    <row r="86" spans="1:220">
      <c r="A86" s="49"/>
      <c r="B86" s="105" t="s">
        <v>333</v>
      </c>
      <c r="C86" s="162" t="s">
        <v>628</v>
      </c>
      <c r="D86" s="145">
        <f>Output_Hazard!D53</f>
        <v>0</v>
      </c>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c r="BH86" s="158"/>
      <c r="BI86" s="158"/>
      <c r="BJ86" s="158"/>
      <c r="BK86" s="158"/>
      <c r="BL86" s="158"/>
      <c r="BM86" s="158"/>
      <c r="BN86" s="158"/>
      <c r="BO86" s="158"/>
      <c r="BP86" s="158"/>
      <c r="BQ86" s="158"/>
      <c r="BR86" s="158"/>
      <c r="BS86" s="158"/>
      <c r="BT86" s="158"/>
      <c r="BU86" s="158"/>
      <c r="BV86" s="158"/>
      <c r="BW86" s="158"/>
      <c r="BX86" s="158"/>
      <c r="BY86" s="158"/>
      <c r="BZ86" s="158"/>
      <c r="CA86" s="158"/>
      <c r="CB86" s="158"/>
      <c r="CC86" s="158"/>
      <c r="CD86" s="158"/>
      <c r="CE86" s="158"/>
      <c r="CF86" s="158"/>
      <c r="CG86" s="158"/>
      <c r="CH86" s="158"/>
      <c r="CI86" s="158"/>
      <c r="CJ86" s="158"/>
      <c r="CK86" s="158"/>
      <c r="CL86" s="158"/>
      <c r="CM86" s="158"/>
      <c r="CN86" s="158"/>
      <c r="CO86" s="158"/>
      <c r="CP86" s="158"/>
      <c r="CQ86" s="158"/>
      <c r="CR86" s="158"/>
      <c r="CS86" s="158"/>
      <c r="CT86" s="158"/>
      <c r="CU86" s="158"/>
      <c r="CV86" s="158"/>
      <c r="CW86" s="158"/>
      <c r="CX86" s="158"/>
      <c r="CY86" s="158"/>
      <c r="CZ86" s="158"/>
      <c r="DA86" s="158"/>
      <c r="DB86" s="158"/>
      <c r="DC86" s="158"/>
      <c r="DD86" s="158"/>
      <c r="DE86" s="158"/>
      <c r="DF86" s="158"/>
      <c r="DG86" s="158"/>
      <c r="DH86" s="158"/>
      <c r="DI86" s="158"/>
      <c r="DJ86" s="158"/>
      <c r="DK86" s="158"/>
      <c r="DL86" s="158"/>
      <c r="DM86" s="158"/>
      <c r="DN86" s="158"/>
      <c r="DO86" s="158"/>
      <c r="DP86" s="158"/>
      <c r="DQ86" s="158"/>
      <c r="DR86" s="158"/>
      <c r="DS86" s="158"/>
      <c r="DT86" s="158"/>
      <c r="DU86" s="158"/>
      <c r="DV86" s="158"/>
      <c r="DW86" s="158"/>
      <c r="DX86" s="158"/>
      <c r="DY86" s="158"/>
      <c r="DZ86" s="158"/>
      <c r="EA86" s="158"/>
      <c r="EB86" s="158"/>
      <c r="EC86" s="158"/>
      <c r="ED86" s="158"/>
      <c r="EE86" s="158"/>
      <c r="EF86" s="158"/>
      <c r="EG86" s="158"/>
      <c r="EH86" s="158"/>
      <c r="EI86" s="158"/>
      <c r="EJ86" s="158"/>
      <c r="EK86" s="158"/>
      <c r="EL86" s="158"/>
      <c r="EM86" s="158"/>
      <c r="EN86" s="158"/>
      <c r="EO86" s="158"/>
      <c r="EP86" s="158"/>
      <c r="EQ86" s="158"/>
      <c r="ER86" s="158"/>
      <c r="ES86" s="158"/>
      <c r="ET86" s="158"/>
      <c r="EU86" s="158"/>
      <c r="EV86" s="158"/>
      <c r="EW86" s="158"/>
      <c r="EX86" s="158"/>
      <c r="EY86" s="158"/>
      <c r="EZ86" s="158"/>
      <c r="FA86" s="158"/>
      <c r="FB86" s="158"/>
      <c r="FC86" s="158"/>
      <c r="FD86" s="158"/>
      <c r="FE86" s="158"/>
      <c r="FF86" s="158"/>
      <c r="FG86" s="158"/>
      <c r="FH86" s="158"/>
      <c r="FI86" s="158"/>
      <c r="FJ86" s="158"/>
      <c r="FK86" s="158"/>
      <c r="FL86" s="158"/>
      <c r="FM86" s="158"/>
      <c r="FN86" s="158"/>
      <c r="FO86" s="158"/>
      <c r="FP86" s="158"/>
      <c r="FQ86" s="158"/>
      <c r="FR86" s="158"/>
      <c r="FS86" s="158"/>
      <c r="FT86" s="158"/>
      <c r="FU86" s="158"/>
      <c r="FV86" s="158"/>
      <c r="FW86" s="158"/>
      <c r="FX86" s="158"/>
      <c r="FY86" s="158"/>
      <c r="FZ86" s="158"/>
      <c r="GA86" s="158"/>
      <c r="GB86" s="158"/>
      <c r="GC86" s="158"/>
      <c r="GD86" s="158"/>
      <c r="GE86" s="158"/>
      <c r="GF86" s="158"/>
      <c r="GG86" s="158"/>
      <c r="GH86" s="158"/>
      <c r="GI86" s="158"/>
      <c r="GJ86" s="158"/>
      <c r="GK86" s="158"/>
      <c r="GL86" s="158"/>
      <c r="GM86" s="158"/>
      <c r="GN86" s="158"/>
      <c r="GO86" s="158"/>
      <c r="GP86" s="158"/>
      <c r="GQ86" s="158"/>
      <c r="GR86" s="158"/>
      <c r="GS86" s="158"/>
      <c r="GT86" s="158"/>
      <c r="GU86" s="158"/>
      <c r="GV86" s="158"/>
      <c r="GW86" s="158"/>
      <c r="GX86" s="158"/>
      <c r="GY86" s="158"/>
      <c r="GZ86" s="158"/>
      <c r="HA86" s="158"/>
      <c r="HB86" s="158"/>
      <c r="HC86" s="158"/>
      <c r="HD86" s="158"/>
      <c r="HE86" s="158"/>
      <c r="HF86" s="158"/>
      <c r="HG86" s="158"/>
      <c r="HH86" s="158"/>
      <c r="HI86" s="158"/>
      <c r="HJ86" s="158"/>
      <c r="HK86" s="158"/>
      <c r="HL86" s="158"/>
    </row>
    <row r="87" spans="1:220">
      <c r="A87" s="49"/>
      <c r="B87" s="105" t="s">
        <v>334</v>
      </c>
      <c r="C87" s="162" t="s">
        <v>629</v>
      </c>
      <c r="D87" s="145">
        <f>Output_Hazard!D62</f>
        <v>0</v>
      </c>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8"/>
      <c r="BJ87" s="158"/>
      <c r="BK87" s="158"/>
      <c r="BL87" s="158"/>
      <c r="BM87" s="158"/>
      <c r="BN87" s="158"/>
      <c r="BO87" s="158"/>
      <c r="BP87" s="158"/>
      <c r="BQ87" s="158"/>
      <c r="BR87" s="158"/>
      <c r="BS87" s="158"/>
      <c r="BT87" s="158"/>
      <c r="BU87" s="158"/>
      <c r="BV87" s="158"/>
      <c r="BW87" s="158"/>
      <c r="BX87" s="158"/>
      <c r="BY87" s="158"/>
      <c r="BZ87" s="158"/>
      <c r="CA87" s="158"/>
      <c r="CB87" s="158"/>
      <c r="CC87" s="158"/>
      <c r="CD87" s="158"/>
      <c r="CE87" s="158"/>
      <c r="CF87" s="158"/>
      <c r="CG87" s="158"/>
      <c r="CH87" s="158"/>
      <c r="CI87" s="158"/>
      <c r="CJ87" s="158"/>
      <c r="CK87" s="158"/>
      <c r="CL87" s="158"/>
      <c r="CM87" s="158"/>
      <c r="CN87" s="158"/>
      <c r="CO87" s="158"/>
      <c r="CP87" s="158"/>
      <c r="CQ87" s="158"/>
      <c r="CR87" s="158"/>
      <c r="CS87" s="158"/>
      <c r="CT87" s="158"/>
      <c r="CU87" s="158"/>
      <c r="CV87" s="158"/>
      <c r="CW87" s="158"/>
      <c r="CX87" s="158"/>
      <c r="CY87" s="158"/>
      <c r="CZ87" s="158"/>
      <c r="DA87" s="158"/>
      <c r="DB87" s="158"/>
      <c r="DC87" s="158"/>
      <c r="DD87" s="158"/>
      <c r="DE87" s="158"/>
      <c r="DF87" s="158"/>
      <c r="DG87" s="158"/>
      <c r="DH87" s="158"/>
      <c r="DI87" s="158"/>
      <c r="DJ87" s="158"/>
      <c r="DK87" s="158"/>
      <c r="DL87" s="158"/>
      <c r="DM87" s="158"/>
      <c r="DN87" s="158"/>
      <c r="DO87" s="158"/>
      <c r="DP87" s="158"/>
      <c r="DQ87" s="158"/>
      <c r="DR87" s="158"/>
      <c r="DS87" s="158"/>
      <c r="DT87" s="158"/>
      <c r="DU87" s="158"/>
      <c r="DV87" s="158"/>
      <c r="DW87" s="158"/>
      <c r="DX87" s="158"/>
      <c r="DY87" s="158"/>
      <c r="DZ87" s="158"/>
      <c r="EA87" s="158"/>
      <c r="EB87" s="158"/>
      <c r="EC87" s="158"/>
      <c r="ED87" s="158"/>
      <c r="EE87" s="158"/>
      <c r="EF87" s="158"/>
      <c r="EG87" s="158"/>
      <c r="EH87" s="158"/>
      <c r="EI87" s="158"/>
      <c r="EJ87" s="158"/>
      <c r="EK87" s="158"/>
      <c r="EL87" s="158"/>
      <c r="EM87" s="158"/>
      <c r="EN87" s="158"/>
      <c r="EO87" s="158"/>
      <c r="EP87" s="158"/>
      <c r="EQ87" s="158"/>
      <c r="ER87" s="158"/>
      <c r="ES87" s="158"/>
      <c r="ET87" s="158"/>
      <c r="EU87" s="158"/>
      <c r="EV87" s="158"/>
      <c r="EW87" s="158"/>
      <c r="EX87" s="158"/>
      <c r="EY87" s="158"/>
      <c r="EZ87" s="158"/>
      <c r="FA87" s="158"/>
      <c r="FB87" s="158"/>
      <c r="FC87" s="158"/>
      <c r="FD87" s="158"/>
      <c r="FE87" s="158"/>
      <c r="FF87" s="158"/>
      <c r="FG87" s="158"/>
      <c r="FH87" s="158"/>
      <c r="FI87" s="158"/>
      <c r="FJ87" s="158"/>
      <c r="FK87" s="158"/>
      <c r="FL87" s="158"/>
      <c r="FM87" s="158"/>
      <c r="FN87" s="158"/>
      <c r="FO87" s="158"/>
      <c r="FP87" s="158"/>
      <c r="FQ87" s="158"/>
      <c r="FR87" s="158"/>
      <c r="FS87" s="158"/>
      <c r="FT87" s="158"/>
      <c r="FU87" s="158"/>
      <c r="FV87" s="158"/>
      <c r="FW87" s="158"/>
      <c r="FX87" s="158"/>
      <c r="FY87" s="158"/>
      <c r="FZ87" s="158"/>
      <c r="GA87" s="158"/>
      <c r="GB87" s="158"/>
      <c r="GC87" s="158"/>
      <c r="GD87" s="158"/>
      <c r="GE87" s="158"/>
      <c r="GF87" s="158"/>
      <c r="GG87" s="158"/>
      <c r="GH87" s="158"/>
      <c r="GI87" s="158"/>
      <c r="GJ87" s="158"/>
      <c r="GK87" s="158"/>
      <c r="GL87" s="158"/>
      <c r="GM87" s="158"/>
      <c r="GN87" s="158"/>
      <c r="GO87" s="158"/>
      <c r="GP87" s="158"/>
      <c r="GQ87" s="158"/>
      <c r="GR87" s="158"/>
      <c r="GS87" s="158"/>
      <c r="GT87" s="158"/>
      <c r="GU87" s="158"/>
      <c r="GV87" s="158"/>
      <c r="GW87" s="158"/>
      <c r="GX87" s="158"/>
      <c r="GY87" s="158"/>
      <c r="GZ87" s="158"/>
      <c r="HA87" s="158"/>
      <c r="HB87" s="158"/>
      <c r="HC87" s="158"/>
      <c r="HD87" s="158"/>
      <c r="HE87" s="158"/>
      <c r="HF87" s="158"/>
      <c r="HG87" s="158"/>
      <c r="HH87" s="158"/>
      <c r="HI87" s="158"/>
      <c r="HJ87" s="158"/>
      <c r="HK87" s="158"/>
      <c r="HL87" s="158"/>
    </row>
    <row r="88" spans="1:220">
      <c r="A88" s="49"/>
      <c r="B88" s="105" t="s">
        <v>335</v>
      </c>
      <c r="C88" s="162" t="s">
        <v>630</v>
      </c>
      <c r="D88" s="145">
        <f>Output_Hazard!D63</f>
        <v>0</v>
      </c>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c r="BH88" s="158"/>
      <c r="BI88" s="158"/>
      <c r="BJ88" s="158"/>
      <c r="BK88" s="158"/>
      <c r="BL88" s="158"/>
      <c r="BM88" s="158"/>
      <c r="BN88" s="158"/>
      <c r="BO88" s="158"/>
      <c r="BP88" s="158"/>
      <c r="BQ88" s="158"/>
      <c r="BR88" s="158"/>
      <c r="BS88" s="158"/>
      <c r="BT88" s="158"/>
      <c r="BU88" s="158"/>
      <c r="BV88" s="158"/>
      <c r="BW88" s="158"/>
      <c r="BX88" s="158"/>
      <c r="BY88" s="158"/>
      <c r="BZ88" s="158"/>
      <c r="CA88" s="158"/>
      <c r="CB88" s="158"/>
      <c r="CC88" s="158"/>
      <c r="CD88" s="158"/>
      <c r="CE88" s="158"/>
      <c r="CF88" s="158"/>
      <c r="CG88" s="158"/>
      <c r="CH88" s="158"/>
      <c r="CI88" s="158"/>
      <c r="CJ88" s="158"/>
      <c r="CK88" s="158"/>
      <c r="CL88" s="158"/>
      <c r="CM88" s="158"/>
      <c r="CN88" s="158"/>
      <c r="CO88" s="158"/>
      <c r="CP88" s="158"/>
      <c r="CQ88" s="158"/>
      <c r="CR88" s="158"/>
      <c r="CS88" s="158"/>
      <c r="CT88" s="158"/>
      <c r="CU88" s="158"/>
      <c r="CV88" s="158"/>
      <c r="CW88" s="158"/>
      <c r="CX88" s="158"/>
      <c r="CY88" s="158"/>
      <c r="CZ88" s="158"/>
      <c r="DA88" s="158"/>
      <c r="DB88" s="158"/>
      <c r="DC88" s="158"/>
      <c r="DD88" s="158"/>
      <c r="DE88" s="158"/>
      <c r="DF88" s="158"/>
      <c r="DG88" s="158"/>
      <c r="DH88" s="158"/>
      <c r="DI88" s="158"/>
      <c r="DJ88" s="158"/>
      <c r="DK88" s="158"/>
      <c r="DL88" s="158"/>
      <c r="DM88" s="158"/>
      <c r="DN88" s="158"/>
      <c r="DO88" s="158"/>
      <c r="DP88" s="158"/>
      <c r="DQ88" s="158"/>
      <c r="DR88" s="158"/>
      <c r="DS88" s="158"/>
      <c r="DT88" s="158"/>
      <c r="DU88" s="158"/>
      <c r="DV88" s="158"/>
      <c r="DW88" s="158"/>
      <c r="DX88" s="158"/>
      <c r="DY88" s="158"/>
      <c r="DZ88" s="158"/>
      <c r="EA88" s="158"/>
      <c r="EB88" s="158"/>
      <c r="EC88" s="158"/>
      <c r="ED88" s="158"/>
      <c r="EE88" s="158"/>
      <c r="EF88" s="158"/>
      <c r="EG88" s="158"/>
      <c r="EH88" s="158"/>
      <c r="EI88" s="158"/>
      <c r="EJ88" s="158"/>
      <c r="EK88" s="158"/>
      <c r="EL88" s="158"/>
      <c r="EM88" s="158"/>
      <c r="EN88" s="158"/>
      <c r="EO88" s="158"/>
      <c r="EP88" s="158"/>
      <c r="EQ88" s="158"/>
      <c r="ER88" s="158"/>
      <c r="ES88" s="158"/>
      <c r="ET88" s="158"/>
      <c r="EU88" s="158"/>
      <c r="EV88" s="158"/>
      <c r="EW88" s="158"/>
      <c r="EX88" s="158"/>
      <c r="EY88" s="158"/>
      <c r="EZ88" s="158"/>
      <c r="FA88" s="158"/>
      <c r="FB88" s="158"/>
      <c r="FC88" s="158"/>
      <c r="FD88" s="158"/>
      <c r="FE88" s="158"/>
      <c r="FF88" s="158"/>
      <c r="FG88" s="158"/>
      <c r="FH88" s="158"/>
      <c r="FI88" s="158"/>
      <c r="FJ88" s="158"/>
      <c r="FK88" s="158"/>
      <c r="FL88" s="158"/>
      <c r="FM88" s="158"/>
      <c r="FN88" s="158"/>
      <c r="FO88" s="158"/>
      <c r="FP88" s="158"/>
      <c r="FQ88" s="158"/>
      <c r="FR88" s="158"/>
      <c r="FS88" s="158"/>
      <c r="FT88" s="158"/>
      <c r="FU88" s="158"/>
      <c r="FV88" s="158"/>
      <c r="FW88" s="158"/>
      <c r="FX88" s="158"/>
      <c r="FY88" s="158"/>
      <c r="FZ88" s="158"/>
      <c r="GA88" s="158"/>
      <c r="GB88" s="158"/>
      <c r="GC88" s="158"/>
      <c r="GD88" s="158"/>
      <c r="GE88" s="158"/>
      <c r="GF88" s="158"/>
      <c r="GG88" s="158"/>
      <c r="GH88" s="158"/>
      <c r="GI88" s="158"/>
      <c r="GJ88" s="158"/>
      <c r="GK88" s="158"/>
      <c r="GL88" s="158"/>
      <c r="GM88" s="158"/>
      <c r="GN88" s="158"/>
      <c r="GO88" s="158"/>
      <c r="GP88" s="158"/>
      <c r="GQ88" s="158"/>
      <c r="GR88" s="158"/>
      <c r="GS88" s="158"/>
      <c r="GT88" s="158"/>
      <c r="GU88" s="158"/>
      <c r="GV88" s="158"/>
      <c r="GW88" s="158"/>
      <c r="GX88" s="158"/>
      <c r="GY88" s="158"/>
      <c r="GZ88" s="158"/>
      <c r="HA88" s="158"/>
      <c r="HB88" s="158"/>
      <c r="HC88" s="158"/>
      <c r="HD88" s="158"/>
      <c r="HE88" s="158"/>
      <c r="HF88" s="158"/>
      <c r="HG88" s="158"/>
      <c r="HH88" s="158"/>
      <c r="HI88" s="158"/>
      <c r="HJ88" s="158"/>
      <c r="HK88" s="158"/>
      <c r="HL88" s="158"/>
    </row>
    <row r="89" spans="1:220">
      <c r="A89" s="49"/>
      <c r="B89" s="105" t="s">
        <v>336</v>
      </c>
      <c r="C89" s="162" t="s">
        <v>631</v>
      </c>
      <c r="D89" s="145">
        <f>Output_Hazard!D64</f>
        <v>0</v>
      </c>
      <c r="E89" s="158"/>
      <c r="F89" s="158"/>
      <c r="G89" s="158"/>
      <c r="H89" s="158"/>
      <c r="I89" s="158"/>
      <c r="J89" s="158"/>
      <c r="K89" s="158"/>
      <c r="L89" s="158"/>
      <c r="M89" s="158"/>
      <c r="N89" s="158"/>
      <c r="O89" s="158"/>
      <c r="P89" s="158"/>
      <c r="Q89" s="158"/>
      <c r="R89" s="158"/>
      <c r="S89" s="158"/>
      <c r="T89" s="158"/>
      <c r="U89" s="158"/>
      <c r="V89" s="158"/>
      <c r="W89" s="158"/>
      <c r="X89" s="158"/>
      <c r="Y89" s="158"/>
      <c r="Z89" s="158"/>
      <c r="AA89" s="158"/>
      <c r="AB89" s="158"/>
      <c r="AC89" s="158"/>
      <c r="AD89" s="158"/>
      <c r="AE89" s="158"/>
      <c r="AF89" s="158"/>
      <c r="AG89" s="158"/>
      <c r="AH89" s="158"/>
      <c r="AI89" s="158"/>
      <c r="AJ89" s="158"/>
      <c r="AK89" s="158"/>
      <c r="AL89" s="158"/>
      <c r="AM89" s="158"/>
      <c r="AN89" s="158"/>
      <c r="AO89" s="158"/>
      <c r="AP89" s="158"/>
      <c r="AQ89" s="158"/>
      <c r="AR89" s="158"/>
      <c r="AS89" s="158"/>
      <c r="AT89" s="158"/>
      <c r="AU89" s="158"/>
      <c r="AV89" s="158"/>
      <c r="AW89" s="158"/>
      <c r="AX89" s="158"/>
      <c r="AY89" s="158"/>
      <c r="AZ89" s="158"/>
      <c r="BA89" s="158"/>
      <c r="BB89" s="158"/>
      <c r="BC89" s="158"/>
      <c r="BD89" s="158"/>
      <c r="BE89" s="158"/>
      <c r="BF89" s="158"/>
      <c r="BG89" s="158"/>
      <c r="BH89" s="158"/>
      <c r="BI89" s="158"/>
      <c r="BJ89" s="158"/>
      <c r="BK89" s="158"/>
      <c r="BL89" s="158"/>
      <c r="BM89" s="158"/>
      <c r="BN89" s="158"/>
      <c r="BO89" s="158"/>
      <c r="BP89" s="158"/>
      <c r="BQ89" s="158"/>
      <c r="BR89" s="158"/>
      <c r="BS89" s="158"/>
      <c r="BT89" s="158"/>
      <c r="BU89" s="158"/>
      <c r="BV89" s="158"/>
      <c r="BW89" s="158"/>
      <c r="BX89" s="158"/>
      <c r="BY89" s="158"/>
      <c r="BZ89" s="158"/>
      <c r="CA89" s="158"/>
      <c r="CB89" s="158"/>
      <c r="CC89" s="158"/>
      <c r="CD89" s="158"/>
      <c r="CE89" s="158"/>
      <c r="CF89" s="158"/>
      <c r="CG89" s="158"/>
      <c r="CH89" s="158"/>
      <c r="CI89" s="158"/>
      <c r="CJ89" s="158"/>
      <c r="CK89" s="158"/>
      <c r="CL89" s="158"/>
      <c r="CM89" s="158"/>
      <c r="CN89" s="158"/>
      <c r="CO89" s="158"/>
      <c r="CP89" s="158"/>
      <c r="CQ89" s="158"/>
      <c r="CR89" s="158"/>
      <c r="CS89" s="158"/>
      <c r="CT89" s="158"/>
      <c r="CU89" s="158"/>
      <c r="CV89" s="158"/>
      <c r="CW89" s="158"/>
      <c r="CX89" s="158"/>
      <c r="CY89" s="158"/>
      <c r="CZ89" s="158"/>
      <c r="DA89" s="158"/>
      <c r="DB89" s="158"/>
      <c r="DC89" s="158"/>
      <c r="DD89" s="158"/>
      <c r="DE89" s="158"/>
      <c r="DF89" s="158"/>
      <c r="DG89" s="158"/>
      <c r="DH89" s="158"/>
      <c r="DI89" s="158"/>
      <c r="DJ89" s="158"/>
      <c r="DK89" s="158"/>
      <c r="DL89" s="158"/>
      <c r="DM89" s="158"/>
      <c r="DN89" s="158"/>
      <c r="DO89" s="158"/>
      <c r="DP89" s="158"/>
      <c r="DQ89" s="158"/>
      <c r="DR89" s="158"/>
      <c r="DS89" s="158"/>
      <c r="DT89" s="158"/>
      <c r="DU89" s="158"/>
      <c r="DV89" s="158"/>
      <c r="DW89" s="158"/>
      <c r="DX89" s="158"/>
      <c r="DY89" s="158"/>
      <c r="DZ89" s="158"/>
      <c r="EA89" s="158"/>
      <c r="EB89" s="158"/>
      <c r="EC89" s="158"/>
      <c r="ED89" s="158"/>
      <c r="EE89" s="158"/>
      <c r="EF89" s="158"/>
      <c r="EG89" s="158"/>
      <c r="EH89" s="158"/>
      <c r="EI89" s="158"/>
      <c r="EJ89" s="158"/>
      <c r="EK89" s="158"/>
      <c r="EL89" s="158"/>
      <c r="EM89" s="158"/>
      <c r="EN89" s="158"/>
      <c r="EO89" s="158"/>
      <c r="EP89" s="158"/>
      <c r="EQ89" s="158"/>
      <c r="ER89" s="158"/>
      <c r="ES89" s="158"/>
      <c r="ET89" s="158"/>
      <c r="EU89" s="158"/>
      <c r="EV89" s="158"/>
      <c r="EW89" s="158"/>
      <c r="EX89" s="158"/>
      <c r="EY89" s="158"/>
      <c r="EZ89" s="158"/>
      <c r="FA89" s="158"/>
      <c r="FB89" s="158"/>
      <c r="FC89" s="158"/>
      <c r="FD89" s="158"/>
      <c r="FE89" s="158"/>
      <c r="FF89" s="158"/>
      <c r="FG89" s="158"/>
      <c r="FH89" s="158"/>
      <c r="FI89" s="158"/>
      <c r="FJ89" s="158"/>
      <c r="FK89" s="158"/>
      <c r="FL89" s="158"/>
      <c r="FM89" s="158"/>
      <c r="FN89" s="158"/>
      <c r="FO89" s="158"/>
      <c r="FP89" s="158"/>
      <c r="FQ89" s="158"/>
      <c r="FR89" s="158"/>
      <c r="FS89" s="158"/>
      <c r="FT89" s="158"/>
      <c r="FU89" s="158"/>
      <c r="FV89" s="158"/>
      <c r="FW89" s="158"/>
      <c r="FX89" s="158"/>
      <c r="FY89" s="158"/>
      <c r="FZ89" s="158"/>
      <c r="GA89" s="158"/>
      <c r="GB89" s="158"/>
      <c r="GC89" s="158"/>
      <c r="GD89" s="158"/>
      <c r="GE89" s="158"/>
      <c r="GF89" s="158"/>
      <c r="GG89" s="158"/>
      <c r="GH89" s="158"/>
      <c r="GI89" s="158"/>
      <c r="GJ89" s="158"/>
      <c r="GK89" s="158"/>
      <c r="GL89" s="158"/>
      <c r="GM89" s="158"/>
      <c r="GN89" s="158"/>
      <c r="GO89" s="158"/>
      <c r="GP89" s="158"/>
      <c r="GQ89" s="158"/>
      <c r="GR89" s="158"/>
      <c r="GS89" s="158"/>
      <c r="GT89" s="158"/>
      <c r="GU89" s="158"/>
      <c r="GV89" s="158"/>
      <c r="GW89" s="158"/>
      <c r="GX89" s="158"/>
      <c r="GY89" s="158"/>
      <c r="GZ89" s="158"/>
      <c r="HA89" s="158"/>
      <c r="HB89" s="158"/>
      <c r="HC89" s="158"/>
      <c r="HD89" s="158"/>
      <c r="HE89" s="158"/>
      <c r="HF89" s="158"/>
      <c r="HG89" s="158"/>
      <c r="HH89" s="158"/>
      <c r="HI89" s="158"/>
      <c r="HJ89" s="158"/>
      <c r="HK89" s="158"/>
      <c r="HL89" s="158"/>
    </row>
    <row r="90" spans="1:220">
      <c r="A90" s="49"/>
      <c r="B90" s="105" t="s">
        <v>337</v>
      </c>
      <c r="C90" s="162" t="s">
        <v>632</v>
      </c>
      <c r="D90" s="145">
        <f>Output_Hazard!D65</f>
        <v>0</v>
      </c>
      <c r="E90" s="158"/>
      <c r="F90" s="158"/>
      <c r="G90" s="158"/>
      <c r="H90" s="158"/>
      <c r="I90" s="158"/>
      <c r="J90" s="158"/>
      <c r="K90" s="158"/>
      <c r="L90" s="158"/>
      <c r="M90" s="158"/>
      <c r="N90" s="158"/>
      <c r="O90" s="158"/>
      <c r="P90" s="158"/>
      <c r="Q90" s="158"/>
      <c r="R90" s="158"/>
      <c r="S90" s="158"/>
      <c r="T90" s="158"/>
      <c r="U90" s="158"/>
      <c r="V90" s="158"/>
      <c r="W90" s="158"/>
      <c r="X90" s="158"/>
      <c r="Y90" s="158"/>
      <c r="Z90" s="158"/>
      <c r="AA90" s="158"/>
      <c r="AB90" s="158"/>
      <c r="AC90" s="158"/>
      <c r="AD90" s="158"/>
      <c r="AE90" s="158"/>
      <c r="AF90" s="158"/>
      <c r="AG90" s="158"/>
      <c r="AH90" s="158"/>
      <c r="AI90" s="158"/>
      <c r="AJ90" s="158"/>
      <c r="AK90" s="158"/>
      <c r="AL90" s="158"/>
      <c r="AM90" s="158"/>
      <c r="AN90" s="158"/>
      <c r="AO90" s="158"/>
      <c r="AP90" s="158"/>
      <c r="AQ90" s="158"/>
      <c r="AR90" s="158"/>
      <c r="AS90" s="158"/>
      <c r="AT90" s="158"/>
      <c r="AU90" s="158"/>
      <c r="AV90" s="158"/>
      <c r="AW90" s="158"/>
      <c r="AX90" s="158"/>
      <c r="AY90" s="158"/>
      <c r="AZ90" s="158"/>
      <c r="BA90" s="158"/>
      <c r="BB90" s="158"/>
      <c r="BC90" s="158"/>
      <c r="BD90" s="158"/>
      <c r="BE90" s="158"/>
      <c r="BF90" s="158"/>
      <c r="BG90" s="158"/>
      <c r="BH90" s="158"/>
      <c r="BI90" s="158"/>
      <c r="BJ90" s="158"/>
      <c r="BK90" s="158"/>
      <c r="BL90" s="158"/>
      <c r="BM90" s="158"/>
      <c r="BN90" s="158"/>
      <c r="BO90" s="158"/>
      <c r="BP90" s="158"/>
      <c r="BQ90" s="158"/>
      <c r="BR90" s="158"/>
      <c r="BS90" s="158"/>
      <c r="BT90" s="158"/>
      <c r="BU90" s="158"/>
      <c r="BV90" s="158"/>
      <c r="BW90" s="158"/>
      <c r="BX90" s="158"/>
      <c r="BY90" s="158"/>
      <c r="BZ90" s="158"/>
      <c r="CA90" s="158"/>
      <c r="CB90" s="158"/>
      <c r="CC90" s="158"/>
      <c r="CD90" s="158"/>
      <c r="CE90" s="158"/>
      <c r="CF90" s="158"/>
      <c r="CG90" s="158"/>
      <c r="CH90" s="158"/>
      <c r="CI90" s="158"/>
      <c r="CJ90" s="158"/>
      <c r="CK90" s="158"/>
      <c r="CL90" s="158"/>
      <c r="CM90" s="158"/>
      <c r="CN90" s="158"/>
      <c r="CO90" s="158"/>
      <c r="CP90" s="158"/>
      <c r="CQ90" s="158"/>
      <c r="CR90" s="158"/>
      <c r="CS90" s="158"/>
      <c r="CT90" s="158"/>
      <c r="CU90" s="158"/>
      <c r="CV90" s="158"/>
      <c r="CW90" s="158"/>
      <c r="CX90" s="158"/>
      <c r="CY90" s="158"/>
      <c r="CZ90" s="158"/>
      <c r="DA90" s="158"/>
      <c r="DB90" s="158"/>
      <c r="DC90" s="158"/>
      <c r="DD90" s="158"/>
      <c r="DE90" s="158"/>
      <c r="DF90" s="158"/>
      <c r="DG90" s="158"/>
      <c r="DH90" s="158"/>
      <c r="DI90" s="158"/>
      <c r="DJ90" s="158"/>
      <c r="DK90" s="158"/>
      <c r="DL90" s="158"/>
      <c r="DM90" s="158"/>
      <c r="DN90" s="158"/>
      <c r="DO90" s="158"/>
      <c r="DP90" s="158"/>
      <c r="DQ90" s="158"/>
      <c r="DR90" s="158"/>
      <c r="DS90" s="158"/>
      <c r="DT90" s="158"/>
      <c r="DU90" s="158"/>
      <c r="DV90" s="158"/>
      <c r="DW90" s="158"/>
      <c r="DX90" s="158"/>
      <c r="DY90" s="158"/>
      <c r="DZ90" s="158"/>
      <c r="EA90" s="158"/>
      <c r="EB90" s="158"/>
      <c r="EC90" s="158"/>
      <c r="ED90" s="158"/>
      <c r="EE90" s="158"/>
      <c r="EF90" s="158"/>
      <c r="EG90" s="158"/>
      <c r="EH90" s="158"/>
      <c r="EI90" s="158"/>
      <c r="EJ90" s="158"/>
      <c r="EK90" s="158"/>
      <c r="EL90" s="158"/>
      <c r="EM90" s="158"/>
      <c r="EN90" s="158"/>
      <c r="EO90" s="158"/>
      <c r="EP90" s="158"/>
      <c r="EQ90" s="158"/>
      <c r="ER90" s="158"/>
      <c r="ES90" s="158"/>
      <c r="ET90" s="158"/>
      <c r="EU90" s="158"/>
      <c r="EV90" s="158"/>
      <c r="EW90" s="158"/>
      <c r="EX90" s="158"/>
      <c r="EY90" s="158"/>
      <c r="EZ90" s="158"/>
      <c r="FA90" s="158"/>
      <c r="FB90" s="158"/>
      <c r="FC90" s="158"/>
      <c r="FD90" s="158"/>
      <c r="FE90" s="158"/>
      <c r="FF90" s="158"/>
      <c r="FG90" s="158"/>
      <c r="FH90" s="158"/>
      <c r="FI90" s="158"/>
      <c r="FJ90" s="158"/>
      <c r="FK90" s="158"/>
      <c r="FL90" s="158"/>
      <c r="FM90" s="158"/>
      <c r="FN90" s="158"/>
      <c r="FO90" s="158"/>
      <c r="FP90" s="158"/>
      <c r="FQ90" s="158"/>
      <c r="FR90" s="158"/>
      <c r="FS90" s="158"/>
      <c r="FT90" s="158"/>
      <c r="FU90" s="158"/>
      <c r="FV90" s="158"/>
      <c r="FW90" s="158"/>
      <c r="FX90" s="158"/>
      <c r="FY90" s="158"/>
      <c r="FZ90" s="158"/>
      <c r="GA90" s="158"/>
      <c r="GB90" s="158"/>
      <c r="GC90" s="158"/>
      <c r="GD90" s="158"/>
      <c r="GE90" s="158"/>
      <c r="GF90" s="158"/>
      <c r="GG90" s="158"/>
      <c r="GH90" s="158"/>
      <c r="GI90" s="158"/>
      <c r="GJ90" s="158"/>
      <c r="GK90" s="158"/>
      <c r="GL90" s="158"/>
      <c r="GM90" s="158"/>
      <c r="GN90" s="158"/>
      <c r="GO90" s="158"/>
      <c r="GP90" s="158"/>
      <c r="GQ90" s="158"/>
      <c r="GR90" s="158"/>
      <c r="GS90" s="158"/>
      <c r="GT90" s="158"/>
      <c r="GU90" s="158"/>
      <c r="GV90" s="158"/>
      <c r="GW90" s="158"/>
      <c r="GX90" s="158"/>
      <c r="GY90" s="158"/>
      <c r="GZ90" s="158"/>
      <c r="HA90" s="158"/>
      <c r="HB90" s="158"/>
      <c r="HC90" s="158"/>
      <c r="HD90" s="158"/>
      <c r="HE90" s="158"/>
      <c r="HF90" s="158"/>
      <c r="HG90" s="158"/>
      <c r="HH90" s="158"/>
      <c r="HI90" s="158"/>
      <c r="HJ90" s="158"/>
      <c r="HK90" s="158"/>
      <c r="HL90" s="158"/>
    </row>
    <row r="91" spans="1:220">
      <c r="A91" s="49"/>
      <c r="B91" s="105" t="s">
        <v>338</v>
      </c>
      <c r="C91" s="162" t="s">
        <v>633</v>
      </c>
      <c r="D91" s="145">
        <f>Output_Hazard!D66</f>
        <v>0</v>
      </c>
      <c r="E91" s="158"/>
      <c r="F91" s="158"/>
      <c r="G91" s="158"/>
      <c r="H91" s="158"/>
      <c r="I91" s="158"/>
      <c r="J91" s="158"/>
      <c r="K91" s="158"/>
      <c r="L91" s="158"/>
      <c r="M91" s="158"/>
      <c r="N91" s="158"/>
      <c r="O91" s="158"/>
      <c r="P91" s="158"/>
      <c r="Q91" s="158"/>
      <c r="R91" s="158"/>
      <c r="S91" s="158"/>
      <c r="T91" s="158"/>
      <c r="U91" s="158"/>
      <c r="V91" s="158"/>
      <c r="W91" s="158"/>
      <c r="X91" s="158"/>
      <c r="Y91" s="158"/>
      <c r="Z91" s="158"/>
      <c r="AA91" s="158"/>
      <c r="AB91" s="158"/>
      <c r="AC91" s="158"/>
      <c r="AD91" s="158"/>
      <c r="AE91" s="158"/>
      <c r="AF91" s="158"/>
      <c r="AG91" s="158"/>
      <c r="AH91" s="158"/>
      <c r="AI91" s="158"/>
      <c r="AJ91" s="158"/>
      <c r="AK91" s="158"/>
      <c r="AL91" s="158"/>
      <c r="AM91" s="158"/>
      <c r="AN91" s="158"/>
      <c r="AO91" s="158"/>
      <c r="AP91" s="158"/>
      <c r="AQ91" s="158"/>
      <c r="AR91" s="158"/>
      <c r="AS91" s="158"/>
      <c r="AT91" s="158"/>
      <c r="AU91" s="158"/>
      <c r="AV91" s="158"/>
      <c r="AW91" s="158"/>
      <c r="AX91" s="158"/>
      <c r="AY91" s="158"/>
      <c r="AZ91" s="158"/>
      <c r="BA91" s="158"/>
      <c r="BB91" s="158"/>
      <c r="BC91" s="158"/>
      <c r="BD91" s="158"/>
      <c r="BE91" s="158"/>
      <c r="BF91" s="158"/>
      <c r="BG91" s="158"/>
      <c r="BH91" s="158"/>
      <c r="BI91" s="158"/>
      <c r="BJ91" s="158"/>
      <c r="BK91" s="158"/>
      <c r="BL91" s="158"/>
      <c r="BM91" s="158"/>
      <c r="BN91" s="158"/>
      <c r="BO91" s="158"/>
      <c r="BP91" s="158"/>
      <c r="BQ91" s="158"/>
      <c r="BR91" s="158"/>
      <c r="BS91" s="158"/>
      <c r="BT91" s="158"/>
      <c r="BU91" s="158"/>
      <c r="BV91" s="158"/>
      <c r="BW91" s="158"/>
      <c r="BX91" s="158"/>
      <c r="BY91" s="158"/>
      <c r="BZ91" s="158"/>
      <c r="CA91" s="158"/>
      <c r="CB91" s="158"/>
      <c r="CC91" s="158"/>
      <c r="CD91" s="158"/>
      <c r="CE91" s="158"/>
      <c r="CF91" s="158"/>
      <c r="CG91" s="158"/>
      <c r="CH91" s="158"/>
      <c r="CI91" s="158"/>
      <c r="CJ91" s="158"/>
      <c r="CK91" s="158"/>
      <c r="CL91" s="158"/>
      <c r="CM91" s="158"/>
      <c r="CN91" s="158"/>
      <c r="CO91" s="158"/>
      <c r="CP91" s="158"/>
      <c r="CQ91" s="158"/>
      <c r="CR91" s="158"/>
      <c r="CS91" s="158"/>
      <c r="CT91" s="158"/>
      <c r="CU91" s="158"/>
      <c r="CV91" s="158"/>
      <c r="CW91" s="158"/>
      <c r="CX91" s="158"/>
      <c r="CY91" s="158"/>
      <c r="CZ91" s="158"/>
      <c r="DA91" s="158"/>
      <c r="DB91" s="158"/>
      <c r="DC91" s="158"/>
      <c r="DD91" s="158"/>
      <c r="DE91" s="158"/>
      <c r="DF91" s="158"/>
      <c r="DG91" s="158"/>
      <c r="DH91" s="158"/>
      <c r="DI91" s="158"/>
      <c r="DJ91" s="158"/>
      <c r="DK91" s="158"/>
      <c r="DL91" s="158"/>
      <c r="DM91" s="158"/>
      <c r="DN91" s="158"/>
      <c r="DO91" s="158"/>
      <c r="DP91" s="158"/>
      <c r="DQ91" s="158"/>
      <c r="DR91" s="158"/>
      <c r="DS91" s="158"/>
      <c r="DT91" s="158"/>
      <c r="DU91" s="158"/>
      <c r="DV91" s="158"/>
      <c r="DW91" s="158"/>
      <c r="DX91" s="158"/>
      <c r="DY91" s="158"/>
      <c r="DZ91" s="158"/>
      <c r="EA91" s="158"/>
      <c r="EB91" s="158"/>
      <c r="EC91" s="158"/>
      <c r="ED91" s="158"/>
      <c r="EE91" s="158"/>
      <c r="EF91" s="158"/>
      <c r="EG91" s="158"/>
      <c r="EH91" s="158"/>
      <c r="EI91" s="158"/>
      <c r="EJ91" s="158"/>
      <c r="EK91" s="158"/>
      <c r="EL91" s="158"/>
      <c r="EM91" s="158"/>
      <c r="EN91" s="158"/>
      <c r="EO91" s="158"/>
      <c r="EP91" s="158"/>
      <c r="EQ91" s="158"/>
      <c r="ER91" s="158"/>
      <c r="ES91" s="158"/>
      <c r="ET91" s="158"/>
      <c r="EU91" s="158"/>
      <c r="EV91" s="158"/>
      <c r="EW91" s="158"/>
      <c r="EX91" s="158"/>
      <c r="EY91" s="158"/>
      <c r="EZ91" s="158"/>
      <c r="FA91" s="158"/>
      <c r="FB91" s="158"/>
      <c r="FC91" s="158"/>
      <c r="FD91" s="158"/>
      <c r="FE91" s="158"/>
      <c r="FF91" s="158"/>
      <c r="FG91" s="158"/>
      <c r="FH91" s="158"/>
      <c r="FI91" s="158"/>
      <c r="FJ91" s="158"/>
      <c r="FK91" s="158"/>
      <c r="FL91" s="158"/>
      <c r="FM91" s="158"/>
      <c r="FN91" s="158"/>
      <c r="FO91" s="158"/>
      <c r="FP91" s="158"/>
      <c r="FQ91" s="158"/>
      <c r="FR91" s="158"/>
      <c r="FS91" s="158"/>
      <c r="FT91" s="158"/>
      <c r="FU91" s="158"/>
      <c r="FV91" s="158"/>
      <c r="FW91" s="158"/>
      <c r="FX91" s="158"/>
      <c r="FY91" s="158"/>
      <c r="FZ91" s="158"/>
      <c r="GA91" s="158"/>
      <c r="GB91" s="158"/>
      <c r="GC91" s="158"/>
      <c r="GD91" s="158"/>
      <c r="GE91" s="158"/>
      <c r="GF91" s="158"/>
      <c r="GG91" s="158"/>
      <c r="GH91" s="158"/>
      <c r="GI91" s="158"/>
      <c r="GJ91" s="158"/>
      <c r="GK91" s="158"/>
      <c r="GL91" s="158"/>
      <c r="GM91" s="158"/>
      <c r="GN91" s="158"/>
      <c r="GO91" s="158"/>
      <c r="GP91" s="158"/>
      <c r="GQ91" s="158"/>
      <c r="GR91" s="158"/>
      <c r="GS91" s="158"/>
      <c r="GT91" s="158"/>
      <c r="GU91" s="158"/>
      <c r="GV91" s="158"/>
      <c r="GW91" s="158"/>
      <c r="GX91" s="158"/>
      <c r="GY91" s="158"/>
      <c r="GZ91" s="158"/>
      <c r="HA91" s="158"/>
      <c r="HB91" s="158"/>
      <c r="HC91" s="158"/>
      <c r="HD91" s="158"/>
      <c r="HE91" s="158"/>
      <c r="HF91" s="158"/>
      <c r="HG91" s="158"/>
      <c r="HH91" s="158"/>
      <c r="HI91" s="158"/>
      <c r="HJ91" s="158"/>
      <c r="HK91" s="158"/>
      <c r="HL91" s="158"/>
    </row>
    <row r="92" spans="1:220">
      <c r="A92" s="49"/>
      <c r="B92" s="105" t="s">
        <v>339</v>
      </c>
      <c r="C92" s="162" t="s">
        <v>634</v>
      </c>
      <c r="D92" s="145">
        <f>Output_Hazard!D67</f>
        <v>0</v>
      </c>
      <c r="E92" s="158"/>
      <c r="F92" s="158"/>
      <c r="G92" s="158"/>
      <c r="H92" s="158"/>
      <c r="I92" s="158"/>
      <c r="J92" s="158"/>
      <c r="K92" s="158"/>
      <c r="L92" s="158"/>
      <c r="M92" s="158"/>
      <c r="N92" s="158"/>
      <c r="O92" s="158"/>
      <c r="P92" s="158"/>
      <c r="Q92" s="158"/>
      <c r="R92" s="158"/>
      <c r="S92" s="158"/>
      <c r="T92" s="158"/>
      <c r="U92" s="158"/>
      <c r="V92" s="158"/>
      <c r="W92" s="158"/>
      <c r="X92" s="158"/>
      <c r="Y92" s="158"/>
      <c r="Z92" s="158"/>
      <c r="AA92" s="158"/>
      <c r="AB92" s="158"/>
      <c r="AC92" s="158"/>
      <c r="AD92" s="158"/>
      <c r="AE92" s="158"/>
      <c r="AF92" s="158"/>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8"/>
      <c r="BJ92" s="158"/>
      <c r="BK92" s="158"/>
      <c r="BL92" s="158"/>
      <c r="BM92" s="158"/>
      <c r="BN92" s="158"/>
      <c r="BO92" s="158"/>
      <c r="BP92" s="158"/>
      <c r="BQ92" s="158"/>
      <c r="BR92" s="158"/>
      <c r="BS92" s="158"/>
      <c r="BT92" s="158"/>
      <c r="BU92" s="158"/>
      <c r="BV92" s="158"/>
      <c r="BW92" s="158"/>
      <c r="BX92" s="158"/>
      <c r="BY92" s="158"/>
      <c r="BZ92" s="158"/>
      <c r="CA92" s="158"/>
      <c r="CB92" s="158"/>
      <c r="CC92" s="158"/>
      <c r="CD92" s="158"/>
      <c r="CE92" s="158"/>
      <c r="CF92" s="158"/>
      <c r="CG92" s="158"/>
      <c r="CH92" s="158"/>
      <c r="CI92" s="158"/>
      <c r="CJ92" s="158"/>
      <c r="CK92" s="158"/>
      <c r="CL92" s="158"/>
      <c r="CM92" s="158"/>
      <c r="CN92" s="158"/>
      <c r="CO92" s="158"/>
      <c r="CP92" s="158"/>
      <c r="CQ92" s="158"/>
      <c r="CR92" s="158"/>
      <c r="CS92" s="158"/>
      <c r="CT92" s="158"/>
      <c r="CU92" s="158"/>
      <c r="CV92" s="158"/>
      <c r="CW92" s="158"/>
      <c r="CX92" s="158"/>
      <c r="CY92" s="158"/>
      <c r="CZ92" s="158"/>
      <c r="DA92" s="158"/>
      <c r="DB92" s="158"/>
      <c r="DC92" s="158"/>
      <c r="DD92" s="158"/>
      <c r="DE92" s="158"/>
      <c r="DF92" s="158"/>
      <c r="DG92" s="158"/>
      <c r="DH92" s="158"/>
      <c r="DI92" s="158"/>
      <c r="DJ92" s="158"/>
      <c r="DK92" s="158"/>
      <c r="DL92" s="158"/>
      <c r="DM92" s="158"/>
      <c r="DN92" s="158"/>
      <c r="DO92" s="158"/>
      <c r="DP92" s="158"/>
      <c r="DQ92" s="158"/>
      <c r="DR92" s="158"/>
      <c r="DS92" s="158"/>
      <c r="DT92" s="158"/>
      <c r="DU92" s="158"/>
      <c r="DV92" s="158"/>
      <c r="DW92" s="158"/>
      <c r="DX92" s="158"/>
      <c r="DY92" s="158"/>
      <c r="DZ92" s="158"/>
      <c r="EA92" s="158"/>
      <c r="EB92" s="158"/>
      <c r="EC92" s="158"/>
      <c r="ED92" s="158"/>
      <c r="EE92" s="158"/>
      <c r="EF92" s="158"/>
      <c r="EG92" s="158"/>
      <c r="EH92" s="158"/>
      <c r="EI92" s="158"/>
      <c r="EJ92" s="158"/>
      <c r="EK92" s="158"/>
      <c r="EL92" s="158"/>
      <c r="EM92" s="158"/>
      <c r="EN92" s="158"/>
      <c r="EO92" s="158"/>
      <c r="EP92" s="158"/>
      <c r="EQ92" s="158"/>
      <c r="ER92" s="158"/>
      <c r="ES92" s="158"/>
      <c r="ET92" s="158"/>
      <c r="EU92" s="158"/>
      <c r="EV92" s="158"/>
      <c r="EW92" s="158"/>
      <c r="EX92" s="158"/>
      <c r="EY92" s="158"/>
      <c r="EZ92" s="158"/>
      <c r="FA92" s="158"/>
      <c r="FB92" s="158"/>
      <c r="FC92" s="158"/>
      <c r="FD92" s="158"/>
      <c r="FE92" s="158"/>
      <c r="FF92" s="158"/>
      <c r="FG92" s="158"/>
      <c r="FH92" s="158"/>
      <c r="FI92" s="158"/>
      <c r="FJ92" s="158"/>
      <c r="FK92" s="158"/>
      <c r="FL92" s="158"/>
      <c r="FM92" s="158"/>
      <c r="FN92" s="158"/>
      <c r="FO92" s="158"/>
      <c r="FP92" s="158"/>
      <c r="FQ92" s="158"/>
      <c r="FR92" s="158"/>
      <c r="FS92" s="158"/>
      <c r="FT92" s="158"/>
      <c r="FU92" s="158"/>
      <c r="FV92" s="158"/>
      <c r="FW92" s="158"/>
      <c r="FX92" s="158"/>
      <c r="FY92" s="158"/>
      <c r="FZ92" s="158"/>
      <c r="GA92" s="158"/>
      <c r="GB92" s="158"/>
      <c r="GC92" s="158"/>
      <c r="GD92" s="158"/>
      <c r="GE92" s="158"/>
      <c r="GF92" s="158"/>
      <c r="GG92" s="158"/>
      <c r="GH92" s="158"/>
      <c r="GI92" s="158"/>
      <c r="GJ92" s="158"/>
      <c r="GK92" s="158"/>
      <c r="GL92" s="158"/>
      <c r="GM92" s="158"/>
      <c r="GN92" s="158"/>
      <c r="GO92" s="158"/>
      <c r="GP92" s="158"/>
      <c r="GQ92" s="158"/>
      <c r="GR92" s="158"/>
      <c r="GS92" s="158"/>
      <c r="GT92" s="158"/>
      <c r="GU92" s="158"/>
      <c r="GV92" s="158"/>
      <c r="GW92" s="158"/>
      <c r="GX92" s="158"/>
      <c r="GY92" s="158"/>
      <c r="GZ92" s="158"/>
      <c r="HA92" s="158"/>
      <c r="HB92" s="158"/>
      <c r="HC92" s="158"/>
      <c r="HD92" s="158"/>
      <c r="HE92" s="158"/>
      <c r="HF92" s="158"/>
      <c r="HG92" s="158"/>
      <c r="HH92" s="158"/>
      <c r="HI92" s="158"/>
      <c r="HJ92" s="158"/>
      <c r="HK92" s="158"/>
      <c r="HL92" s="158"/>
    </row>
    <row r="93" spans="1:220">
      <c r="A93" s="49"/>
      <c r="B93" s="105" t="s">
        <v>340</v>
      </c>
      <c r="C93" s="162" t="s">
        <v>635</v>
      </c>
      <c r="D93" s="145">
        <f>Output_Hazard!D68</f>
        <v>0</v>
      </c>
      <c r="E93" s="158"/>
      <c r="F93" s="158"/>
      <c r="G93" s="158"/>
      <c r="H93" s="158"/>
      <c r="I93" s="158"/>
      <c r="J93" s="158"/>
      <c r="K93" s="158"/>
      <c r="L93" s="158"/>
      <c r="M93" s="158"/>
      <c r="N93" s="158"/>
      <c r="O93" s="158"/>
      <c r="P93" s="158"/>
      <c r="Q93" s="158"/>
      <c r="R93" s="158"/>
      <c r="S93" s="158"/>
      <c r="T93" s="158"/>
      <c r="U93" s="158"/>
      <c r="V93" s="158"/>
      <c r="W93" s="158"/>
      <c r="X93" s="158"/>
      <c r="Y93" s="158"/>
      <c r="Z93" s="158"/>
      <c r="AA93" s="158"/>
      <c r="AB93" s="158"/>
      <c r="AC93" s="158"/>
      <c r="AD93" s="158"/>
      <c r="AE93" s="158"/>
      <c r="AF93" s="158"/>
      <c r="AG93" s="158"/>
      <c r="AH93" s="158"/>
      <c r="AI93" s="158"/>
      <c r="AJ93" s="158"/>
      <c r="AK93" s="158"/>
      <c r="AL93" s="158"/>
      <c r="AM93" s="158"/>
      <c r="AN93" s="158"/>
      <c r="AO93" s="158"/>
      <c r="AP93" s="158"/>
      <c r="AQ93" s="158"/>
      <c r="AR93" s="158"/>
      <c r="AS93" s="158"/>
      <c r="AT93" s="158"/>
      <c r="AU93" s="158"/>
      <c r="AV93" s="158"/>
      <c r="AW93" s="158"/>
      <c r="AX93" s="158"/>
      <c r="AY93" s="158"/>
      <c r="AZ93" s="158"/>
      <c r="BA93" s="158"/>
      <c r="BB93" s="158"/>
      <c r="BC93" s="158"/>
      <c r="BD93" s="158"/>
      <c r="BE93" s="158"/>
      <c r="BF93" s="158"/>
      <c r="BG93" s="158"/>
      <c r="BH93" s="158"/>
      <c r="BI93" s="158"/>
      <c r="BJ93" s="158"/>
      <c r="BK93" s="158"/>
      <c r="BL93" s="158"/>
      <c r="BM93" s="158"/>
      <c r="BN93" s="158"/>
      <c r="BO93" s="158"/>
      <c r="BP93" s="158"/>
      <c r="BQ93" s="158"/>
      <c r="BR93" s="158"/>
      <c r="BS93" s="158"/>
      <c r="BT93" s="158"/>
      <c r="BU93" s="158"/>
      <c r="BV93" s="158"/>
      <c r="BW93" s="158"/>
      <c r="BX93" s="158"/>
      <c r="BY93" s="158"/>
      <c r="BZ93" s="158"/>
      <c r="CA93" s="158"/>
      <c r="CB93" s="158"/>
      <c r="CC93" s="158"/>
      <c r="CD93" s="158"/>
      <c r="CE93" s="158"/>
      <c r="CF93" s="158"/>
      <c r="CG93" s="158"/>
      <c r="CH93" s="158"/>
      <c r="CI93" s="158"/>
      <c r="CJ93" s="158"/>
      <c r="CK93" s="158"/>
      <c r="CL93" s="158"/>
      <c r="CM93" s="158"/>
      <c r="CN93" s="158"/>
      <c r="CO93" s="158"/>
      <c r="CP93" s="158"/>
      <c r="CQ93" s="158"/>
      <c r="CR93" s="158"/>
      <c r="CS93" s="158"/>
      <c r="CT93" s="158"/>
      <c r="CU93" s="158"/>
      <c r="CV93" s="158"/>
      <c r="CW93" s="158"/>
      <c r="CX93" s="158"/>
      <c r="CY93" s="158"/>
      <c r="CZ93" s="158"/>
      <c r="DA93" s="158"/>
      <c r="DB93" s="158"/>
      <c r="DC93" s="158"/>
      <c r="DD93" s="158"/>
      <c r="DE93" s="158"/>
      <c r="DF93" s="158"/>
      <c r="DG93" s="158"/>
      <c r="DH93" s="158"/>
      <c r="DI93" s="158"/>
      <c r="DJ93" s="158"/>
      <c r="DK93" s="158"/>
      <c r="DL93" s="158"/>
      <c r="DM93" s="158"/>
      <c r="DN93" s="158"/>
      <c r="DO93" s="158"/>
      <c r="DP93" s="158"/>
      <c r="DQ93" s="158"/>
      <c r="DR93" s="158"/>
      <c r="DS93" s="158"/>
      <c r="DT93" s="158"/>
      <c r="DU93" s="158"/>
      <c r="DV93" s="158"/>
      <c r="DW93" s="158"/>
      <c r="DX93" s="158"/>
      <c r="DY93" s="158"/>
      <c r="DZ93" s="158"/>
      <c r="EA93" s="158"/>
      <c r="EB93" s="158"/>
      <c r="EC93" s="158"/>
      <c r="ED93" s="158"/>
      <c r="EE93" s="158"/>
      <c r="EF93" s="158"/>
      <c r="EG93" s="158"/>
      <c r="EH93" s="158"/>
      <c r="EI93" s="158"/>
      <c r="EJ93" s="158"/>
      <c r="EK93" s="158"/>
      <c r="EL93" s="158"/>
      <c r="EM93" s="158"/>
      <c r="EN93" s="158"/>
      <c r="EO93" s="158"/>
      <c r="EP93" s="158"/>
      <c r="EQ93" s="158"/>
      <c r="ER93" s="158"/>
      <c r="ES93" s="158"/>
      <c r="ET93" s="158"/>
      <c r="EU93" s="158"/>
      <c r="EV93" s="158"/>
      <c r="EW93" s="158"/>
      <c r="EX93" s="158"/>
      <c r="EY93" s="158"/>
      <c r="EZ93" s="158"/>
      <c r="FA93" s="158"/>
      <c r="FB93" s="158"/>
      <c r="FC93" s="158"/>
      <c r="FD93" s="158"/>
      <c r="FE93" s="158"/>
      <c r="FF93" s="158"/>
      <c r="FG93" s="158"/>
      <c r="FH93" s="158"/>
      <c r="FI93" s="158"/>
      <c r="FJ93" s="158"/>
      <c r="FK93" s="158"/>
      <c r="FL93" s="158"/>
      <c r="FM93" s="158"/>
      <c r="FN93" s="158"/>
      <c r="FO93" s="158"/>
      <c r="FP93" s="158"/>
      <c r="FQ93" s="158"/>
      <c r="FR93" s="158"/>
      <c r="FS93" s="158"/>
      <c r="FT93" s="158"/>
      <c r="FU93" s="158"/>
      <c r="FV93" s="158"/>
      <c r="FW93" s="158"/>
      <c r="FX93" s="158"/>
      <c r="FY93" s="158"/>
      <c r="FZ93" s="158"/>
      <c r="GA93" s="158"/>
      <c r="GB93" s="158"/>
      <c r="GC93" s="158"/>
      <c r="GD93" s="158"/>
      <c r="GE93" s="158"/>
      <c r="GF93" s="158"/>
      <c r="GG93" s="158"/>
      <c r="GH93" s="158"/>
      <c r="GI93" s="158"/>
      <c r="GJ93" s="158"/>
      <c r="GK93" s="158"/>
      <c r="GL93" s="158"/>
      <c r="GM93" s="158"/>
      <c r="GN93" s="158"/>
      <c r="GO93" s="158"/>
      <c r="GP93" s="158"/>
      <c r="GQ93" s="158"/>
      <c r="GR93" s="158"/>
      <c r="GS93" s="158"/>
      <c r="GT93" s="158"/>
      <c r="GU93" s="158"/>
      <c r="GV93" s="158"/>
      <c r="GW93" s="158"/>
      <c r="GX93" s="158"/>
      <c r="GY93" s="158"/>
      <c r="GZ93" s="158"/>
      <c r="HA93" s="158"/>
      <c r="HB93" s="158"/>
      <c r="HC93" s="158"/>
      <c r="HD93" s="158"/>
      <c r="HE93" s="158"/>
      <c r="HF93" s="158"/>
      <c r="HG93" s="158"/>
      <c r="HH93" s="158"/>
      <c r="HI93" s="158"/>
      <c r="HJ93" s="158"/>
      <c r="HK93" s="158"/>
      <c r="HL93" s="158"/>
    </row>
    <row r="94" spans="1:220">
      <c r="A94" s="49"/>
      <c r="B94" s="105" t="s">
        <v>341</v>
      </c>
      <c r="C94" s="162" t="s">
        <v>636</v>
      </c>
      <c r="D94" s="145">
        <f>Output_Hazard!D69</f>
        <v>0</v>
      </c>
      <c r="E94" s="158"/>
      <c r="F94" s="158"/>
      <c r="G94" s="158"/>
      <c r="H94" s="158"/>
      <c r="I94" s="158"/>
      <c r="J94" s="158"/>
      <c r="K94" s="158"/>
      <c r="L94" s="158"/>
      <c r="M94" s="158"/>
      <c r="N94" s="158"/>
      <c r="O94" s="158"/>
      <c r="P94" s="158"/>
      <c r="Q94" s="158"/>
      <c r="R94" s="158"/>
      <c r="S94" s="158"/>
      <c r="T94" s="158"/>
      <c r="U94" s="158"/>
      <c r="V94" s="158"/>
      <c r="W94" s="158"/>
      <c r="X94" s="158"/>
      <c r="Y94" s="158"/>
      <c r="Z94" s="158"/>
      <c r="AA94" s="158"/>
      <c r="AB94" s="158"/>
      <c r="AC94" s="158"/>
      <c r="AD94" s="158"/>
      <c r="AE94" s="158"/>
      <c r="AF94" s="158"/>
      <c r="AG94" s="158"/>
      <c r="AH94" s="158"/>
      <c r="AI94" s="158"/>
      <c r="AJ94" s="158"/>
      <c r="AK94" s="158"/>
      <c r="AL94" s="158"/>
      <c r="AM94" s="158"/>
      <c r="AN94" s="158"/>
      <c r="AO94" s="158"/>
      <c r="AP94" s="158"/>
      <c r="AQ94" s="158"/>
      <c r="AR94" s="158"/>
      <c r="AS94" s="158"/>
      <c r="AT94" s="158"/>
      <c r="AU94" s="158"/>
      <c r="AV94" s="158"/>
      <c r="AW94" s="158"/>
      <c r="AX94" s="158"/>
      <c r="AY94" s="158"/>
      <c r="AZ94" s="158"/>
      <c r="BA94" s="158"/>
      <c r="BB94" s="158"/>
      <c r="BC94" s="158"/>
      <c r="BD94" s="158"/>
      <c r="BE94" s="158"/>
      <c r="BF94" s="158"/>
      <c r="BG94" s="158"/>
      <c r="BH94" s="158"/>
      <c r="BI94" s="158"/>
      <c r="BJ94" s="158"/>
      <c r="BK94" s="158"/>
      <c r="BL94" s="158"/>
      <c r="BM94" s="158"/>
      <c r="BN94" s="158"/>
      <c r="BO94" s="158"/>
      <c r="BP94" s="158"/>
      <c r="BQ94" s="158"/>
      <c r="BR94" s="158"/>
      <c r="BS94" s="158"/>
      <c r="BT94" s="158"/>
      <c r="BU94" s="158"/>
      <c r="BV94" s="158"/>
      <c r="BW94" s="158"/>
      <c r="BX94" s="158"/>
      <c r="BY94" s="158"/>
      <c r="BZ94" s="158"/>
      <c r="CA94" s="158"/>
      <c r="CB94" s="158"/>
      <c r="CC94" s="158"/>
      <c r="CD94" s="158"/>
      <c r="CE94" s="158"/>
      <c r="CF94" s="158"/>
      <c r="CG94" s="158"/>
      <c r="CH94" s="158"/>
      <c r="CI94" s="158"/>
      <c r="CJ94" s="158"/>
      <c r="CK94" s="158"/>
      <c r="CL94" s="158"/>
      <c r="CM94" s="158"/>
      <c r="CN94" s="158"/>
      <c r="CO94" s="158"/>
      <c r="CP94" s="158"/>
      <c r="CQ94" s="158"/>
      <c r="CR94" s="158"/>
      <c r="CS94" s="158"/>
      <c r="CT94" s="158"/>
      <c r="CU94" s="158"/>
      <c r="CV94" s="158"/>
      <c r="CW94" s="158"/>
      <c r="CX94" s="158"/>
      <c r="CY94" s="158"/>
      <c r="CZ94" s="158"/>
      <c r="DA94" s="158"/>
      <c r="DB94" s="158"/>
      <c r="DC94" s="158"/>
      <c r="DD94" s="158"/>
      <c r="DE94" s="158"/>
      <c r="DF94" s="158"/>
      <c r="DG94" s="158"/>
      <c r="DH94" s="158"/>
      <c r="DI94" s="158"/>
      <c r="DJ94" s="158"/>
      <c r="DK94" s="158"/>
      <c r="DL94" s="158"/>
      <c r="DM94" s="158"/>
      <c r="DN94" s="158"/>
      <c r="DO94" s="158"/>
      <c r="DP94" s="158"/>
      <c r="DQ94" s="158"/>
      <c r="DR94" s="158"/>
      <c r="DS94" s="158"/>
      <c r="DT94" s="158"/>
      <c r="DU94" s="158"/>
      <c r="DV94" s="158"/>
      <c r="DW94" s="158"/>
      <c r="DX94" s="158"/>
      <c r="DY94" s="158"/>
      <c r="DZ94" s="158"/>
      <c r="EA94" s="158"/>
      <c r="EB94" s="158"/>
      <c r="EC94" s="158"/>
      <c r="ED94" s="158"/>
      <c r="EE94" s="158"/>
      <c r="EF94" s="158"/>
      <c r="EG94" s="158"/>
      <c r="EH94" s="158"/>
      <c r="EI94" s="158"/>
      <c r="EJ94" s="158"/>
      <c r="EK94" s="158"/>
      <c r="EL94" s="158"/>
      <c r="EM94" s="158"/>
      <c r="EN94" s="158"/>
      <c r="EO94" s="158"/>
      <c r="EP94" s="158"/>
      <c r="EQ94" s="158"/>
      <c r="ER94" s="158"/>
      <c r="ES94" s="158"/>
      <c r="ET94" s="158"/>
      <c r="EU94" s="158"/>
      <c r="EV94" s="158"/>
      <c r="EW94" s="158"/>
      <c r="EX94" s="158"/>
      <c r="EY94" s="158"/>
      <c r="EZ94" s="158"/>
      <c r="FA94" s="158"/>
      <c r="FB94" s="158"/>
      <c r="FC94" s="158"/>
      <c r="FD94" s="158"/>
      <c r="FE94" s="158"/>
      <c r="FF94" s="158"/>
      <c r="FG94" s="158"/>
      <c r="FH94" s="158"/>
      <c r="FI94" s="158"/>
      <c r="FJ94" s="158"/>
      <c r="FK94" s="158"/>
      <c r="FL94" s="158"/>
      <c r="FM94" s="158"/>
      <c r="FN94" s="158"/>
      <c r="FO94" s="158"/>
      <c r="FP94" s="158"/>
      <c r="FQ94" s="158"/>
      <c r="FR94" s="158"/>
      <c r="FS94" s="158"/>
      <c r="FT94" s="158"/>
      <c r="FU94" s="158"/>
      <c r="FV94" s="158"/>
      <c r="FW94" s="158"/>
      <c r="FX94" s="158"/>
      <c r="FY94" s="158"/>
      <c r="FZ94" s="158"/>
      <c r="GA94" s="158"/>
      <c r="GB94" s="158"/>
      <c r="GC94" s="158"/>
      <c r="GD94" s="158"/>
      <c r="GE94" s="158"/>
      <c r="GF94" s="158"/>
      <c r="GG94" s="158"/>
      <c r="GH94" s="158"/>
      <c r="GI94" s="158"/>
      <c r="GJ94" s="158"/>
      <c r="GK94" s="158"/>
      <c r="GL94" s="158"/>
      <c r="GM94" s="158"/>
      <c r="GN94" s="158"/>
      <c r="GO94" s="158"/>
      <c r="GP94" s="158"/>
      <c r="GQ94" s="158"/>
      <c r="GR94" s="158"/>
      <c r="GS94" s="158"/>
      <c r="GT94" s="158"/>
      <c r="GU94" s="158"/>
      <c r="GV94" s="158"/>
      <c r="GW94" s="158"/>
      <c r="GX94" s="158"/>
      <c r="GY94" s="158"/>
      <c r="GZ94" s="158"/>
      <c r="HA94" s="158"/>
      <c r="HB94" s="158"/>
      <c r="HC94" s="158"/>
      <c r="HD94" s="158"/>
      <c r="HE94" s="158"/>
      <c r="HF94" s="158"/>
      <c r="HG94" s="158"/>
      <c r="HH94" s="158"/>
      <c r="HI94" s="158"/>
      <c r="HJ94" s="158"/>
      <c r="HK94" s="158"/>
      <c r="HL94" s="158"/>
    </row>
    <row r="95" spans="1:220">
      <c r="A95" s="49"/>
      <c r="B95" s="105" t="s">
        <v>342</v>
      </c>
      <c r="C95" s="162" t="s">
        <v>714</v>
      </c>
      <c r="D95" s="145">
        <f>Output_Flux!L4</f>
        <v>0</v>
      </c>
      <c r="E95" s="158"/>
      <c r="F95" s="158"/>
      <c r="G95" s="158"/>
      <c r="H95" s="158"/>
      <c r="I95" s="158"/>
      <c r="J95" s="158"/>
      <c r="K95" s="158"/>
      <c r="L95" s="158"/>
      <c r="M95" s="158"/>
      <c r="N95" s="158"/>
      <c r="O95" s="158"/>
      <c r="P95" s="158"/>
      <c r="Q95" s="158"/>
      <c r="R95" s="158"/>
      <c r="S95" s="158"/>
      <c r="T95" s="158"/>
      <c r="U95" s="158"/>
      <c r="V95" s="158"/>
      <c r="W95" s="158"/>
      <c r="X95" s="158"/>
      <c r="Y95" s="158"/>
      <c r="Z95" s="158"/>
      <c r="AA95" s="158"/>
      <c r="AB95" s="158"/>
      <c r="AC95" s="158"/>
      <c r="AD95" s="158"/>
      <c r="AE95" s="158"/>
      <c r="AF95" s="158"/>
      <c r="AG95" s="158"/>
      <c r="AH95" s="158"/>
      <c r="AI95" s="158"/>
      <c r="AJ95" s="158"/>
      <c r="AK95" s="158"/>
      <c r="AL95" s="158"/>
      <c r="AM95" s="158"/>
      <c r="AN95" s="158"/>
      <c r="AO95" s="158"/>
      <c r="AP95" s="158"/>
      <c r="AQ95" s="158"/>
      <c r="AR95" s="158"/>
      <c r="AS95" s="158"/>
      <c r="AT95" s="158"/>
      <c r="AU95" s="158"/>
      <c r="AV95" s="158"/>
      <c r="AW95" s="158"/>
      <c r="AX95" s="158"/>
      <c r="AY95" s="158"/>
      <c r="AZ95" s="158"/>
      <c r="BA95" s="158"/>
      <c r="BB95" s="158"/>
      <c r="BC95" s="158"/>
      <c r="BD95" s="158"/>
      <c r="BE95" s="158"/>
      <c r="BF95" s="158"/>
      <c r="BG95" s="158"/>
      <c r="BH95" s="158"/>
      <c r="BI95" s="158"/>
      <c r="BJ95" s="158"/>
      <c r="BK95" s="158"/>
      <c r="BL95" s="158"/>
      <c r="BM95" s="158"/>
      <c r="BN95" s="158"/>
      <c r="BO95" s="158"/>
      <c r="BP95" s="158"/>
      <c r="BQ95" s="158"/>
      <c r="BR95" s="158"/>
      <c r="BS95" s="158"/>
      <c r="BT95" s="158"/>
      <c r="BU95" s="158"/>
      <c r="BV95" s="158"/>
      <c r="BW95" s="158"/>
      <c r="BX95" s="158"/>
      <c r="BY95" s="158"/>
      <c r="BZ95" s="158"/>
      <c r="CA95" s="158"/>
      <c r="CB95" s="158"/>
      <c r="CC95" s="158"/>
      <c r="CD95" s="158"/>
      <c r="CE95" s="158"/>
      <c r="CF95" s="158"/>
      <c r="CG95" s="158"/>
      <c r="CH95" s="158"/>
      <c r="CI95" s="158"/>
      <c r="CJ95" s="158"/>
      <c r="CK95" s="158"/>
      <c r="CL95" s="158"/>
      <c r="CM95" s="158"/>
      <c r="CN95" s="158"/>
      <c r="CO95" s="158"/>
      <c r="CP95" s="158"/>
      <c r="CQ95" s="158"/>
      <c r="CR95" s="158"/>
      <c r="CS95" s="158"/>
      <c r="CT95" s="158"/>
      <c r="CU95" s="158"/>
      <c r="CV95" s="158"/>
      <c r="CW95" s="158"/>
      <c r="CX95" s="158"/>
      <c r="CY95" s="158"/>
      <c r="CZ95" s="158"/>
      <c r="DA95" s="158"/>
      <c r="DB95" s="158"/>
      <c r="DC95" s="158"/>
      <c r="DD95" s="158"/>
      <c r="DE95" s="158"/>
      <c r="DF95" s="158"/>
      <c r="DG95" s="158"/>
      <c r="DH95" s="158"/>
      <c r="DI95" s="158"/>
      <c r="DJ95" s="158"/>
      <c r="DK95" s="158"/>
      <c r="DL95" s="158"/>
      <c r="DM95" s="158"/>
      <c r="DN95" s="158"/>
      <c r="DO95" s="158"/>
      <c r="DP95" s="158"/>
      <c r="DQ95" s="158"/>
      <c r="DR95" s="158"/>
      <c r="DS95" s="158"/>
      <c r="DT95" s="158"/>
      <c r="DU95" s="158"/>
      <c r="DV95" s="158"/>
      <c r="DW95" s="158"/>
      <c r="DX95" s="158"/>
      <c r="DY95" s="158"/>
      <c r="DZ95" s="158"/>
      <c r="EA95" s="158"/>
      <c r="EB95" s="158"/>
      <c r="EC95" s="158"/>
      <c r="ED95" s="158"/>
      <c r="EE95" s="158"/>
      <c r="EF95" s="158"/>
      <c r="EG95" s="158"/>
      <c r="EH95" s="158"/>
      <c r="EI95" s="158"/>
      <c r="EJ95" s="158"/>
      <c r="EK95" s="158"/>
      <c r="EL95" s="158"/>
      <c r="EM95" s="158"/>
      <c r="EN95" s="158"/>
      <c r="EO95" s="158"/>
      <c r="EP95" s="158"/>
      <c r="EQ95" s="158"/>
      <c r="ER95" s="158"/>
      <c r="ES95" s="158"/>
      <c r="ET95" s="158"/>
      <c r="EU95" s="158"/>
      <c r="EV95" s="158"/>
      <c r="EW95" s="158"/>
      <c r="EX95" s="158"/>
      <c r="EY95" s="158"/>
      <c r="EZ95" s="158"/>
      <c r="FA95" s="158"/>
      <c r="FB95" s="158"/>
      <c r="FC95" s="158"/>
      <c r="FD95" s="158"/>
      <c r="FE95" s="158"/>
      <c r="FF95" s="158"/>
      <c r="FG95" s="158"/>
      <c r="FH95" s="158"/>
      <c r="FI95" s="158"/>
      <c r="FJ95" s="158"/>
      <c r="FK95" s="158"/>
      <c r="FL95" s="158"/>
      <c r="FM95" s="158"/>
      <c r="FN95" s="158"/>
      <c r="FO95" s="158"/>
      <c r="FP95" s="158"/>
      <c r="FQ95" s="158"/>
      <c r="FR95" s="158"/>
      <c r="FS95" s="158"/>
      <c r="FT95" s="158"/>
      <c r="FU95" s="158"/>
      <c r="FV95" s="158"/>
      <c r="FW95" s="158"/>
      <c r="FX95" s="158"/>
      <c r="FY95" s="158"/>
      <c r="FZ95" s="158"/>
      <c r="GA95" s="158"/>
      <c r="GB95" s="158"/>
      <c r="GC95" s="158"/>
      <c r="GD95" s="158"/>
      <c r="GE95" s="158"/>
      <c r="GF95" s="158"/>
      <c r="GG95" s="158"/>
      <c r="GH95" s="158"/>
      <c r="GI95" s="158"/>
      <c r="GJ95" s="158"/>
      <c r="GK95" s="158"/>
      <c r="GL95" s="158"/>
      <c r="GM95" s="158"/>
      <c r="GN95" s="158"/>
      <c r="GO95" s="158"/>
      <c r="GP95" s="158"/>
      <c r="GQ95" s="158"/>
      <c r="GR95" s="158"/>
      <c r="GS95" s="158"/>
      <c r="GT95" s="158"/>
      <c r="GU95" s="158"/>
      <c r="GV95" s="158"/>
      <c r="GW95" s="158"/>
      <c r="GX95" s="158"/>
      <c r="GY95" s="158"/>
      <c r="GZ95" s="158"/>
      <c r="HA95" s="158"/>
      <c r="HB95" s="158"/>
      <c r="HC95" s="158"/>
      <c r="HD95" s="158"/>
      <c r="HE95" s="158"/>
      <c r="HF95" s="158"/>
      <c r="HG95" s="158"/>
      <c r="HH95" s="158"/>
      <c r="HI95" s="158"/>
      <c r="HJ95" s="158"/>
      <c r="HK95" s="158"/>
      <c r="HL95" s="158"/>
    </row>
    <row r="96" spans="1:220">
      <c r="A96" s="49"/>
      <c r="B96" s="105" t="s">
        <v>343</v>
      </c>
      <c r="C96" s="162" t="s">
        <v>715</v>
      </c>
      <c r="D96" s="145">
        <f>Output_Flux!KP4</f>
        <v>0</v>
      </c>
      <c r="E96" s="158"/>
      <c r="F96" s="158"/>
      <c r="G96" s="158"/>
      <c r="H96" s="158"/>
      <c r="I96" s="158"/>
      <c r="J96" s="158"/>
      <c r="K96" s="158"/>
      <c r="L96" s="158"/>
      <c r="M96" s="158"/>
      <c r="N96" s="158"/>
      <c r="O96" s="158"/>
      <c r="P96" s="158"/>
      <c r="Q96" s="158"/>
      <c r="R96" s="158"/>
      <c r="S96" s="158"/>
      <c r="T96" s="158"/>
      <c r="U96" s="158"/>
      <c r="V96" s="158"/>
      <c r="W96" s="158"/>
      <c r="X96" s="158"/>
      <c r="Y96" s="158"/>
      <c r="Z96" s="158"/>
      <c r="AA96" s="158"/>
      <c r="AB96" s="158"/>
      <c r="AC96" s="158"/>
      <c r="AD96" s="158"/>
      <c r="AE96" s="158"/>
      <c r="AF96" s="158"/>
      <c r="AG96" s="158"/>
      <c r="AH96" s="158"/>
      <c r="AI96" s="158"/>
      <c r="AJ96" s="158"/>
      <c r="AK96" s="158"/>
      <c r="AL96" s="158"/>
      <c r="AM96" s="158"/>
      <c r="AN96" s="158"/>
      <c r="AO96" s="158"/>
      <c r="AP96" s="158"/>
      <c r="AQ96" s="158"/>
      <c r="AR96" s="158"/>
      <c r="AS96" s="158"/>
      <c r="AT96" s="158"/>
      <c r="AU96" s="158"/>
      <c r="AV96" s="158"/>
      <c r="AW96" s="158"/>
      <c r="AX96" s="158"/>
      <c r="AY96" s="158"/>
      <c r="AZ96" s="158"/>
      <c r="BA96" s="158"/>
      <c r="BB96" s="158"/>
      <c r="BC96" s="158"/>
      <c r="BD96" s="158"/>
      <c r="BE96" s="158"/>
      <c r="BF96" s="158"/>
      <c r="BG96" s="158"/>
      <c r="BH96" s="158"/>
      <c r="BI96" s="158"/>
      <c r="BJ96" s="158"/>
      <c r="BK96" s="158"/>
      <c r="BL96" s="158"/>
      <c r="BM96" s="158"/>
      <c r="BN96" s="158"/>
      <c r="BO96" s="158"/>
      <c r="BP96" s="158"/>
      <c r="BQ96" s="158"/>
      <c r="BR96" s="158"/>
      <c r="BS96" s="158"/>
      <c r="BT96" s="158"/>
      <c r="BU96" s="158"/>
      <c r="BV96" s="158"/>
      <c r="BW96" s="158"/>
      <c r="BX96" s="158"/>
      <c r="BY96" s="158"/>
      <c r="BZ96" s="158"/>
      <c r="CA96" s="158"/>
      <c r="CB96" s="158"/>
      <c r="CC96" s="158"/>
      <c r="CD96" s="158"/>
      <c r="CE96" s="158"/>
      <c r="CF96" s="158"/>
      <c r="CG96" s="158"/>
      <c r="CH96" s="158"/>
      <c r="CI96" s="158"/>
      <c r="CJ96" s="158"/>
      <c r="CK96" s="158"/>
      <c r="CL96" s="158"/>
      <c r="CM96" s="158"/>
      <c r="CN96" s="158"/>
      <c r="CO96" s="158"/>
      <c r="CP96" s="158"/>
      <c r="CQ96" s="158"/>
      <c r="CR96" s="158"/>
      <c r="CS96" s="158"/>
      <c r="CT96" s="158"/>
      <c r="CU96" s="158"/>
      <c r="CV96" s="158"/>
      <c r="CW96" s="158"/>
      <c r="CX96" s="158"/>
      <c r="CY96" s="158"/>
      <c r="CZ96" s="158"/>
      <c r="DA96" s="158"/>
      <c r="DB96" s="158"/>
      <c r="DC96" s="158"/>
      <c r="DD96" s="158"/>
      <c r="DE96" s="158"/>
      <c r="DF96" s="158"/>
      <c r="DG96" s="158"/>
      <c r="DH96" s="158"/>
      <c r="DI96" s="158"/>
      <c r="DJ96" s="158"/>
      <c r="DK96" s="158"/>
      <c r="DL96" s="158"/>
      <c r="DM96" s="158"/>
      <c r="DN96" s="158"/>
      <c r="DO96" s="158"/>
      <c r="DP96" s="158"/>
      <c r="DQ96" s="158"/>
      <c r="DR96" s="158"/>
      <c r="DS96" s="158"/>
      <c r="DT96" s="158"/>
      <c r="DU96" s="158"/>
      <c r="DV96" s="158"/>
      <c r="DW96" s="158"/>
      <c r="DX96" s="158"/>
      <c r="DY96" s="158"/>
      <c r="DZ96" s="158"/>
      <c r="EA96" s="158"/>
      <c r="EB96" s="158"/>
      <c r="EC96" s="158"/>
      <c r="ED96" s="158"/>
      <c r="EE96" s="158"/>
      <c r="EF96" s="158"/>
      <c r="EG96" s="158"/>
      <c r="EH96" s="158"/>
      <c r="EI96" s="158"/>
      <c r="EJ96" s="158"/>
      <c r="EK96" s="158"/>
      <c r="EL96" s="158"/>
      <c r="EM96" s="158"/>
      <c r="EN96" s="158"/>
      <c r="EO96" s="158"/>
      <c r="EP96" s="158"/>
      <c r="EQ96" s="158"/>
      <c r="ER96" s="158"/>
      <c r="ES96" s="158"/>
      <c r="ET96" s="158"/>
      <c r="EU96" s="158"/>
      <c r="EV96" s="158"/>
      <c r="EW96" s="158"/>
      <c r="EX96" s="158"/>
      <c r="EY96" s="158"/>
      <c r="EZ96" s="158"/>
      <c r="FA96" s="158"/>
      <c r="FB96" s="158"/>
      <c r="FC96" s="158"/>
      <c r="FD96" s="158"/>
      <c r="FE96" s="158"/>
      <c r="FF96" s="158"/>
      <c r="FG96" s="158"/>
      <c r="FH96" s="158"/>
      <c r="FI96" s="158"/>
      <c r="FJ96" s="158"/>
      <c r="FK96" s="158"/>
      <c r="FL96" s="158"/>
      <c r="FM96" s="158"/>
      <c r="FN96" s="158"/>
      <c r="FO96" s="158"/>
      <c r="FP96" s="158"/>
      <c r="FQ96" s="158"/>
      <c r="FR96" s="158"/>
      <c r="FS96" s="158"/>
      <c r="FT96" s="158"/>
      <c r="FU96" s="158"/>
      <c r="FV96" s="158"/>
      <c r="FW96" s="158"/>
      <c r="FX96" s="158"/>
      <c r="FY96" s="158"/>
      <c r="FZ96" s="158"/>
      <c r="GA96" s="158"/>
      <c r="GB96" s="158"/>
      <c r="GC96" s="158"/>
      <c r="GD96" s="158"/>
      <c r="GE96" s="158"/>
      <c r="GF96" s="158"/>
      <c r="GG96" s="158"/>
      <c r="GH96" s="158"/>
      <c r="GI96" s="158"/>
      <c r="GJ96" s="158"/>
      <c r="GK96" s="158"/>
      <c r="GL96" s="158"/>
      <c r="GM96" s="158"/>
      <c r="GN96" s="158"/>
      <c r="GO96" s="158"/>
      <c r="GP96" s="158"/>
      <c r="GQ96" s="158"/>
      <c r="GR96" s="158"/>
      <c r="GS96" s="158"/>
      <c r="GT96" s="158"/>
      <c r="GU96" s="158"/>
      <c r="GV96" s="158"/>
      <c r="GW96" s="158"/>
      <c r="GX96" s="158"/>
      <c r="GY96" s="158"/>
      <c r="GZ96" s="158"/>
      <c r="HA96" s="158"/>
      <c r="HB96" s="158"/>
      <c r="HC96" s="158"/>
      <c r="HD96" s="158"/>
      <c r="HE96" s="158"/>
      <c r="HF96" s="158"/>
      <c r="HG96" s="158"/>
      <c r="HH96" s="158"/>
      <c r="HI96" s="158"/>
      <c r="HJ96" s="158"/>
      <c r="HK96" s="158"/>
      <c r="HL96" s="158"/>
    </row>
    <row r="97" spans="1:220">
      <c r="A97" s="49"/>
      <c r="B97" s="105" t="s">
        <v>344</v>
      </c>
      <c r="C97" s="162" t="s">
        <v>716</v>
      </c>
      <c r="D97" s="145">
        <f>Output_Flux!AJG4</f>
        <v>0</v>
      </c>
      <c r="E97" s="158"/>
      <c r="F97" s="158"/>
      <c r="G97" s="158"/>
      <c r="H97" s="158"/>
      <c r="I97" s="158"/>
      <c r="J97" s="158"/>
      <c r="K97" s="158"/>
      <c r="L97" s="158"/>
      <c r="M97" s="158"/>
      <c r="N97" s="158"/>
      <c r="O97" s="158"/>
      <c r="P97" s="158"/>
      <c r="Q97" s="158"/>
      <c r="R97" s="158"/>
      <c r="S97" s="158"/>
      <c r="T97" s="158"/>
      <c r="U97" s="158"/>
      <c r="V97" s="158"/>
      <c r="W97" s="158"/>
      <c r="X97" s="158"/>
      <c r="Y97" s="158"/>
      <c r="Z97" s="158"/>
      <c r="AA97" s="158"/>
      <c r="AB97" s="158"/>
      <c r="AC97" s="158"/>
      <c r="AD97" s="158"/>
      <c r="AE97" s="158"/>
      <c r="AF97" s="158"/>
      <c r="AG97" s="158"/>
      <c r="AH97" s="158"/>
      <c r="AI97" s="158"/>
      <c r="AJ97" s="158"/>
      <c r="AK97" s="158"/>
      <c r="AL97" s="158"/>
      <c r="AM97" s="158"/>
      <c r="AN97" s="158"/>
      <c r="AO97" s="158"/>
      <c r="AP97" s="158"/>
      <c r="AQ97" s="158"/>
      <c r="AR97" s="158"/>
      <c r="AS97" s="158"/>
      <c r="AT97" s="158"/>
      <c r="AU97" s="158"/>
      <c r="AV97" s="158"/>
      <c r="AW97" s="158"/>
      <c r="AX97" s="158"/>
      <c r="AY97" s="158"/>
      <c r="AZ97" s="158"/>
      <c r="BA97" s="158"/>
      <c r="BB97" s="158"/>
      <c r="BC97" s="158"/>
      <c r="BD97" s="158"/>
      <c r="BE97" s="158"/>
      <c r="BF97" s="158"/>
      <c r="BG97" s="158"/>
      <c r="BH97" s="158"/>
      <c r="BI97" s="158"/>
      <c r="BJ97" s="158"/>
      <c r="BK97" s="158"/>
      <c r="BL97" s="158"/>
      <c r="BM97" s="158"/>
      <c r="BN97" s="158"/>
      <c r="BO97" s="158"/>
      <c r="BP97" s="158"/>
      <c r="BQ97" s="158"/>
      <c r="BR97" s="158"/>
      <c r="BS97" s="158"/>
      <c r="BT97" s="158"/>
      <c r="BU97" s="158"/>
      <c r="BV97" s="158"/>
      <c r="BW97" s="158"/>
      <c r="BX97" s="158"/>
      <c r="BY97" s="158"/>
      <c r="BZ97" s="158"/>
      <c r="CA97" s="158"/>
      <c r="CB97" s="158"/>
      <c r="CC97" s="158"/>
      <c r="CD97" s="158"/>
      <c r="CE97" s="158"/>
      <c r="CF97" s="158"/>
      <c r="CG97" s="158"/>
      <c r="CH97" s="158"/>
      <c r="CI97" s="158"/>
      <c r="CJ97" s="158"/>
      <c r="CK97" s="158"/>
      <c r="CL97" s="158"/>
      <c r="CM97" s="158"/>
      <c r="CN97" s="158"/>
      <c r="CO97" s="158"/>
      <c r="CP97" s="158"/>
      <c r="CQ97" s="158"/>
      <c r="CR97" s="158"/>
      <c r="CS97" s="158"/>
      <c r="CT97" s="158"/>
      <c r="CU97" s="158"/>
      <c r="CV97" s="158"/>
      <c r="CW97" s="158"/>
      <c r="CX97" s="158"/>
      <c r="CY97" s="158"/>
      <c r="CZ97" s="158"/>
      <c r="DA97" s="158"/>
      <c r="DB97" s="158"/>
      <c r="DC97" s="158"/>
      <c r="DD97" s="158"/>
      <c r="DE97" s="158"/>
      <c r="DF97" s="158"/>
      <c r="DG97" s="158"/>
      <c r="DH97" s="158"/>
      <c r="DI97" s="158"/>
      <c r="DJ97" s="158"/>
      <c r="DK97" s="158"/>
      <c r="DL97" s="158"/>
      <c r="DM97" s="158"/>
      <c r="DN97" s="158"/>
      <c r="DO97" s="158"/>
      <c r="DP97" s="158"/>
      <c r="DQ97" s="158"/>
      <c r="DR97" s="158"/>
      <c r="DS97" s="158"/>
      <c r="DT97" s="158"/>
      <c r="DU97" s="158"/>
      <c r="DV97" s="158"/>
      <c r="DW97" s="158"/>
      <c r="DX97" s="158"/>
      <c r="DY97" s="158"/>
      <c r="DZ97" s="158"/>
      <c r="EA97" s="158"/>
      <c r="EB97" s="158"/>
      <c r="EC97" s="158"/>
      <c r="ED97" s="158"/>
      <c r="EE97" s="158"/>
      <c r="EF97" s="158"/>
      <c r="EG97" s="158"/>
      <c r="EH97" s="158"/>
      <c r="EI97" s="158"/>
      <c r="EJ97" s="158"/>
      <c r="EK97" s="158"/>
      <c r="EL97" s="158"/>
      <c r="EM97" s="158"/>
      <c r="EN97" s="158"/>
      <c r="EO97" s="158"/>
      <c r="EP97" s="158"/>
      <c r="EQ97" s="158"/>
      <c r="ER97" s="158"/>
      <c r="ES97" s="158"/>
      <c r="ET97" s="158"/>
      <c r="EU97" s="158"/>
      <c r="EV97" s="158"/>
      <c r="EW97" s="158"/>
      <c r="EX97" s="158"/>
      <c r="EY97" s="158"/>
      <c r="EZ97" s="158"/>
      <c r="FA97" s="158"/>
      <c r="FB97" s="158"/>
      <c r="FC97" s="158"/>
      <c r="FD97" s="158"/>
      <c r="FE97" s="158"/>
      <c r="FF97" s="158"/>
      <c r="FG97" s="158"/>
      <c r="FH97" s="158"/>
      <c r="FI97" s="158"/>
      <c r="FJ97" s="158"/>
      <c r="FK97" s="158"/>
      <c r="FL97" s="158"/>
      <c r="FM97" s="158"/>
      <c r="FN97" s="158"/>
      <c r="FO97" s="158"/>
      <c r="FP97" s="158"/>
      <c r="FQ97" s="158"/>
      <c r="FR97" s="158"/>
      <c r="FS97" s="158"/>
      <c r="FT97" s="158"/>
      <c r="FU97" s="158"/>
      <c r="FV97" s="158"/>
      <c r="FW97" s="158"/>
      <c r="FX97" s="158"/>
      <c r="FY97" s="158"/>
      <c r="FZ97" s="158"/>
      <c r="GA97" s="158"/>
      <c r="GB97" s="158"/>
      <c r="GC97" s="158"/>
      <c r="GD97" s="158"/>
      <c r="GE97" s="158"/>
      <c r="GF97" s="158"/>
      <c r="GG97" s="158"/>
      <c r="GH97" s="158"/>
      <c r="GI97" s="158"/>
      <c r="GJ97" s="158"/>
      <c r="GK97" s="158"/>
      <c r="GL97" s="158"/>
      <c r="GM97" s="158"/>
      <c r="GN97" s="158"/>
      <c r="GO97" s="158"/>
      <c r="GP97" s="158"/>
      <c r="GQ97" s="158"/>
      <c r="GR97" s="158"/>
      <c r="GS97" s="158"/>
      <c r="GT97" s="158"/>
      <c r="GU97" s="158"/>
      <c r="GV97" s="158"/>
      <c r="GW97" s="158"/>
      <c r="GX97" s="158"/>
      <c r="GY97" s="158"/>
      <c r="GZ97" s="158"/>
      <c r="HA97" s="158"/>
      <c r="HB97" s="158"/>
      <c r="HC97" s="158"/>
      <c r="HD97" s="158"/>
      <c r="HE97" s="158"/>
      <c r="HF97" s="158"/>
      <c r="HG97" s="158"/>
      <c r="HH97" s="158"/>
      <c r="HI97" s="158"/>
      <c r="HJ97" s="158"/>
      <c r="HK97" s="158"/>
      <c r="HL97" s="158"/>
    </row>
    <row r="98" spans="1:220">
      <c r="A98" s="49"/>
      <c r="B98" s="105" t="s">
        <v>345</v>
      </c>
      <c r="C98" s="162" t="s">
        <v>717</v>
      </c>
      <c r="D98" s="145">
        <f>Output_Flux!AJH4</f>
        <v>0</v>
      </c>
      <c r="E98" s="158"/>
      <c r="F98" s="158"/>
      <c r="G98" s="158"/>
      <c r="H98" s="158"/>
      <c r="I98" s="158"/>
      <c r="J98" s="158"/>
      <c r="K98" s="158"/>
      <c r="L98" s="158"/>
      <c r="M98" s="158"/>
      <c r="N98" s="158"/>
      <c r="O98" s="158"/>
      <c r="P98" s="158"/>
      <c r="Q98" s="158"/>
      <c r="R98" s="158"/>
      <c r="S98" s="158"/>
      <c r="T98" s="158"/>
      <c r="U98" s="158"/>
      <c r="V98" s="158"/>
      <c r="W98" s="158"/>
      <c r="X98" s="158"/>
      <c r="Y98" s="158"/>
      <c r="Z98" s="158"/>
      <c r="AA98" s="158"/>
      <c r="AB98" s="158"/>
      <c r="AC98" s="158"/>
      <c r="AD98" s="158"/>
      <c r="AE98" s="158"/>
      <c r="AF98" s="158"/>
      <c r="AG98" s="158"/>
      <c r="AH98" s="158"/>
      <c r="AI98" s="158"/>
      <c r="AJ98" s="158"/>
      <c r="AK98" s="158"/>
      <c r="AL98" s="158"/>
      <c r="AM98" s="158"/>
      <c r="AN98" s="158"/>
      <c r="AO98" s="158"/>
      <c r="AP98" s="158"/>
      <c r="AQ98" s="158"/>
      <c r="AR98" s="158"/>
      <c r="AS98" s="158"/>
      <c r="AT98" s="158"/>
      <c r="AU98" s="158"/>
      <c r="AV98" s="158"/>
      <c r="AW98" s="158"/>
      <c r="AX98" s="158"/>
      <c r="AY98" s="158"/>
      <c r="AZ98" s="158"/>
      <c r="BA98" s="158"/>
      <c r="BB98" s="158"/>
      <c r="BC98" s="158"/>
      <c r="BD98" s="158"/>
      <c r="BE98" s="158"/>
      <c r="BF98" s="158"/>
      <c r="BG98" s="158"/>
      <c r="BH98" s="158"/>
      <c r="BI98" s="158"/>
      <c r="BJ98" s="158"/>
      <c r="BK98" s="158"/>
      <c r="BL98" s="158"/>
      <c r="BM98" s="158"/>
      <c r="BN98" s="158"/>
      <c r="BO98" s="158"/>
      <c r="BP98" s="158"/>
      <c r="BQ98" s="158"/>
      <c r="BR98" s="158"/>
      <c r="BS98" s="158"/>
      <c r="BT98" s="158"/>
      <c r="BU98" s="158"/>
      <c r="BV98" s="158"/>
      <c r="BW98" s="158"/>
      <c r="BX98" s="158"/>
      <c r="BY98" s="158"/>
      <c r="BZ98" s="158"/>
      <c r="CA98" s="158"/>
      <c r="CB98" s="158"/>
      <c r="CC98" s="158"/>
      <c r="CD98" s="158"/>
      <c r="CE98" s="158"/>
      <c r="CF98" s="158"/>
      <c r="CG98" s="158"/>
      <c r="CH98" s="158"/>
      <c r="CI98" s="158"/>
      <c r="CJ98" s="158"/>
      <c r="CK98" s="158"/>
      <c r="CL98" s="158"/>
      <c r="CM98" s="158"/>
      <c r="CN98" s="158"/>
      <c r="CO98" s="158"/>
      <c r="CP98" s="158"/>
      <c r="CQ98" s="158"/>
      <c r="CR98" s="158"/>
      <c r="CS98" s="158"/>
      <c r="CT98" s="158"/>
      <c r="CU98" s="158"/>
      <c r="CV98" s="158"/>
      <c r="CW98" s="158"/>
      <c r="CX98" s="158"/>
      <c r="CY98" s="158"/>
      <c r="CZ98" s="158"/>
      <c r="DA98" s="158"/>
      <c r="DB98" s="158"/>
      <c r="DC98" s="158"/>
      <c r="DD98" s="158"/>
      <c r="DE98" s="158"/>
      <c r="DF98" s="158"/>
      <c r="DG98" s="158"/>
      <c r="DH98" s="158"/>
      <c r="DI98" s="158"/>
      <c r="DJ98" s="158"/>
      <c r="DK98" s="158"/>
      <c r="DL98" s="158"/>
      <c r="DM98" s="158"/>
      <c r="DN98" s="158"/>
      <c r="DO98" s="158"/>
      <c r="DP98" s="158"/>
      <c r="DQ98" s="158"/>
      <c r="DR98" s="158"/>
      <c r="DS98" s="158"/>
      <c r="DT98" s="158"/>
      <c r="DU98" s="158"/>
      <c r="DV98" s="158"/>
      <c r="DW98" s="158"/>
      <c r="DX98" s="158"/>
      <c r="DY98" s="158"/>
      <c r="DZ98" s="158"/>
      <c r="EA98" s="158"/>
      <c r="EB98" s="158"/>
      <c r="EC98" s="158"/>
      <c r="ED98" s="158"/>
      <c r="EE98" s="158"/>
      <c r="EF98" s="158"/>
      <c r="EG98" s="158"/>
      <c r="EH98" s="158"/>
      <c r="EI98" s="158"/>
      <c r="EJ98" s="158"/>
      <c r="EK98" s="158"/>
      <c r="EL98" s="158"/>
      <c r="EM98" s="158"/>
      <c r="EN98" s="158"/>
      <c r="EO98" s="158"/>
      <c r="EP98" s="158"/>
      <c r="EQ98" s="158"/>
      <c r="ER98" s="158"/>
      <c r="ES98" s="158"/>
      <c r="ET98" s="158"/>
      <c r="EU98" s="158"/>
      <c r="EV98" s="158"/>
      <c r="EW98" s="158"/>
      <c r="EX98" s="158"/>
      <c r="EY98" s="158"/>
      <c r="EZ98" s="158"/>
      <c r="FA98" s="158"/>
      <c r="FB98" s="158"/>
      <c r="FC98" s="158"/>
      <c r="FD98" s="158"/>
      <c r="FE98" s="158"/>
      <c r="FF98" s="158"/>
      <c r="FG98" s="158"/>
      <c r="FH98" s="158"/>
      <c r="FI98" s="158"/>
      <c r="FJ98" s="158"/>
      <c r="FK98" s="158"/>
      <c r="FL98" s="158"/>
      <c r="FM98" s="158"/>
      <c r="FN98" s="158"/>
      <c r="FO98" s="158"/>
      <c r="FP98" s="158"/>
      <c r="FQ98" s="158"/>
      <c r="FR98" s="158"/>
      <c r="FS98" s="158"/>
      <c r="FT98" s="158"/>
      <c r="FU98" s="158"/>
      <c r="FV98" s="158"/>
      <c r="FW98" s="158"/>
      <c r="FX98" s="158"/>
      <c r="FY98" s="158"/>
      <c r="FZ98" s="158"/>
      <c r="GA98" s="158"/>
      <c r="GB98" s="158"/>
      <c r="GC98" s="158"/>
      <c r="GD98" s="158"/>
      <c r="GE98" s="158"/>
      <c r="GF98" s="158"/>
      <c r="GG98" s="158"/>
      <c r="GH98" s="158"/>
      <c r="GI98" s="158"/>
      <c r="GJ98" s="158"/>
      <c r="GK98" s="158"/>
      <c r="GL98" s="158"/>
      <c r="GM98" s="158"/>
      <c r="GN98" s="158"/>
      <c r="GO98" s="158"/>
      <c r="GP98" s="158"/>
      <c r="GQ98" s="158"/>
      <c r="GR98" s="158"/>
      <c r="GS98" s="158"/>
      <c r="GT98" s="158"/>
      <c r="GU98" s="158"/>
      <c r="GV98" s="158"/>
      <c r="GW98" s="158"/>
      <c r="GX98" s="158"/>
      <c r="GY98" s="158"/>
      <c r="GZ98" s="158"/>
      <c r="HA98" s="158"/>
      <c r="HB98" s="158"/>
      <c r="HC98" s="158"/>
      <c r="HD98" s="158"/>
      <c r="HE98" s="158"/>
      <c r="HF98" s="158"/>
      <c r="HG98" s="158"/>
      <c r="HH98" s="158"/>
      <c r="HI98" s="158"/>
      <c r="HJ98" s="158"/>
      <c r="HK98" s="158"/>
      <c r="HL98" s="158"/>
    </row>
    <row r="99" spans="1:220">
      <c r="A99" s="49"/>
      <c r="B99" s="105" t="s">
        <v>346</v>
      </c>
      <c r="C99" s="162" t="s">
        <v>718</v>
      </c>
      <c r="D99" s="145">
        <f>Output_Flux!AJI4</f>
        <v>0</v>
      </c>
      <c r="E99" s="158"/>
      <c r="F99" s="158"/>
      <c r="G99" s="158"/>
      <c r="H99" s="158"/>
      <c r="I99" s="158"/>
      <c r="J99" s="158"/>
      <c r="K99" s="158"/>
      <c r="L99" s="158"/>
      <c r="M99" s="158"/>
      <c r="N99" s="158"/>
      <c r="O99" s="158"/>
      <c r="P99" s="158"/>
      <c r="Q99" s="158"/>
      <c r="R99" s="158"/>
      <c r="S99" s="158"/>
      <c r="T99" s="158"/>
      <c r="U99" s="158"/>
      <c r="V99" s="158"/>
      <c r="W99" s="158"/>
      <c r="X99" s="158"/>
      <c r="Y99" s="158"/>
      <c r="Z99" s="158"/>
      <c r="AA99" s="158"/>
      <c r="AB99" s="158"/>
      <c r="AC99" s="158"/>
      <c r="AD99" s="158"/>
      <c r="AE99" s="158"/>
      <c r="AF99" s="158"/>
      <c r="AG99" s="158"/>
      <c r="AH99" s="158"/>
      <c r="AI99" s="158"/>
      <c r="AJ99" s="158"/>
      <c r="AK99" s="158"/>
      <c r="AL99" s="158"/>
      <c r="AM99" s="158"/>
      <c r="AN99" s="158"/>
      <c r="AO99" s="158"/>
      <c r="AP99" s="158"/>
      <c r="AQ99" s="158"/>
      <c r="AR99" s="158"/>
      <c r="AS99" s="158"/>
      <c r="AT99" s="158"/>
      <c r="AU99" s="158"/>
      <c r="AV99" s="158"/>
      <c r="AW99" s="158"/>
      <c r="AX99" s="158"/>
      <c r="AY99" s="158"/>
      <c r="AZ99" s="158"/>
      <c r="BA99" s="158"/>
      <c r="BB99" s="158"/>
      <c r="BC99" s="158"/>
      <c r="BD99" s="158"/>
      <c r="BE99" s="158"/>
      <c r="BF99" s="158"/>
      <c r="BG99" s="158"/>
      <c r="BH99" s="158"/>
      <c r="BI99" s="158"/>
      <c r="BJ99" s="158"/>
      <c r="BK99" s="158"/>
      <c r="BL99" s="158"/>
      <c r="BM99" s="158"/>
      <c r="BN99" s="158"/>
      <c r="BO99" s="158"/>
      <c r="BP99" s="158"/>
      <c r="BQ99" s="158"/>
      <c r="BR99" s="158"/>
      <c r="BS99" s="158"/>
      <c r="BT99" s="158"/>
      <c r="BU99" s="158"/>
      <c r="BV99" s="158"/>
      <c r="BW99" s="158"/>
      <c r="BX99" s="158"/>
      <c r="BY99" s="158"/>
      <c r="BZ99" s="158"/>
      <c r="CA99" s="158"/>
      <c r="CB99" s="158"/>
      <c r="CC99" s="158"/>
      <c r="CD99" s="158"/>
      <c r="CE99" s="158"/>
      <c r="CF99" s="158"/>
      <c r="CG99" s="158"/>
      <c r="CH99" s="158"/>
      <c r="CI99" s="158"/>
      <c r="CJ99" s="158"/>
      <c r="CK99" s="158"/>
      <c r="CL99" s="158"/>
      <c r="CM99" s="158"/>
      <c r="CN99" s="158"/>
      <c r="CO99" s="158"/>
      <c r="CP99" s="158"/>
      <c r="CQ99" s="158"/>
      <c r="CR99" s="158"/>
      <c r="CS99" s="158"/>
      <c r="CT99" s="158"/>
      <c r="CU99" s="158"/>
      <c r="CV99" s="158"/>
      <c r="CW99" s="158"/>
      <c r="CX99" s="158"/>
      <c r="CY99" s="158"/>
      <c r="CZ99" s="158"/>
      <c r="DA99" s="158"/>
      <c r="DB99" s="158"/>
      <c r="DC99" s="158"/>
      <c r="DD99" s="158"/>
      <c r="DE99" s="158"/>
      <c r="DF99" s="158"/>
      <c r="DG99" s="158"/>
      <c r="DH99" s="158"/>
      <c r="DI99" s="158"/>
      <c r="DJ99" s="158"/>
      <c r="DK99" s="158"/>
      <c r="DL99" s="158"/>
      <c r="DM99" s="158"/>
      <c r="DN99" s="158"/>
      <c r="DO99" s="158"/>
      <c r="DP99" s="158"/>
      <c r="DQ99" s="158"/>
      <c r="DR99" s="158"/>
      <c r="DS99" s="158"/>
      <c r="DT99" s="158"/>
      <c r="DU99" s="158"/>
      <c r="DV99" s="158"/>
      <c r="DW99" s="158"/>
      <c r="DX99" s="158"/>
      <c r="DY99" s="158"/>
      <c r="DZ99" s="158"/>
      <c r="EA99" s="158"/>
      <c r="EB99" s="158"/>
      <c r="EC99" s="158"/>
      <c r="ED99" s="158"/>
      <c r="EE99" s="158"/>
      <c r="EF99" s="158"/>
      <c r="EG99" s="158"/>
      <c r="EH99" s="158"/>
      <c r="EI99" s="158"/>
      <c r="EJ99" s="158"/>
      <c r="EK99" s="158"/>
      <c r="EL99" s="158"/>
      <c r="EM99" s="158"/>
      <c r="EN99" s="158"/>
      <c r="EO99" s="158"/>
      <c r="EP99" s="158"/>
      <c r="EQ99" s="158"/>
      <c r="ER99" s="158"/>
      <c r="ES99" s="158"/>
      <c r="ET99" s="158"/>
      <c r="EU99" s="158"/>
      <c r="EV99" s="158"/>
      <c r="EW99" s="158"/>
      <c r="EX99" s="158"/>
      <c r="EY99" s="158"/>
      <c r="EZ99" s="158"/>
      <c r="FA99" s="158"/>
      <c r="FB99" s="158"/>
      <c r="FC99" s="158"/>
      <c r="FD99" s="158"/>
      <c r="FE99" s="158"/>
      <c r="FF99" s="158"/>
      <c r="FG99" s="158"/>
      <c r="FH99" s="158"/>
      <c r="FI99" s="158"/>
      <c r="FJ99" s="158"/>
      <c r="FK99" s="158"/>
      <c r="FL99" s="158"/>
      <c r="FM99" s="158"/>
      <c r="FN99" s="158"/>
      <c r="FO99" s="158"/>
      <c r="FP99" s="158"/>
      <c r="FQ99" s="158"/>
      <c r="FR99" s="158"/>
      <c r="FS99" s="158"/>
      <c r="FT99" s="158"/>
      <c r="FU99" s="158"/>
      <c r="FV99" s="158"/>
      <c r="FW99" s="158"/>
      <c r="FX99" s="158"/>
      <c r="FY99" s="158"/>
      <c r="FZ99" s="158"/>
      <c r="GA99" s="158"/>
      <c r="GB99" s="158"/>
      <c r="GC99" s="158"/>
      <c r="GD99" s="158"/>
      <c r="GE99" s="158"/>
      <c r="GF99" s="158"/>
      <c r="GG99" s="158"/>
      <c r="GH99" s="158"/>
      <c r="GI99" s="158"/>
      <c r="GJ99" s="158"/>
      <c r="GK99" s="158"/>
      <c r="GL99" s="158"/>
      <c r="GM99" s="158"/>
      <c r="GN99" s="158"/>
      <c r="GO99" s="158"/>
      <c r="GP99" s="158"/>
      <c r="GQ99" s="158"/>
      <c r="GR99" s="158"/>
      <c r="GS99" s="158"/>
      <c r="GT99" s="158"/>
      <c r="GU99" s="158"/>
      <c r="GV99" s="158"/>
      <c r="GW99" s="158"/>
      <c r="GX99" s="158"/>
      <c r="GY99" s="158"/>
      <c r="GZ99" s="158"/>
      <c r="HA99" s="158"/>
      <c r="HB99" s="158"/>
      <c r="HC99" s="158"/>
      <c r="HD99" s="158"/>
      <c r="HE99" s="158"/>
      <c r="HF99" s="158"/>
      <c r="HG99" s="158"/>
      <c r="HH99" s="158"/>
      <c r="HI99" s="158"/>
      <c r="HJ99" s="158"/>
      <c r="HK99" s="158"/>
      <c r="HL99" s="158"/>
    </row>
    <row r="100" spans="1:220">
      <c r="A100" s="49"/>
      <c r="B100" s="105" t="s">
        <v>347</v>
      </c>
      <c r="C100" s="162" t="s">
        <v>719</v>
      </c>
      <c r="D100" s="145">
        <f>Output_Flux!AJJ4</f>
        <v>0</v>
      </c>
      <c r="E100" s="158"/>
      <c r="F100" s="158"/>
      <c r="G100" s="158"/>
      <c r="H100" s="158"/>
      <c r="I100" s="158"/>
      <c r="J100" s="158"/>
      <c r="K100" s="158"/>
      <c r="L100" s="158"/>
      <c r="M100" s="158"/>
      <c r="N100" s="158"/>
      <c r="O100" s="158"/>
      <c r="P100" s="158"/>
      <c r="Q100" s="158"/>
      <c r="R100" s="158"/>
      <c r="S100" s="158"/>
      <c r="T100" s="158"/>
      <c r="U100" s="158"/>
      <c r="V100" s="158"/>
      <c r="W100" s="158"/>
      <c r="X100" s="158"/>
      <c r="Y100" s="158"/>
      <c r="Z100" s="158"/>
      <c r="AA100" s="158"/>
      <c r="AB100" s="158"/>
      <c r="AC100" s="158"/>
      <c r="AD100" s="158"/>
      <c r="AE100" s="158"/>
      <c r="AF100" s="158"/>
      <c r="AG100" s="158"/>
      <c r="AH100" s="158"/>
      <c r="AI100" s="158"/>
      <c r="AJ100" s="158"/>
      <c r="AK100" s="158"/>
      <c r="AL100" s="158"/>
      <c r="AM100" s="158"/>
      <c r="AN100" s="158"/>
      <c r="AO100" s="158"/>
      <c r="AP100" s="158"/>
      <c r="AQ100" s="158"/>
      <c r="AR100" s="158"/>
      <c r="AS100" s="158"/>
      <c r="AT100" s="158"/>
      <c r="AU100" s="158"/>
      <c r="AV100" s="158"/>
      <c r="AW100" s="158"/>
      <c r="AX100" s="158"/>
      <c r="AY100" s="158"/>
      <c r="AZ100" s="158"/>
      <c r="BA100" s="158"/>
      <c r="BB100" s="158"/>
      <c r="BC100" s="158"/>
      <c r="BD100" s="158"/>
      <c r="BE100" s="158"/>
      <c r="BF100" s="158"/>
      <c r="BG100" s="158"/>
      <c r="BH100" s="158"/>
      <c r="BI100" s="158"/>
      <c r="BJ100" s="158"/>
      <c r="BK100" s="158"/>
      <c r="BL100" s="158"/>
      <c r="BM100" s="158"/>
      <c r="BN100" s="158"/>
      <c r="BO100" s="158"/>
      <c r="BP100" s="158"/>
      <c r="BQ100" s="158"/>
      <c r="BR100" s="158"/>
      <c r="BS100" s="158"/>
      <c r="BT100" s="158"/>
      <c r="BU100" s="158"/>
      <c r="BV100" s="158"/>
      <c r="BW100" s="158"/>
      <c r="BX100" s="158"/>
      <c r="BY100" s="158"/>
      <c r="BZ100" s="158"/>
      <c r="CA100" s="158"/>
      <c r="CB100" s="158"/>
      <c r="CC100" s="158"/>
      <c r="CD100" s="158"/>
      <c r="CE100" s="158"/>
      <c r="CF100" s="158"/>
      <c r="CG100" s="158"/>
      <c r="CH100" s="158"/>
      <c r="CI100" s="158"/>
      <c r="CJ100" s="158"/>
      <c r="CK100" s="158"/>
      <c r="CL100" s="158"/>
      <c r="CM100" s="158"/>
      <c r="CN100" s="158"/>
      <c r="CO100" s="158"/>
      <c r="CP100" s="158"/>
      <c r="CQ100" s="158"/>
      <c r="CR100" s="158"/>
      <c r="CS100" s="158"/>
      <c r="CT100" s="158"/>
      <c r="CU100" s="158"/>
      <c r="CV100" s="158"/>
      <c r="CW100" s="158"/>
      <c r="CX100" s="158"/>
      <c r="CY100" s="158"/>
      <c r="CZ100" s="158"/>
      <c r="DA100" s="158"/>
      <c r="DB100" s="158"/>
      <c r="DC100" s="158"/>
      <c r="DD100" s="158"/>
      <c r="DE100" s="158"/>
      <c r="DF100" s="158"/>
      <c r="DG100" s="158"/>
      <c r="DH100" s="158"/>
      <c r="DI100" s="158"/>
      <c r="DJ100" s="158"/>
      <c r="DK100" s="158"/>
      <c r="DL100" s="158"/>
      <c r="DM100" s="158"/>
      <c r="DN100" s="158"/>
      <c r="DO100" s="158"/>
      <c r="DP100" s="158"/>
      <c r="DQ100" s="158"/>
      <c r="DR100" s="158"/>
      <c r="DS100" s="158"/>
      <c r="DT100" s="158"/>
      <c r="DU100" s="158"/>
      <c r="DV100" s="158"/>
      <c r="DW100" s="158"/>
      <c r="DX100" s="158"/>
      <c r="DY100" s="158"/>
      <c r="DZ100" s="158"/>
      <c r="EA100" s="158"/>
      <c r="EB100" s="158"/>
      <c r="EC100" s="158"/>
      <c r="ED100" s="158"/>
      <c r="EE100" s="158"/>
      <c r="EF100" s="158"/>
      <c r="EG100" s="158"/>
      <c r="EH100" s="158"/>
      <c r="EI100" s="158"/>
      <c r="EJ100" s="158"/>
      <c r="EK100" s="158"/>
      <c r="EL100" s="158"/>
      <c r="EM100" s="158"/>
      <c r="EN100" s="158"/>
      <c r="EO100" s="158"/>
      <c r="EP100" s="158"/>
      <c r="EQ100" s="158"/>
      <c r="ER100" s="158"/>
      <c r="ES100" s="158"/>
      <c r="ET100" s="158"/>
      <c r="EU100" s="158"/>
      <c r="EV100" s="158"/>
      <c r="EW100" s="158"/>
      <c r="EX100" s="158"/>
      <c r="EY100" s="158"/>
      <c r="EZ100" s="158"/>
      <c r="FA100" s="158"/>
      <c r="FB100" s="158"/>
      <c r="FC100" s="158"/>
      <c r="FD100" s="158"/>
      <c r="FE100" s="158"/>
      <c r="FF100" s="158"/>
      <c r="FG100" s="158"/>
      <c r="FH100" s="158"/>
      <c r="FI100" s="158"/>
      <c r="FJ100" s="158"/>
      <c r="FK100" s="158"/>
      <c r="FL100" s="158"/>
      <c r="FM100" s="158"/>
      <c r="FN100" s="158"/>
      <c r="FO100" s="158"/>
      <c r="FP100" s="158"/>
      <c r="FQ100" s="158"/>
      <c r="FR100" s="158"/>
      <c r="FS100" s="158"/>
      <c r="FT100" s="158"/>
      <c r="FU100" s="158"/>
      <c r="FV100" s="158"/>
      <c r="FW100" s="158"/>
      <c r="FX100" s="158"/>
      <c r="FY100" s="158"/>
      <c r="FZ100" s="158"/>
      <c r="GA100" s="158"/>
      <c r="GB100" s="158"/>
      <c r="GC100" s="158"/>
      <c r="GD100" s="158"/>
      <c r="GE100" s="158"/>
      <c r="GF100" s="158"/>
      <c r="GG100" s="158"/>
      <c r="GH100" s="158"/>
      <c r="GI100" s="158"/>
      <c r="GJ100" s="158"/>
      <c r="GK100" s="158"/>
      <c r="GL100" s="158"/>
      <c r="GM100" s="158"/>
      <c r="GN100" s="158"/>
      <c r="GO100" s="158"/>
      <c r="GP100" s="158"/>
      <c r="GQ100" s="158"/>
      <c r="GR100" s="158"/>
      <c r="GS100" s="158"/>
      <c r="GT100" s="158"/>
      <c r="GU100" s="158"/>
      <c r="GV100" s="158"/>
      <c r="GW100" s="158"/>
      <c r="GX100" s="158"/>
      <c r="GY100" s="158"/>
      <c r="GZ100" s="158"/>
      <c r="HA100" s="158"/>
      <c r="HB100" s="158"/>
      <c r="HC100" s="158"/>
      <c r="HD100" s="158"/>
      <c r="HE100" s="158"/>
      <c r="HF100" s="158"/>
      <c r="HG100" s="158"/>
      <c r="HH100" s="158"/>
      <c r="HI100" s="158"/>
      <c r="HJ100" s="158"/>
      <c r="HK100" s="158"/>
      <c r="HL100" s="158"/>
    </row>
    <row r="101" spans="1:220">
      <c r="A101" s="49"/>
      <c r="B101" s="105" t="s">
        <v>348</v>
      </c>
      <c r="C101" s="162" t="s">
        <v>732</v>
      </c>
      <c r="D101" s="145">
        <f>Output_Human!F7</f>
        <v>0</v>
      </c>
      <c r="E101" s="158"/>
      <c r="F101" s="158"/>
      <c r="G101" s="158"/>
      <c r="H101" s="158"/>
      <c r="I101" s="158"/>
      <c r="J101" s="158"/>
      <c r="K101" s="158"/>
      <c r="L101" s="158"/>
      <c r="M101" s="158"/>
      <c r="N101" s="158"/>
      <c r="O101" s="158"/>
      <c r="P101" s="158"/>
      <c r="Q101" s="158"/>
      <c r="R101" s="158"/>
      <c r="S101" s="158"/>
      <c r="T101" s="158"/>
      <c r="U101" s="158"/>
      <c r="V101" s="158"/>
      <c r="W101" s="158"/>
      <c r="X101" s="158"/>
      <c r="Y101" s="158"/>
      <c r="Z101" s="158"/>
      <c r="AA101" s="158"/>
      <c r="AB101" s="158"/>
      <c r="AC101" s="158"/>
      <c r="AD101" s="158"/>
      <c r="AE101" s="158"/>
      <c r="AF101" s="158"/>
      <c r="AG101" s="158"/>
      <c r="AH101" s="158"/>
      <c r="AI101" s="158"/>
      <c r="AJ101" s="158"/>
      <c r="AK101" s="158"/>
      <c r="AL101" s="158"/>
      <c r="AM101" s="158"/>
      <c r="AN101" s="158"/>
      <c r="AO101" s="158"/>
      <c r="AP101" s="158"/>
      <c r="AQ101" s="158"/>
      <c r="AR101" s="158"/>
      <c r="AS101" s="158"/>
      <c r="AT101" s="158"/>
      <c r="AU101" s="158"/>
      <c r="AV101" s="158"/>
      <c r="AW101" s="158"/>
      <c r="AX101" s="158"/>
      <c r="AY101" s="158"/>
      <c r="AZ101" s="158"/>
      <c r="BA101" s="158"/>
      <c r="BB101" s="158"/>
      <c r="BC101" s="158"/>
      <c r="BD101" s="158"/>
      <c r="BE101" s="158"/>
      <c r="BF101" s="158"/>
      <c r="BG101" s="158"/>
      <c r="BH101" s="158"/>
      <c r="BI101" s="158"/>
      <c r="BJ101" s="158"/>
      <c r="BK101" s="158"/>
      <c r="BL101" s="158"/>
      <c r="BM101" s="158"/>
      <c r="BN101" s="158"/>
      <c r="BO101" s="158"/>
      <c r="BP101" s="158"/>
      <c r="BQ101" s="158"/>
      <c r="BR101" s="158"/>
      <c r="BS101" s="158"/>
      <c r="BT101" s="158"/>
      <c r="BU101" s="158"/>
      <c r="BV101" s="158"/>
      <c r="BW101" s="158"/>
      <c r="BX101" s="158"/>
      <c r="BY101" s="158"/>
      <c r="BZ101" s="158"/>
      <c r="CA101" s="158"/>
      <c r="CB101" s="158"/>
      <c r="CC101" s="158"/>
      <c r="CD101" s="158"/>
      <c r="CE101" s="158"/>
      <c r="CF101" s="158"/>
      <c r="CG101" s="158"/>
      <c r="CH101" s="158"/>
      <c r="CI101" s="158"/>
      <c r="CJ101" s="158"/>
      <c r="CK101" s="158"/>
      <c r="CL101" s="158"/>
      <c r="CM101" s="158"/>
      <c r="CN101" s="158"/>
      <c r="CO101" s="158"/>
      <c r="CP101" s="158"/>
      <c r="CQ101" s="158"/>
      <c r="CR101" s="158"/>
      <c r="CS101" s="158"/>
      <c r="CT101" s="158"/>
      <c r="CU101" s="158"/>
      <c r="CV101" s="158"/>
      <c r="CW101" s="158"/>
      <c r="CX101" s="158"/>
      <c r="CY101" s="158"/>
      <c r="CZ101" s="158"/>
      <c r="DA101" s="158"/>
      <c r="DB101" s="158"/>
      <c r="DC101" s="158"/>
      <c r="DD101" s="158"/>
      <c r="DE101" s="158"/>
      <c r="DF101" s="158"/>
      <c r="DG101" s="158"/>
      <c r="DH101" s="158"/>
      <c r="DI101" s="158"/>
      <c r="DJ101" s="158"/>
      <c r="DK101" s="158"/>
      <c r="DL101" s="158"/>
      <c r="DM101" s="158"/>
      <c r="DN101" s="158"/>
      <c r="DO101" s="158"/>
      <c r="DP101" s="158"/>
      <c r="DQ101" s="158"/>
      <c r="DR101" s="158"/>
      <c r="DS101" s="158"/>
      <c r="DT101" s="158"/>
      <c r="DU101" s="158"/>
      <c r="DV101" s="158"/>
      <c r="DW101" s="158"/>
      <c r="DX101" s="158"/>
      <c r="DY101" s="158"/>
      <c r="DZ101" s="158"/>
      <c r="EA101" s="158"/>
      <c r="EB101" s="158"/>
      <c r="EC101" s="158"/>
      <c r="ED101" s="158"/>
      <c r="EE101" s="158"/>
      <c r="EF101" s="158"/>
      <c r="EG101" s="158"/>
      <c r="EH101" s="158"/>
      <c r="EI101" s="158"/>
      <c r="EJ101" s="158"/>
      <c r="EK101" s="158"/>
      <c r="EL101" s="158"/>
      <c r="EM101" s="158"/>
      <c r="EN101" s="158"/>
      <c r="EO101" s="158"/>
      <c r="EP101" s="158"/>
      <c r="EQ101" s="158"/>
      <c r="ER101" s="158"/>
      <c r="ES101" s="158"/>
      <c r="ET101" s="158"/>
      <c r="EU101" s="158"/>
      <c r="EV101" s="158"/>
      <c r="EW101" s="158"/>
      <c r="EX101" s="158"/>
      <c r="EY101" s="158"/>
      <c r="EZ101" s="158"/>
      <c r="FA101" s="158"/>
      <c r="FB101" s="158"/>
      <c r="FC101" s="158"/>
      <c r="FD101" s="158"/>
      <c r="FE101" s="158"/>
      <c r="FF101" s="158"/>
      <c r="FG101" s="158"/>
      <c r="FH101" s="158"/>
      <c r="FI101" s="158"/>
      <c r="FJ101" s="158"/>
      <c r="FK101" s="158"/>
      <c r="FL101" s="158"/>
      <c r="FM101" s="158"/>
      <c r="FN101" s="158"/>
      <c r="FO101" s="158"/>
      <c r="FP101" s="158"/>
      <c r="FQ101" s="158"/>
      <c r="FR101" s="158"/>
      <c r="FS101" s="158"/>
      <c r="FT101" s="158"/>
      <c r="FU101" s="158"/>
      <c r="FV101" s="158"/>
      <c r="FW101" s="158"/>
      <c r="FX101" s="158"/>
      <c r="FY101" s="158"/>
      <c r="FZ101" s="158"/>
      <c r="GA101" s="158"/>
      <c r="GB101" s="158"/>
      <c r="GC101" s="158"/>
      <c r="GD101" s="158"/>
      <c r="GE101" s="158"/>
      <c r="GF101" s="158"/>
      <c r="GG101" s="158"/>
      <c r="GH101" s="158"/>
      <c r="GI101" s="158"/>
      <c r="GJ101" s="158"/>
      <c r="GK101" s="158"/>
      <c r="GL101" s="158"/>
      <c r="GM101" s="158"/>
      <c r="GN101" s="158"/>
      <c r="GO101" s="158"/>
      <c r="GP101" s="158"/>
      <c r="GQ101" s="158"/>
      <c r="GR101" s="158"/>
      <c r="GS101" s="158"/>
      <c r="GT101" s="158"/>
      <c r="GU101" s="158"/>
      <c r="GV101" s="158"/>
      <c r="GW101" s="158"/>
      <c r="GX101" s="158"/>
      <c r="GY101" s="158"/>
      <c r="GZ101" s="158"/>
      <c r="HA101" s="158"/>
      <c r="HB101" s="158"/>
      <c r="HC101" s="158"/>
      <c r="HD101" s="158"/>
      <c r="HE101" s="158"/>
      <c r="HF101" s="158"/>
      <c r="HG101" s="158"/>
      <c r="HH101" s="158"/>
      <c r="HI101" s="158"/>
      <c r="HJ101" s="158"/>
      <c r="HK101" s="158"/>
      <c r="HL101" s="158"/>
    </row>
    <row r="102" spans="1:220">
      <c r="A102" s="49"/>
      <c r="B102" s="105" t="s">
        <v>349</v>
      </c>
      <c r="C102" s="162" t="s">
        <v>733</v>
      </c>
      <c r="D102" s="145">
        <f>Output_Human!F18</f>
        <v>0</v>
      </c>
      <c r="E102" s="158"/>
      <c r="F102" s="158"/>
      <c r="G102" s="158"/>
      <c r="H102" s="158"/>
      <c r="I102" s="158"/>
      <c r="J102" s="158"/>
      <c r="K102" s="158"/>
      <c r="L102" s="158"/>
      <c r="M102" s="158"/>
      <c r="N102" s="158"/>
      <c r="O102" s="158"/>
      <c r="P102" s="158"/>
      <c r="Q102" s="158"/>
      <c r="R102" s="158"/>
      <c r="S102" s="158"/>
      <c r="T102" s="158"/>
      <c r="U102" s="158"/>
      <c r="V102" s="158"/>
      <c r="W102" s="158"/>
      <c r="X102" s="158"/>
      <c r="Y102" s="158"/>
      <c r="Z102" s="158"/>
      <c r="AA102" s="158"/>
      <c r="AB102" s="158"/>
      <c r="AC102" s="158"/>
      <c r="AD102" s="158"/>
      <c r="AE102" s="158"/>
      <c r="AF102" s="158"/>
      <c r="AG102" s="158"/>
      <c r="AH102" s="158"/>
      <c r="AI102" s="158"/>
      <c r="AJ102" s="158"/>
      <c r="AK102" s="158"/>
      <c r="AL102" s="158"/>
      <c r="AM102" s="158"/>
      <c r="AN102" s="158"/>
      <c r="AO102" s="158"/>
      <c r="AP102" s="158"/>
      <c r="AQ102" s="158"/>
      <c r="AR102" s="158"/>
      <c r="AS102" s="158"/>
      <c r="AT102" s="158"/>
      <c r="AU102" s="158"/>
      <c r="AV102" s="158"/>
      <c r="AW102" s="158"/>
      <c r="AX102" s="158"/>
      <c r="AY102" s="158"/>
      <c r="AZ102" s="158"/>
      <c r="BA102" s="158"/>
      <c r="BB102" s="158"/>
      <c r="BC102" s="158"/>
      <c r="BD102" s="158"/>
      <c r="BE102" s="158"/>
      <c r="BF102" s="158"/>
      <c r="BG102" s="158"/>
      <c r="BH102" s="158"/>
      <c r="BI102" s="158"/>
      <c r="BJ102" s="158"/>
      <c r="BK102" s="158"/>
      <c r="BL102" s="158"/>
      <c r="BM102" s="158"/>
      <c r="BN102" s="158"/>
      <c r="BO102" s="158"/>
      <c r="BP102" s="158"/>
      <c r="BQ102" s="158"/>
      <c r="BR102" s="158"/>
      <c r="BS102" s="158"/>
      <c r="BT102" s="158"/>
      <c r="BU102" s="158"/>
      <c r="BV102" s="158"/>
      <c r="BW102" s="158"/>
      <c r="BX102" s="158"/>
      <c r="BY102" s="158"/>
      <c r="BZ102" s="158"/>
      <c r="CA102" s="158"/>
      <c r="CB102" s="158"/>
      <c r="CC102" s="158"/>
      <c r="CD102" s="158"/>
      <c r="CE102" s="158"/>
      <c r="CF102" s="158"/>
      <c r="CG102" s="158"/>
      <c r="CH102" s="158"/>
      <c r="CI102" s="158"/>
      <c r="CJ102" s="158"/>
      <c r="CK102" s="158"/>
      <c r="CL102" s="158"/>
      <c r="CM102" s="158"/>
      <c r="CN102" s="158"/>
      <c r="CO102" s="158"/>
      <c r="CP102" s="158"/>
      <c r="CQ102" s="158"/>
      <c r="CR102" s="158"/>
      <c r="CS102" s="158"/>
      <c r="CT102" s="158"/>
      <c r="CU102" s="158"/>
      <c r="CV102" s="158"/>
      <c r="CW102" s="158"/>
      <c r="CX102" s="158"/>
      <c r="CY102" s="158"/>
      <c r="CZ102" s="158"/>
      <c r="DA102" s="158"/>
      <c r="DB102" s="158"/>
      <c r="DC102" s="158"/>
      <c r="DD102" s="158"/>
      <c r="DE102" s="158"/>
      <c r="DF102" s="158"/>
      <c r="DG102" s="158"/>
      <c r="DH102" s="158"/>
      <c r="DI102" s="158"/>
      <c r="DJ102" s="158"/>
      <c r="DK102" s="158"/>
      <c r="DL102" s="158"/>
      <c r="DM102" s="158"/>
      <c r="DN102" s="158"/>
      <c r="DO102" s="158"/>
      <c r="DP102" s="158"/>
      <c r="DQ102" s="158"/>
      <c r="DR102" s="158"/>
      <c r="DS102" s="158"/>
      <c r="DT102" s="158"/>
      <c r="DU102" s="158"/>
      <c r="DV102" s="158"/>
      <c r="DW102" s="158"/>
      <c r="DX102" s="158"/>
      <c r="DY102" s="158"/>
      <c r="DZ102" s="158"/>
      <c r="EA102" s="158"/>
      <c r="EB102" s="158"/>
      <c r="EC102" s="158"/>
      <c r="ED102" s="158"/>
      <c r="EE102" s="158"/>
      <c r="EF102" s="158"/>
      <c r="EG102" s="158"/>
      <c r="EH102" s="158"/>
      <c r="EI102" s="158"/>
      <c r="EJ102" s="158"/>
      <c r="EK102" s="158"/>
      <c r="EL102" s="158"/>
      <c r="EM102" s="158"/>
      <c r="EN102" s="158"/>
      <c r="EO102" s="158"/>
      <c r="EP102" s="158"/>
      <c r="EQ102" s="158"/>
      <c r="ER102" s="158"/>
      <c r="ES102" s="158"/>
      <c r="ET102" s="158"/>
      <c r="EU102" s="158"/>
      <c r="EV102" s="158"/>
      <c r="EW102" s="158"/>
      <c r="EX102" s="158"/>
      <c r="EY102" s="158"/>
      <c r="EZ102" s="158"/>
      <c r="FA102" s="158"/>
      <c r="FB102" s="158"/>
      <c r="FC102" s="158"/>
      <c r="FD102" s="158"/>
      <c r="FE102" s="158"/>
      <c r="FF102" s="158"/>
      <c r="FG102" s="158"/>
      <c r="FH102" s="158"/>
      <c r="FI102" s="158"/>
      <c r="FJ102" s="158"/>
      <c r="FK102" s="158"/>
      <c r="FL102" s="158"/>
      <c r="FM102" s="158"/>
      <c r="FN102" s="158"/>
      <c r="FO102" s="158"/>
      <c r="FP102" s="158"/>
      <c r="FQ102" s="158"/>
      <c r="FR102" s="158"/>
      <c r="FS102" s="158"/>
      <c r="FT102" s="158"/>
      <c r="FU102" s="158"/>
      <c r="FV102" s="158"/>
      <c r="FW102" s="158"/>
      <c r="FX102" s="158"/>
      <c r="FY102" s="158"/>
      <c r="FZ102" s="158"/>
      <c r="GA102" s="158"/>
      <c r="GB102" s="158"/>
      <c r="GC102" s="158"/>
      <c r="GD102" s="158"/>
      <c r="GE102" s="158"/>
      <c r="GF102" s="158"/>
      <c r="GG102" s="158"/>
      <c r="GH102" s="158"/>
      <c r="GI102" s="158"/>
      <c r="GJ102" s="158"/>
      <c r="GK102" s="158"/>
      <c r="GL102" s="158"/>
      <c r="GM102" s="158"/>
      <c r="GN102" s="158"/>
      <c r="GO102" s="158"/>
      <c r="GP102" s="158"/>
      <c r="GQ102" s="158"/>
      <c r="GR102" s="158"/>
      <c r="GS102" s="158"/>
      <c r="GT102" s="158"/>
      <c r="GU102" s="158"/>
      <c r="GV102" s="158"/>
      <c r="GW102" s="158"/>
      <c r="GX102" s="158"/>
      <c r="GY102" s="158"/>
      <c r="GZ102" s="158"/>
      <c r="HA102" s="158"/>
      <c r="HB102" s="158"/>
      <c r="HC102" s="158"/>
      <c r="HD102" s="158"/>
      <c r="HE102" s="158"/>
      <c r="HF102" s="158"/>
      <c r="HG102" s="158"/>
      <c r="HH102" s="158"/>
      <c r="HI102" s="158"/>
      <c r="HJ102" s="158"/>
      <c r="HK102" s="158"/>
      <c r="HL102" s="158"/>
    </row>
    <row r="103" spans="1:220">
      <c r="A103" s="49"/>
      <c r="B103" s="105" t="s">
        <v>350</v>
      </c>
      <c r="C103" s="162" t="s">
        <v>734</v>
      </c>
      <c r="D103" s="145">
        <f>Output_Human!F29</f>
        <v>0</v>
      </c>
      <c r="E103" s="158"/>
      <c r="F103" s="158"/>
      <c r="G103" s="158"/>
      <c r="H103" s="158"/>
      <c r="I103" s="158"/>
      <c r="J103" s="158"/>
      <c r="K103" s="158"/>
      <c r="L103" s="158"/>
      <c r="M103" s="158"/>
      <c r="N103" s="158"/>
      <c r="O103" s="158"/>
      <c r="P103" s="158"/>
      <c r="Q103" s="158"/>
      <c r="R103" s="158"/>
      <c r="S103" s="158"/>
      <c r="T103" s="158"/>
      <c r="U103" s="158"/>
      <c r="V103" s="158"/>
      <c r="W103" s="158"/>
      <c r="X103" s="158"/>
      <c r="Y103" s="158"/>
      <c r="Z103" s="158"/>
      <c r="AA103" s="158"/>
      <c r="AB103" s="158"/>
      <c r="AC103" s="158"/>
      <c r="AD103" s="158"/>
      <c r="AE103" s="158"/>
      <c r="AF103" s="158"/>
      <c r="AG103" s="158"/>
      <c r="AH103" s="158"/>
      <c r="AI103" s="158"/>
      <c r="AJ103" s="158"/>
      <c r="AK103" s="158"/>
      <c r="AL103" s="158"/>
      <c r="AM103" s="158"/>
      <c r="AN103" s="158"/>
      <c r="AO103" s="158"/>
      <c r="AP103" s="158"/>
      <c r="AQ103" s="158"/>
      <c r="AR103" s="158"/>
      <c r="AS103" s="158"/>
      <c r="AT103" s="158"/>
      <c r="AU103" s="158"/>
      <c r="AV103" s="158"/>
      <c r="AW103" s="158"/>
      <c r="AX103" s="158"/>
      <c r="AY103" s="158"/>
      <c r="AZ103" s="158"/>
      <c r="BA103" s="158"/>
      <c r="BB103" s="158"/>
      <c r="BC103" s="158"/>
      <c r="BD103" s="158"/>
      <c r="BE103" s="158"/>
      <c r="BF103" s="158"/>
      <c r="BG103" s="158"/>
      <c r="BH103" s="158"/>
      <c r="BI103" s="158"/>
      <c r="BJ103" s="158"/>
      <c r="BK103" s="158"/>
      <c r="BL103" s="158"/>
      <c r="BM103" s="158"/>
      <c r="BN103" s="158"/>
      <c r="BO103" s="158"/>
      <c r="BP103" s="158"/>
      <c r="BQ103" s="158"/>
      <c r="BR103" s="158"/>
      <c r="BS103" s="158"/>
      <c r="BT103" s="158"/>
      <c r="BU103" s="158"/>
      <c r="BV103" s="158"/>
      <c r="BW103" s="158"/>
      <c r="BX103" s="158"/>
      <c r="BY103" s="158"/>
      <c r="BZ103" s="158"/>
      <c r="CA103" s="158"/>
      <c r="CB103" s="158"/>
      <c r="CC103" s="158"/>
      <c r="CD103" s="158"/>
      <c r="CE103" s="158"/>
      <c r="CF103" s="158"/>
      <c r="CG103" s="158"/>
      <c r="CH103" s="158"/>
      <c r="CI103" s="158"/>
      <c r="CJ103" s="158"/>
      <c r="CK103" s="158"/>
      <c r="CL103" s="158"/>
      <c r="CM103" s="158"/>
      <c r="CN103" s="158"/>
      <c r="CO103" s="158"/>
      <c r="CP103" s="158"/>
      <c r="CQ103" s="158"/>
      <c r="CR103" s="158"/>
      <c r="CS103" s="158"/>
      <c r="CT103" s="158"/>
      <c r="CU103" s="158"/>
      <c r="CV103" s="158"/>
      <c r="CW103" s="158"/>
      <c r="CX103" s="158"/>
      <c r="CY103" s="158"/>
      <c r="CZ103" s="158"/>
      <c r="DA103" s="158"/>
      <c r="DB103" s="158"/>
      <c r="DC103" s="158"/>
      <c r="DD103" s="158"/>
      <c r="DE103" s="158"/>
      <c r="DF103" s="158"/>
      <c r="DG103" s="158"/>
      <c r="DH103" s="158"/>
      <c r="DI103" s="158"/>
      <c r="DJ103" s="158"/>
      <c r="DK103" s="158"/>
      <c r="DL103" s="158"/>
      <c r="DM103" s="158"/>
      <c r="DN103" s="158"/>
      <c r="DO103" s="158"/>
      <c r="DP103" s="158"/>
      <c r="DQ103" s="158"/>
      <c r="DR103" s="158"/>
      <c r="DS103" s="158"/>
      <c r="DT103" s="158"/>
      <c r="DU103" s="158"/>
      <c r="DV103" s="158"/>
      <c r="DW103" s="158"/>
      <c r="DX103" s="158"/>
      <c r="DY103" s="158"/>
      <c r="DZ103" s="158"/>
      <c r="EA103" s="158"/>
      <c r="EB103" s="158"/>
      <c r="EC103" s="158"/>
      <c r="ED103" s="158"/>
      <c r="EE103" s="158"/>
      <c r="EF103" s="158"/>
      <c r="EG103" s="158"/>
      <c r="EH103" s="158"/>
      <c r="EI103" s="158"/>
      <c r="EJ103" s="158"/>
      <c r="EK103" s="158"/>
      <c r="EL103" s="158"/>
      <c r="EM103" s="158"/>
      <c r="EN103" s="158"/>
      <c r="EO103" s="158"/>
      <c r="EP103" s="158"/>
      <c r="EQ103" s="158"/>
      <c r="ER103" s="158"/>
      <c r="ES103" s="158"/>
      <c r="ET103" s="158"/>
      <c r="EU103" s="158"/>
      <c r="EV103" s="158"/>
      <c r="EW103" s="158"/>
      <c r="EX103" s="158"/>
      <c r="EY103" s="158"/>
      <c r="EZ103" s="158"/>
      <c r="FA103" s="158"/>
      <c r="FB103" s="158"/>
      <c r="FC103" s="158"/>
      <c r="FD103" s="158"/>
      <c r="FE103" s="158"/>
      <c r="FF103" s="158"/>
      <c r="FG103" s="158"/>
      <c r="FH103" s="158"/>
      <c r="FI103" s="158"/>
      <c r="FJ103" s="158"/>
      <c r="FK103" s="158"/>
      <c r="FL103" s="158"/>
      <c r="FM103" s="158"/>
      <c r="FN103" s="158"/>
      <c r="FO103" s="158"/>
      <c r="FP103" s="158"/>
      <c r="FQ103" s="158"/>
      <c r="FR103" s="158"/>
      <c r="FS103" s="158"/>
      <c r="FT103" s="158"/>
      <c r="FU103" s="158"/>
      <c r="FV103" s="158"/>
      <c r="FW103" s="158"/>
      <c r="FX103" s="158"/>
      <c r="FY103" s="158"/>
      <c r="FZ103" s="158"/>
      <c r="GA103" s="158"/>
      <c r="GB103" s="158"/>
      <c r="GC103" s="158"/>
      <c r="GD103" s="158"/>
      <c r="GE103" s="158"/>
      <c r="GF103" s="158"/>
      <c r="GG103" s="158"/>
      <c r="GH103" s="158"/>
      <c r="GI103" s="158"/>
      <c r="GJ103" s="158"/>
      <c r="GK103" s="158"/>
      <c r="GL103" s="158"/>
      <c r="GM103" s="158"/>
      <c r="GN103" s="158"/>
      <c r="GO103" s="158"/>
      <c r="GP103" s="158"/>
      <c r="GQ103" s="158"/>
      <c r="GR103" s="158"/>
      <c r="GS103" s="158"/>
      <c r="GT103" s="158"/>
      <c r="GU103" s="158"/>
      <c r="GV103" s="158"/>
      <c r="GW103" s="158"/>
      <c r="GX103" s="158"/>
      <c r="GY103" s="158"/>
      <c r="GZ103" s="158"/>
      <c r="HA103" s="158"/>
      <c r="HB103" s="158"/>
      <c r="HC103" s="158"/>
      <c r="HD103" s="158"/>
      <c r="HE103" s="158"/>
      <c r="HF103" s="158"/>
      <c r="HG103" s="158"/>
      <c r="HH103" s="158"/>
      <c r="HI103" s="158"/>
      <c r="HJ103" s="158"/>
      <c r="HK103" s="158"/>
      <c r="HL103" s="158"/>
    </row>
    <row r="104" spans="1:220">
      <c r="A104" s="49"/>
      <c r="B104" s="105" t="s">
        <v>351</v>
      </c>
      <c r="C104" s="162" t="s">
        <v>735</v>
      </c>
      <c r="D104" s="145">
        <f>Output_Human!I7</f>
        <v>0</v>
      </c>
      <c r="E104" s="158"/>
      <c r="F104" s="158"/>
      <c r="G104" s="158"/>
      <c r="H104" s="158"/>
      <c r="I104" s="158"/>
      <c r="J104" s="158"/>
      <c r="K104" s="158"/>
      <c r="L104" s="158"/>
      <c r="M104" s="158"/>
      <c r="N104" s="158"/>
      <c r="O104" s="158"/>
      <c r="P104" s="158"/>
      <c r="Q104" s="158"/>
      <c r="R104" s="158"/>
      <c r="S104" s="158"/>
      <c r="T104" s="158"/>
      <c r="U104" s="158"/>
      <c r="V104" s="158"/>
      <c r="W104" s="158"/>
      <c r="X104" s="158"/>
      <c r="Y104" s="158"/>
      <c r="Z104" s="158"/>
      <c r="AA104" s="158"/>
      <c r="AB104" s="158"/>
      <c r="AC104" s="158"/>
      <c r="AD104" s="158"/>
      <c r="AE104" s="158"/>
      <c r="AF104" s="158"/>
      <c r="AG104" s="158"/>
      <c r="AH104" s="158"/>
      <c r="AI104" s="158"/>
      <c r="AJ104" s="158"/>
      <c r="AK104" s="158"/>
      <c r="AL104" s="158"/>
      <c r="AM104" s="158"/>
      <c r="AN104" s="158"/>
      <c r="AO104" s="158"/>
      <c r="AP104" s="158"/>
      <c r="AQ104" s="158"/>
      <c r="AR104" s="158"/>
      <c r="AS104" s="158"/>
      <c r="AT104" s="158"/>
      <c r="AU104" s="158"/>
      <c r="AV104" s="158"/>
      <c r="AW104" s="158"/>
      <c r="AX104" s="158"/>
      <c r="AY104" s="158"/>
      <c r="AZ104" s="158"/>
      <c r="BA104" s="158"/>
      <c r="BB104" s="158"/>
      <c r="BC104" s="158"/>
      <c r="BD104" s="158"/>
      <c r="BE104" s="158"/>
      <c r="BF104" s="158"/>
      <c r="BG104" s="158"/>
      <c r="BH104" s="158"/>
      <c r="BI104" s="158"/>
      <c r="BJ104" s="158"/>
      <c r="BK104" s="158"/>
      <c r="BL104" s="158"/>
      <c r="BM104" s="158"/>
      <c r="BN104" s="158"/>
      <c r="BO104" s="158"/>
      <c r="BP104" s="158"/>
      <c r="BQ104" s="158"/>
      <c r="BR104" s="158"/>
      <c r="BS104" s="158"/>
      <c r="BT104" s="158"/>
      <c r="BU104" s="158"/>
      <c r="BV104" s="158"/>
      <c r="BW104" s="158"/>
      <c r="BX104" s="158"/>
      <c r="BY104" s="158"/>
      <c r="BZ104" s="158"/>
      <c r="CA104" s="158"/>
      <c r="CB104" s="158"/>
      <c r="CC104" s="158"/>
      <c r="CD104" s="158"/>
      <c r="CE104" s="158"/>
      <c r="CF104" s="158"/>
      <c r="CG104" s="158"/>
      <c r="CH104" s="158"/>
      <c r="CI104" s="158"/>
      <c r="CJ104" s="158"/>
      <c r="CK104" s="158"/>
      <c r="CL104" s="158"/>
      <c r="CM104" s="158"/>
      <c r="CN104" s="158"/>
      <c r="CO104" s="158"/>
      <c r="CP104" s="158"/>
      <c r="CQ104" s="158"/>
      <c r="CR104" s="158"/>
      <c r="CS104" s="158"/>
      <c r="CT104" s="158"/>
      <c r="CU104" s="158"/>
      <c r="CV104" s="158"/>
      <c r="CW104" s="158"/>
      <c r="CX104" s="158"/>
      <c r="CY104" s="158"/>
      <c r="CZ104" s="158"/>
      <c r="DA104" s="158"/>
      <c r="DB104" s="158"/>
      <c r="DC104" s="158"/>
      <c r="DD104" s="158"/>
      <c r="DE104" s="158"/>
      <c r="DF104" s="158"/>
      <c r="DG104" s="158"/>
      <c r="DH104" s="158"/>
      <c r="DI104" s="158"/>
      <c r="DJ104" s="158"/>
      <c r="DK104" s="158"/>
      <c r="DL104" s="158"/>
      <c r="DM104" s="158"/>
      <c r="DN104" s="158"/>
      <c r="DO104" s="158"/>
      <c r="DP104" s="158"/>
      <c r="DQ104" s="158"/>
      <c r="DR104" s="158"/>
      <c r="DS104" s="158"/>
      <c r="DT104" s="158"/>
      <c r="DU104" s="158"/>
      <c r="DV104" s="158"/>
      <c r="DW104" s="158"/>
      <c r="DX104" s="158"/>
      <c r="DY104" s="158"/>
      <c r="DZ104" s="158"/>
      <c r="EA104" s="158"/>
      <c r="EB104" s="158"/>
      <c r="EC104" s="158"/>
      <c r="ED104" s="158"/>
      <c r="EE104" s="158"/>
      <c r="EF104" s="158"/>
      <c r="EG104" s="158"/>
      <c r="EH104" s="158"/>
      <c r="EI104" s="158"/>
      <c r="EJ104" s="158"/>
      <c r="EK104" s="158"/>
      <c r="EL104" s="158"/>
      <c r="EM104" s="158"/>
      <c r="EN104" s="158"/>
      <c r="EO104" s="158"/>
      <c r="EP104" s="158"/>
      <c r="EQ104" s="158"/>
      <c r="ER104" s="158"/>
      <c r="ES104" s="158"/>
      <c r="ET104" s="158"/>
      <c r="EU104" s="158"/>
      <c r="EV104" s="158"/>
      <c r="EW104" s="158"/>
      <c r="EX104" s="158"/>
      <c r="EY104" s="158"/>
      <c r="EZ104" s="158"/>
      <c r="FA104" s="158"/>
      <c r="FB104" s="158"/>
      <c r="FC104" s="158"/>
      <c r="FD104" s="158"/>
      <c r="FE104" s="158"/>
      <c r="FF104" s="158"/>
      <c r="FG104" s="158"/>
      <c r="FH104" s="158"/>
      <c r="FI104" s="158"/>
      <c r="FJ104" s="158"/>
      <c r="FK104" s="158"/>
      <c r="FL104" s="158"/>
      <c r="FM104" s="158"/>
      <c r="FN104" s="158"/>
      <c r="FO104" s="158"/>
      <c r="FP104" s="158"/>
      <c r="FQ104" s="158"/>
      <c r="FR104" s="158"/>
      <c r="FS104" s="158"/>
      <c r="FT104" s="158"/>
      <c r="FU104" s="158"/>
      <c r="FV104" s="158"/>
      <c r="FW104" s="158"/>
      <c r="FX104" s="158"/>
      <c r="FY104" s="158"/>
      <c r="FZ104" s="158"/>
      <c r="GA104" s="158"/>
      <c r="GB104" s="158"/>
      <c r="GC104" s="158"/>
      <c r="GD104" s="158"/>
      <c r="GE104" s="158"/>
      <c r="GF104" s="158"/>
      <c r="GG104" s="158"/>
      <c r="GH104" s="158"/>
      <c r="GI104" s="158"/>
      <c r="GJ104" s="158"/>
      <c r="GK104" s="158"/>
      <c r="GL104" s="158"/>
      <c r="GM104" s="158"/>
      <c r="GN104" s="158"/>
      <c r="GO104" s="158"/>
      <c r="GP104" s="158"/>
      <c r="GQ104" s="158"/>
      <c r="GR104" s="158"/>
      <c r="GS104" s="158"/>
      <c r="GT104" s="158"/>
      <c r="GU104" s="158"/>
      <c r="GV104" s="158"/>
      <c r="GW104" s="158"/>
      <c r="GX104" s="158"/>
      <c r="GY104" s="158"/>
      <c r="GZ104" s="158"/>
      <c r="HA104" s="158"/>
      <c r="HB104" s="158"/>
      <c r="HC104" s="158"/>
      <c r="HD104" s="158"/>
      <c r="HE104" s="158"/>
      <c r="HF104" s="158"/>
      <c r="HG104" s="158"/>
      <c r="HH104" s="158"/>
      <c r="HI104" s="158"/>
      <c r="HJ104" s="158"/>
      <c r="HK104" s="158"/>
      <c r="HL104" s="158"/>
    </row>
    <row r="105" spans="1:220">
      <c r="A105" s="49"/>
      <c r="B105" s="105" t="s">
        <v>352</v>
      </c>
      <c r="C105" s="162" t="s">
        <v>736</v>
      </c>
      <c r="D105" s="145">
        <f>Output_Human!I18</f>
        <v>0</v>
      </c>
      <c r="E105" s="158"/>
      <c r="F105" s="158"/>
      <c r="G105" s="158"/>
      <c r="H105" s="158"/>
      <c r="I105" s="158"/>
      <c r="J105" s="158"/>
      <c r="K105" s="158"/>
      <c r="L105" s="158"/>
      <c r="M105" s="158"/>
      <c r="N105" s="158"/>
      <c r="O105" s="158"/>
      <c r="P105" s="158"/>
      <c r="Q105" s="158"/>
      <c r="R105" s="158"/>
      <c r="S105" s="158"/>
      <c r="T105" s="158"/>
      <c r="U105" s="158"/>
      <c r="V105" s="158"/>
      <c r="W105" s="158"/>
      <c r="X105" s="158"/>
      <c r="Y105" s="158"/>
      <c r="Z105" s="158"/>
      <c r="AA105" s="158"/>
      <c r="AB105" s="158"/>
      <c r="AC105" s="158"/>
      <c r="AD105" s="158"/>
      <c r="AE105" s="158"/>
      <c r="AF105" s="158"/>
      <c r="AG105" s="158"/>
      <c r="AH105" s="158"/>
      <c r="AI105" s="158"/>
      <c r="AJ105" s="158"/>
      <c r="AK105" s="158"/>
      <c r="AL105" s="158"/>
      <c r="AM105" s="158"/>
      <c r="AN105" s="158"/>
      <c r="AO105" s="158"/>
      <c r="AP105" s="158"/>
      <c r="AQ105" s="158"/>
      <c r="AR105" s="158"/>
      <c r="AS105" s="158"/>
      <c r="AT105" s="158"/>
      <c r="AU105" s="158"/>
      <c r="AV105" s="158"/>
      <c r="AW105" s="158"/>
      <c r="AX105" s="158"/>
      <c r="AY105" s="158"/>
      <c r="AZ105" s="158"/>
      <c r="BA105" s="158"/>
      <c r="BB105" s="158"/>
      <c r="BC105" s="158"/>
      <c r="BD105" s="158"/>
      <c r="BE105" s="158"/>
      <c r="BF105" s="158"/>
      <c r="BG105" s="158"/>
      <c r="BH105" s="158"/>
      <c r="BI105" s="158"/>
      <c r="BJ105" s="158"/>
      <c r="BK105" s="158"/>
      <c r="BL105" s="158"/>
      <c r="BM105" s="158"/>
      <c r="BN105" s="158"/>
      <c r="BO105" s="158"/>
      <c r="BP105" s="158"/>
      <c r="BQ105" s="158"/>
      <c r="BR105" s="158"/>
      <c r="BS105" s="158"/>
      <c r="BT105" s="158"/>
      <c r="BU105" s="158"/>
      <c r="BV105" s="158"/>
      <c r="BW105" s="158"/>
      <c r="BX105" s="158"/>
      <c r="BY105" s="158"/>
      <c r="BZ105" s="158"/>
      <c r="CA105" s="158"/>
      <c r="CB105" s="158"/>
      <c r="CC105" s="158"/>
      <c r="CD105" s="158"/>
      <c r="CE105" s="158"/>
      <c r="CF105" s="158"/>
      <c r="CG105" s="158"/>
      <c r="CH105" s="158"/>
      <c r="CI105" s="158"/>
      <c r="CJ105" s="158"/>
      <c r="CK105" s="158"/>
      <c r="CL105" s="158"/>
      <c r="CM105" s="158"/>
      <c r="CN105" s="158"/>
      <c r="CO105" s="158"/>
      <c r="CP105" s="158"/>
      <c r="CQ105" s="158"/>
      <c r="CR105" s="158"/>
      <c r="CS105" s="158"/>
      <c r="CT105" s="158"/>
      <c r="CU105" s="158"/>
      <c r="CV105" s="158"/>
      <c r="CW105" s="158"/>
      <c r="CX105" s="158"/>
      <c r="CY105" s="158"/>
      <c r="CZ105" s="158"/>
      <c r="DA105" s="158"/>
      <c r="DB105" s="158"/>
      <c r="DC105" s="158"/>
      <c r="DD105" s="158"/>
      <c r="DE105" s="158"/>
      <c r="DF105" s="158"/>
      <c r="DG105" s="158"/>
      <c r="DH105" s="158"/>
      <c r="DI105" s="158"/>
      <c r="DJ105" s="158"/>
      <c r="DK105" s="158"/>
      <c r="DL105" s="158"/>
      <c r="DM105" s="158"/>
      <c r="DN105" s="158"/>
      <c r="DO105" s="158"/>
      <c r="DP105" s="158"/>
      <c r="DQ105" s="158"/>
      <c r="DR105" s="158"/>
      <c r="DS105" s="158"/>
      <c r="DT105" s="158"/>
      <c r="DU105" s="158"/>
      <c r="DV105" s="158"/>
      <c r="DW105" s="158"/>
      <c r="DX105" s="158"/>
      <c r="DY105" s="158"/>
      <c r="DZ105" s="158"/>
      <c r="EA105" s="158"/>
      <c r="EB105" s="158"/>
      <c r="EC105" s="158"/>
      <c r="ED105" s="158"/>
      <c r="EE105" s="158"/>
      <c r="EF105" s="158"/>
      <c r="EG105" s="158"/>
      <c r="EH105" s="158"/>
      <c r="EI105" s="158"/>
      <c r="EJ105" s="158"/>
      <c r="EK105" s="158"/>
      <c r="EL105" s="158"/>
      <c r="EM105" s="158"/>
      <c r="EN105" s="158"/>
      <c r="EO105" s="158"/>
      <c r="EP105" s="158"/>
      <c r="EQ105" s="158"/>
      <c r="ER105" s="158"/>
      <c r="ES105" s="158"/>
      <c r="ET105" s="158"/>
      <c r="EU105" s="158"/>
      <c r="EV105" s="158"/>
      <c r="EW105" s="158"/>
      <c r="EX105" s="158"/>
      <c r="EY105" s="158"/>
      <c r="EZ105" s="158"/>
      <c r="FA105" s="158"/>
      <c r="FB105" s="158"/>
      <c r="FC105" s="158"/>
      <c r="FD105" s="158"/>
      <c r="FE105" s="158"/>
      <c r="FF105" s="158"/>
      <c r="FG105" s="158"/>
      <c r="FH105" s="158"/>
      <c r="FI105" s="158"/>
      <c r="FJ105" s="158"/>
      <c r="FK105" s="158"/>
      <c r="FL105" s="158"/>
      <c r="FM105" s="158"/>
      <c r="FN105" s="158"/>
      <c r="FO105" s="158"/>
      <c r="FP105" s="158"/>
      <c r="FQ105" s="158"/>
      <c r="FR105" s="158"/>
      <c r="FS105" s="158"/>
      <c r="FT105" s="158"/>
      <c r="FU105" s="158"/>
      <c r="FV105" s="158"/>
      <c r="FW105" s="158"/>
      <c r="FX105" s="158"/>
      <c r="FY105" s="158"/>
      <c r="FZ105" s="158"/>
      <c r="GA105" s="158"/>
      <c r="GB105" s="158"/>
      <c r="GC105" s="158"/>
      <c r="GD105" s="158"/>
      <c r="GE105" s="158"/>
      <c r="GF105" s="158"/>
      <c r="GG105" s="158"/>
      <c r="GH105" s="158"/>
      <c r="GI105" s="158"/>
      <c r="GJ105" s="158"/>
      <c r="GK105" s="158"/>
      <c r="GL105" s="158"/>
      <c r="GM105" s="158"/>
      <c r="GN105" s="158"/>
      <c r="GO105" s="158"/>
      <c r="GP105" s="158"/>
      <c r="GQ105" s="158"/>
      <c r="GR105" s="158"/>
      <c r="GS105" s="158"/>
      <c r="GT105" s="158"/>
      <c r="GU105" s="158"/>
      <c r="GV105" s="158"/>
      <c r="GW105" s="158"/>
      <c r="GX105" s="158"/>
      <c r="GY105" s="158"/>
      <c r="GZ105" s="158"/>
      <c r="HA105" s="158"/>
      <c r="HB105" s="158"/>
      <c r="HC105" s="158"/>
      <c r="HD105" s="158"/>
      <c r="HE105" s="158"/>
      <c r="HF105" s="158"/>
      <c r="HG105" s="158"/>
      <c r="HH105" s="158"/>
      <c r="HI105" s="158"/>
      <c r="HJ105" s="158"/>
      <c r="HK105" s="158"/>
      <c r="HL105" s="158"/>
    </row>
    <row r="106" spans="1:220">
      <c r="A106" s="49"/>
      <c r="B106" s="105" t="s">
        <v>353</v>
      </c>
      <c r="C106" s="162" t="s">
        <v>737</v>
      </c>
      <c r="D106" s="145">
        <f>Output_Human!I29</f>
        <v>0</v>
      </c>
      <c r="E106" s="158"/>
      <c r="F106" s="158"/>
      <c r="G106" s="158"/>
      <c r="H106" s="158"/>
      <c r="I106" s="158"/>
      <c r="J106" s="158"/>
      <c r="K106" s="158"/>
      <c r="L106" s="158"/>
      <c r="M106" s="158"/>
      <c r="N106" s="158"/>
      <c r="O106" s="158"/>
      <c r="P106" s="158"/>
      <c r="Q106" s="158"/>
      <c r="R106" s="158"/>
      <c r="S106" s="158"/>
      <c r="T106" s="158"/>
      <c r="U106" s="158"/>
      <c r="V106" s="158"/>
      <c r="W106" s="158"/>
      <c r="X106" s="158"/>
      <c r="Y106" s="158"/>
      <c r="Z106" s="158"/>
      <c r="AA106" s="158"/>
      <c r="AB106" s="158"/>
      <c r="AC106" s="158"/>
      <c r="AD106" s="158"/>
      <c r="AE106" s="158"/>
      <c r="AF106" s="158"/>
      <c r="AG106" s="158"/>
      <c r="AH106" s="158"/>
      <c r="AI106" s="158"/>
      <c r="AJ106" s="158"/>
      <c r="AK106" s="158"/>
      <c r="AL106" s="158"/>
      <c r="AM106" s="158"/>
      <c r="AN106" s="158"/>
      <c r="AO106" s="158"/>
      <c r="AP106" s="158"/>
      <c r="AQ106" s="158"/>
      <c r="AR106" s="158"/>
      <c r="AS106" s="158"/>
      <c r="AT106" s="158"/>
      <c r="AU106" s="158"/>
      <c r="AV106" s="158"/>
      <c r="AW106" s="158"/>
      <c r="AX106" s="158"/>
      <c r="AY106" s="158"/>
      <c r="AZ106" s="158"/>
      <c r="BA106" s="158"/>
      <c r="BB106" s="158"/>
      <c r="BC106" s="158"/>
      <c r="BD106" s="158"/>
      <c r="BE106" s="158"/>
      <c r="BF106" s="158"/>
      <c r="BG106" s="158"/>
      <c r="BH106" s="158"/>
      <c r="BI106" s="158"/>
      <c r="BJ106" s="158"/>
      <c r="BK106" s="158"/>
      <c r="BL106" s="158"/>
      <c r="BM106" s="158"/>
      <c r="BN106" s="158"/>
      <c r="BO106" s="158"/>
      <c r="BP106" s="158"/>
      <c r="BQ106" s="158"/>
      <c r="BR106" s="158"/>
      <c r="BS106" s="158"/>
      <c r="BT106" s="158"/>
      <c r="BU106" s="158"/>
      <c r="BV106" s="158"/>
      <c r="BW106" s="158"/>
      <c r="BX106" s="158"/>
      <c r="BY106" s="158"/>
      <c r="BZ106" s="158"/>
      <c r="CA106" s="158"/>
      <c r="CB106" s="158"/>
      <c r="CC106" s="158"/>
      <c r="CD106" s="158"/>
      <c r="CE106" s="158"/>
      <c r="CF106" s="158"/>
      <c r="CG106" s="158"/>
      <c r="CH106" s="158"/>
      <c r="CI106" s="158"/>
      <c r="CJ106" s="158"/>
      <c r="CK106" s="158"/>
      <c r="CL106" s="158"/>
      <c r="CM106" s="158"/>
      <c r="CN106" s="158"/>
      <c r="CO106" s="158"/>
      <c r="CP106" s="158"/>
      <c r="CQ106" s="158"/>
      <c r="CR106" s="158"/>
      <c r="CS106" s="158"/>
      <c r="CT106" s="158"/>
      <c r="CU106" s="158"/>
      <c r="CV106" s="158"/>
      <c r="CW106" s="158"/>
      <c r="CX106" s="158"/>
      <c r="CY106" s="158"/>
      <c r="CZ106" s="158"/>
      <c r="DA106" s="158"/>
      <c r="DB106" s="158"/>
      <c r="DC106" s="158"/>
      <c r="DD106" s="158"/>
      <c r="DE106" s="158"/>
      <c r="DF106" s="158"/>
      <c r="DG106" s="158"/>
      <c r="DH106" s="158"/>
      <c r="DI106" s="158"/>
      <c r="DJ106" s="158"/>
      <c r="DK106" s="158"/>
      <c r="DL106" s="158"/>
      <c r="DM106" s="158"/>
      <c r="DN106" s="158"/>
      <c r="DO106" s="158"/>
      <c r="DP106" s="158"/>
      <c r="DQ106" s="158"/>
      <c r="DR106" s="158"/>
      <c r="DS106" s="158"/>
      <c r="DT106" s="158"/>
      <c r="DU106" s="158"/>
      <c r="DV106" s="158"/>
      <c r="DW106" s="158"/>
      <c r="DX106" s="158"/>
      <c r="DY106" s="158"/>
      <c r="DZ106" s="158"/>
      <c r="EA106" s="158"/>
      <c r="EB106" s="158"/>
      <c r="EC106" s="158"/>
      <c r="ED106" s="158"/>
      <c r="EE106" s="158"/>
      <c r="EF106" s="158"/>
      <c r="EG106" s="158"/>
      <c r="EH106" s="158"/>
      <c r="EI106" s="158"/>
      <c r="EJ106" s="158"/>
      <c r="EK106" s="158"/>
      <c r="EL106" s="158"/>
      <c r="EM106" s="158"/>
      <c r="EN106" s="158"/>
      <c r="EO106" s="158"/>
      <c r="EP106" s="158"/>
      <c r="EQ106" s="158"/>
      <c r="ER106" s="158"/>
      <c r="ES106" s="158"/>
      <c r="ET106" s="158"/>
      <c r="EU106" s="158"/>
      <c r="EV106" s="158"/>
      <c r="EW106" s="158"/>
      <c r="EX106" s="158"/>
      <c r="EY106" s="158"/>
      <c r="EZ106" s="158"/>
      <c r="FA106" s="158"/>
      <c r="FB106" s="158"/>
      <c r="FC106" s="158"/>
      <c r="FD106" s="158"/>
      <c r="FE106" s="158"/>
      <c r="FF106" s="158"/>
      <c r="FG106" s="158"/>
      <c r="FH106" s="158"/>
      <c r="FI106" s="158"/>
      <c r="FJ106" s="158"/>
      <c r="FK106" s="158"/>
      <c r="FL106" s="158"/>
      <c r="FM106" s="158"/>
      <c r="FN106" s="158"/>
      <c r="FO106" s="158"/>
      <c r="FP106" s="158"/>
      <c r="FQ106" s="158"/>
      <c r="FR106" s="158"/>
      <c r="FS106" s="158"/>
      <c r="FT106" s="158"/>
      <c r="FU106" s="158"/>
      <c r="FV106" s="158"/>
      <c r="FW106" s="158"/>
      <c r="FX106" s="158"/>
      <c r="FY106" s="158"/>
      <c r="FZ106" s="158"/>
      <c r="GA106" s="158"/>
      <c r="GB106" s="158"/>
      <c r="GC106" s="158"/>
      <c r="GD106" s="158"/>
      <c r="GE106" s="158"/>
      <c r="GF106" s="158"/>
      <c r="GG106" s="158"/>
      <c r="GH106" s="158"/>
      <c r="GI106" s="158"/>
      <c r="GJ106" s="158"/>
      <c r="GK106" s="158"/>
      <c r="GL106" s="158"/>
      <c r="GM106" s="158"/>
      <c r="GN106" s="158"/>
      <c r="GO106" s="158"/>
      <c r="GP106" s="158"/>
      <c r="GQ106" s="158"/>
      <c r="GR106" s="158"/>
      <c r="GS106" s="158"/>
      <c r="GT106" s="158"/>
      <c r="GU106" s="158"/>
      <c r="GV106" s="158"/>
      <c r="GW106" s="158"/>
      <c r="GX106" s="158"/>
      <c r="GY106" s="158"/>
      <c r="GZ106" s="158"/>
      <c r="HA106" s="158"/>
      <c r="HB106" s="158"/>
      <c r="HC106" s="158"/>
      <c r="HD106" s="158"/>
      <c r="HE106" s="158"/>
      <c r="HF106" s="158"/>
      <c r="HG106" s="158"/>
      <c r="HH106" s="158"/>
      <c r="HI106" s="158"/>
      <c r="HJ106" s="158"/>
      <c r="HK106" s="158"/>
      <c r="HL106" s="158"/>
    </row>
    <row r="107" spans="1:220">
      <c r="A107" s="49"/>
      <c r="B107" s="105" t="s">
        <v>354</v>
      </c>
      <c r="C107" s="162" t="s">
        <v>738</v>
      </c>
      <c r="D107" s="145">
        <f>Output_Human!K7</f>
        <v>0</v>
      </c>
      <c r="E107" s="158"/>
      <c r="F107" s="158"/>
      <c r="G107" s="158"/>
      <c r="H107" s="158"/>
      <c r="I107" s="158"/>
      <c r="J107" s="158"/>
      <c r="K107" s="158"/>
      <c r="L107" s="158"/>
      <c r="M107" s="158"/>
      <c r="N107" s="158"/>
      <c r="O107" s="158"/>
      <c r="P107" s="158"/>
      <c r="Q107" s="158"/>
      <c r="R107" s="158"/>
      <c r="S107" s="158"/>
      <c r="T107" s="158"/>
      <c r="U107" s="158"/>
      <c r="V107" s="158"/>
      <c r="W107" s="158"/>
      <c r="X107" s="158"/>
      <c r="Y107" s="158"/>
      <c r="Z107" s="158"/>
      <c r="AA107" s="158"/>
      <c r="AB107" s="158"/>
      <c r="AC107" s="158"/>
      <c r="AD107" s="158"/>
      <c r="AE107" s="158"/>
      <c r="AF107" s="158"/>
      <c r="AG107" s="158"/>
      <c r="AH107" s="158"/>
      <c r="AI107" s="158"/>
      <c r="AJ107" s="158"/>
      <c r="AK107" s="158"/>
      <c r="AL107" s="158"/>
      <c r="AM107" s="158"/>
      <c r="AN107" s="158"/>
      <c r="AO107" s="158"/>
      <c r="AP107" s="158"/>
      <c r="AQ107" s="158"/>
      <c r="AR107" s="158"/>
      <c r="AS107" s="158"/>
      <c r="AT107" s="158"/>
      <c r="AU107" s="158"/>
      <c r="AV107" s="158"/>
      <c r="AW107" s="158"/>
      <c r="AX107" s="158"/>
      <c r="AY107" s="158"/>
      <c r="AZ107" s="158"/>
      <c r="BA107" s="158"/>
      <c r="BB107" s="158"/>
      <c r="BC107" s="158"/>
      <c r="BD107" s="158"/>
      <c r="BE107" s="158"/>
      <c r="BF107" s="158"/>
      <c r="BG107" s="158"/>
      <c r="BH107" s="158"/>
      <c r="BI107" s="158"/>
      <c r="BJ107" s="158"/>
      <c r="BK107" s="158"/>
      <c r="BL107" s="158"/>
      <c r="BM107" s="158"/>
      <c r="BN107" s="158"/>
      <c r="BO107" s="158"/>
      <c r="BP107" s="158"/>
      <c r="BQ107" s="158"/>
      <c r="BR107" s="158"/>
      <c r="BS107" s="158"/>
      <c r="BT107" s="158"/>
      <c r="BU107" s="158"/>
      <c r="BV107" s="158"/>
      <c r="BW107" s="158"/>
      <c r="BX107" s="158"/>
      <c r="BY107" s="158"/>
      <c r="BZ107" s="158"/>
      <c r="CA107" s="158"/>
      <c r="CB107" s="158"/>
      <c r="CC107" s="158"/>
      <c r="CD107" s="158"/>
      <c r="CE107" s="158"/>
      <c r="CF107" s="158"/>
      <c r="CG107" s="158"/>
      <c r="CH107" s="158"/>
      <c r="CI107" s="158"/>
      <c r="CJ107" s="158"/>
      <c r="CK107" s="158"/>
      <c r="CL107" s="158"/>
      <c r="CM107" s="158"/>
      <c r="CN107" s="158"/>
      <c r="CO107" s="158"/>
      <c r="CP107" s="158"/>
      <c r="CQ107" s="158"/>
      <c r="CR107" s="158"/>
      <c r="CS107" s="158"/>
      <c r="CT107" s="158"/>
      <c r="CU107" s="158"/>
      <c r="CV107" s="158"/>
      <c r="CW107" s="158"/>
      <c r="CX107" s="158"/>
      <c r="CY107" s="158"/>
      <c r="CZ107" s="158"/>
      <c r="DA107" s="158"/>
      <c r="DB107" s="158"/>
      <c r="DC107" s="158"/>
      <c r="DD107" s="158"/>
      <c r="DE107" s="158"/>
      <c r="DF107" s="158"/>
      <c r="DG107" s="158"/>
      <c r="DH107" s="158"/>
      <c r="DI107" s="158"/>
      <c r="DJ107" s="158"/>
      <c r="DK107" s="158"/>
      <c r="DL107" s="158"/>
      <c r="DM107" s="158"/>
      <c r="DN107" s="158"/>
      <c r="DO107" s="158"/>
      <c r="DP107" s="158"/>
      <c r="DQ107" s="158"/>
      <c r="DR107" s="158"/>
      <c r="DS107" s="158"/>
      <c r="DT107" s="158"/>
      <c r="DU107" s="158"/>
      <c r="DV107" s="158"/>
      <c r="DW107" s="158"/>
      <c r="DX107" s="158"/>
      <c r="DY107" s="158"/>
      <c r="DZ107" s="158"/>
      <c r="EA107" s="158"/>
      <c r="EB107" s="158"/>
      <c r="EC107" s="158"/>
      <c r="ED107" s="158"/>
      <c r="EE107" s="158"/>
      <c r="EF107" s="158"/>
      <c r="EG107" s="158"/>
      <c r="EH107" s="158"/>
      <c r="EI107" s="158"/>
      <c r="EJ107" s="158"/>
      <c r="EK107" s="158"/>
      <c r="EL107" s="158"/>
      <c r="EM107" s="158"/>
      <c r="EN107" s="158"/>
      <c r="EO107" s="158"/>
      <c r="EP107" s="158"/>
      <c r="EQ107" s="158"/>
      <c r="ER107" s="158"/>
      <c r="ES107" s="158"/>
      <c r="ET107" s="158"/>
      <c r="EU107" s="158"/>
      <c r="EV107" s="158"/>
      <c r="EW107" s="158"/>
      <c r="EX107" s="158"/>
      <c r="EY107" s="158"/>
      <c r="EZ107" s="158"/>
      <c r="FA107" s="158"/>
      <c r="FB107" s="158"/>
      <c r="FC107" s="158"/>
      <c r="FD107" s="158"/>
      <c r="FE107" s="158"/>
      <c r="FF107" s="158"/>
      <c r="FG107" s="158"/>
      <c r="FH107" s="158"/>
      <c r="FI107" s="158"/>
      <c r="FJ107" s="158"/>
      <c r="FK107" s="158"/>
      <c r="FL107" s="158"/>
      <c r="FM107" s="158"/>
      <c r="FN107" s="158"/>
      <c r="FO107" s="158"/>
      <c r="FP107" s="158"/>
      <c r="FQ107" s="158"/>
      <c r="FR107" s="158"/>
      <c r="FS107" s="158"/>
      <c r="FT107" s="158"/>
      <c r="FU107" s="158"/>
      <c r="FV107" s="158"/>
      <c r="FW107" s="158"/>
      <c r="FX107" s="158"/>
      <c r="FY107" s="158"/>
      <c r="FZ107" s="158"/>
      <c r="GA107" s="158"/>
      <c r="GB107" s="158"/>
      <c r="GC107" s="158"/>
      <c r="GD107" s="158"/>
      <c r="GE107" s="158"/>
      <c r="GF107" s="158"/>
      <c r="GG107" s="158"/>
      <c r="GH107" s="158"/>
      <c r="GI107" s="158"/>
      <c r="GJ107" s="158"/>
      <c r="GK107" s="158"/>
      <c r="GL107" s="158"/>
      <c r="GM107" s="158"/>
      <c r="GN107" s="158"/>
      <c r="GO107" s="158"/>
      <c r="GP107" s="158"/>
      <c r="GQ107" s="158"/>
      <c r="GR107" s="158"/>
      <c r="GS107" s="158"/>
      <c r="GT107" s="158"/>
      <c r="GU107" s="158"/>
      <c r="GV107" s="158"/>
      <c r="GW107" s="158"/>
      <c r="GX107" s="158"/>
      <c r="GY107" s="158"/>
      <c r="GZ107" s="158"/>
      <c r="HA107" s="158"/>
      <c r="HB107" s="158"/>
      <c r="HC107" s="158"/>
      <c r="HD107" s="158"/>
      <c r="HE107" s="158"/>
      <c r="HF107" s="158"/>
      <c r="HG107" s="158"/>
      <c r="HH107" s="158"/>
      <c r="HI107" s="158"/>
      <c r="HJ107" s="158"/>
      <c r="HK107" s="158"/>
      <c r="HL107" s="158"/>
    </row>
    <row r="108" spans="1:220">
      <c r="A108" s="49"/>
      <c r="B108" s="105" t="s">
        <v>355</v>
      </c>
      <c r="C108" s="162" t="s">
        <v>739</v>
      </c>
      <c r="D108" s="145">
        <f>Output_Human!K18</f>
        <v>0</v>
      </c>
      <c r="E108" s="158"/>
      <c r="F108" s="158"/>
      <c r="G108" s="158"/>
      <c r="H108" s="158"/>
      <c r="I108" s="158"/>
      <c r="J108" s="158"/>
      <c r="K108" s="158"/>
      <c r="L108" s="158"/>
      <c r="M108" s="158"/>
      <c r="N108" s="158"/>
      <c r="O108" s="158"/>
      <c r="P108" s="158"/>
      <c r="Q108" s="158"/>
      <c r="R108" s="158"/>
      <c r="S108" s="158"/>
      <c r="T108" s="158"/>
      <c r="U108" s="158"/>
      <c r="V108" s="158"/>
      <c r="W108" s="158"/>
      <c r="X108" s="158"/>
      <c r="Y108" s="158"/>
      <c r="Z108" s="158"/>
      <c r="AA108" s="158"/>
      <c r="AB108" s="158"/>
      <c r="AC108" s="158"/>
      <c r="AD108" s="158"/>
      <c r="AE108" s="158"/>
      <c r="AF108" s="158"/>
      <c r="AG108" s="158"/>
      <c r="AH108" s="158"/>
      <c r="AI108" s="158"/>
      <c r="AJ108" s="158"/>
      <c r="AK108" s="158"/>
      <c r="AL108" s="158"/>
      <c r="AM108" s="158"/>
      <c r="AN108" s="158"/>
      <c r="AO108" s="158"/>
      <c r="AP108" s="158"/>
      <c r="AQ108" s="158"/>
      <c r="AR108" s="158"/>
      <c r="AS108" s="158"/>
      <c r="AT108" s="158"/>
      <c r="AU108" s="158"/>
      <c r="AV108" s="158"/>
      <c r="AW108" s="158"/>
      <c r="AX108" s="158"/>
      <c r="AY108" s="158"/>
      <c r="AZ108" s="158"/>
      <c r="BA108" s="158"/>
      <c r="BB108" s="158"/>
      <c r="BC108" s="158"/>
      <c r="BD108" s="158"/>
      <c r="BE108" s="158"/>
      <c r="BF108" s="158"/>
      <c r="BG108" s="158"/>
      <c r="BH108" s="158"/>
      <c r="BI108" s="158"/>
      <c r="BJ108" s="158"/>
      <c r="BK108" s="158"/>
      <c r="BL108" s="158"/>
      <c r="BM108" s="158"/>
      <c r="BN108" s="158"/>
      <c r="BO108" s="158"/>
      <c r="BP108" s="158"/>
      <c r="BQ108" s="158"/>
      <c r="BR108" s="158"/>
      <c r="BS108" s="158"/>
      <c r="BT108" s="158"/>
      <c r="BU108" s="158"/>
      <c r="BV108" s="158"/>
      <c r="BW108" s="158"/>
      <c r="BX108" s="158"/>
      <c r="BY108" s="158"/>
      <c r="BZ108" s="158"/>
      <c r="CA108" s="158"/>
      <c r="CB108" s="158"/>
      <c r="CC108" s="158"/>
      <c r="CD108" s="158"/>
      <c r="CE108" s="158"/>
      <c r="CF108" s="158"/>
      <c r="CG108" s="158"/>
      <c r="CH108" s="158"/>
      <c r="CI108" s="158"/>
      <c r="CJ108" s="158"/>
      <c r="CK108" s="158"/>
      <c r="CL108" s="158"/>
      <c r="CM108" s="158"/>
      <c r="CN108" s="158"/>
      <c r="CO108" s="158"/>
      <c r="CP108" s="158"/>
      <c r="CQ108" s="158"/>
      <c r="CR108" s="158"/>
      <c r="CS108" s="158"/>
      <c r="CT108" s="158"/>
      <c r="CU108" s="158"/>
      <c r="CV108" s="158"/>
      <c r="CW108" s="158"/>
      <c r="CX108" s="158"/>
      <c r="CY108" s="158"/>
      <c r="CZ108" s="158"/>
      <c r="DA108" s="158"/>
      <c r="DB108" s="158"/>
      <c r="DC108" s="158"/>
      <c r="DD108" s="158"/>
      <c r="DE108" s="158"/>
      <c r="DF108" s="158"/>
      <c r="DG108" s="158"/>
      <c r="DH108" s="158"/>
      <c r="DI108" s="158"/>
      <c r="DJ108" s="158"/>
      <c r="DK108" s="158"/>
      <c r="DL108" s="158"/>
      <c r="DM108" s="158"/>
      <c r="DN108" s="158"/>
      <c r="DO108" s="158"/>
      <c r="DP108" s="158"/>
      <c r="DQ108" s="158"/>
      <c r="DR108" s="158"/>
      <c r="DS108" s="158"/>
      <c r="DT108" s="158"/>
      <c r="DU108" s="158"/>
      <c r="DV108" s="158"/>
      <c r="DW108" s="158"/>
      <c r="DX108" s="158"/>
      <c r="DY108" s="158"/>
      <c r="DZ108" s="158"/>
      <c r="EA108" s="158"/>
      <c r="EB108" s="158"/>
      <c r="EC108" s="158"/>
      <c r="ED108" s="158"/>
      <c r="EE108" s="158"/>
      <c r="EF108" s="158"/>
      <c r="EG108" s="158"/>
      <c r="EH108" s="158"/>
      <c r="EI108" s="158"/>
      <c r="EJ108" s="158"/>
      <c r="EK108" s="158"/>
      <c r="EL108" s="158"/>
      <c r="EM108" s="158"/>
      <c r="EN108" s="158"/>
      <c r="EO108" s="158"/>
      <c r="EP108" s="158"/>
      <c r="EQ108" s="158"/>
      <c r="ER108" s="158"/>
      <c r="ES108" s="158"/>
      <c r="ET108" s="158"/>
      <c r="EU108" s="158"/>
      <c r="EV108" s="158"/>
      <c r="EW108" s="158"/>
      <c r="EX108" s="158"/>
      <c r="EY108" s="158"/>
      <c r="EZ108" s="158"/>
      <c r="FA108" s="158"/>
      <c r="FB108" s="158"/>
      <c r="FC108" s="158"/>
      <c r="FD108" s="158"/>
      <c r="FE108" s="158"/>
      <c r="FF108" s="158"/>
      <c r="FG108" s="158"/>
      <c r="FH108" s="158"/>
      <c r="FI108" s="158"/>
      <c r="FJ108" s="158"/>
      <c r="FK108" s="158"/>
      <c r="FL108" s="158"/>
      <c r="FM108" s="158"/>
      <c r="FN108" s="158"/>
      <c r="FO108" s="158"/>
      <c r="FP108" s="158"/>
      <c r="FQ108" s="158"/>
      <c r="FR108" s="158"/>
      <c r="FS108" s="158"/>
      <c r="FT108" s="158"/>
      <c r="FU108" s="158"/>
      <c r="FV108" s="158"/>
      <c r="FW108" s="158"/>
      <c r="FX108" s="158"/>
      <c r="FY108" s="158"/>
      <c r="FZ108" s="158"/>
      <c r="GA108" s="158"/>
      <c r="GB108" s="158"/>
      <c r="GC108" s="158"/>
      <c r="GD108" s="158"/>
      <c r="GE108" s="158"/>
      <c r="GF108" s="158"/>
      <c r="GG108" s="158"/>
      <c r="GH108" s="158"/>
      <c r="GI108" s="158"/>
      <c r="GJ108" s="158"/>
      <c r="GK108" s="158"/>
      <c r="GL108" s="158"/>
      <c r="GM108" s="158"/>
      <c r="GN108" s="158"/>
      <c r="GO108" s="158"/>
      <c r="GP108" s="158"/>
      <c r="GQ108" s="158"/>
      <c r="GR108" s="158"/>
      <c r="GS108" s="158"/>
      <c r="GT108" s="158"/>
      <c r="GU108" s="158"/>
      <c r="GV108" s="158"/>
      <c r="GW108" s="158"/>
      <c r="GX108" s="158"/>
      <c r="GY108" s="158"/>
      <c r="GZ108" s="158"/>
      <c r="HA108" s="158"/>
      <c r="HB108" s="158"/>
      <c r="HC108" s="158"/>
      <c r="HD108" s="158"/>
      <c r="HE108" s="158"/>
      <c r="HF108" s="158"/>
      <c r="HG108" s="158"/>
      <c r="HH108" s="158"/>
      <c r="HI108" s="158"/>
      <c r="HJ108" s="158"/>
      <c r="HK108" s="158"/>
      <c r="HL108" s="158"/>
    </row>
    <row r="109" spans="1:220">
      <c r="A109" s="49"/>
      <c r="B109" s="105" t="s">
        <v>356</v>
      </c>
      <c r="C109" s="162" t="s">
        <v>740</v>
      </c>
      <c r="D109" s="145">
        <f>Output_Human!K29</f>
        <v>0</v>
      </c>
      <c r="E109" s="158"/>
      <c r="F109" s="158"/>
      <c r="G109" s="158"/>
      <c r="H109" s="158"/>
      <c r="I109" s="158"/>
      <c r="J109" s="158"/>
      <c r="K109" s="158"/>
      <c r="L109" s="158"/>
      <c r="M109" s="158"/>
      <c r="N109" s="158"/>
      <c r="O109" s="158"/>
      <c r="P109" s="158"/>
      <c r="Q109" s="158"/>
      <c r="R109" s="158"/>
      <c r="S109" s="158"/>
      <c r="T109" s="158"/>
      <c r="U109" s="158"/>
      <c r="V109" s="158"/>
      <c r="W109" s="158"/>
      <c r="X109" s="158"/>
      <c r="Y109" s="158"/>
      <c r="Z109" s="158"/>
      <c r="AA109" s="158"/>
      <c r="AB109" s="158"/>
      <c r="AC109" s="158"/>
      <c r="AD109" s="158"/>
      <c r="AE109" s="158"/>
      <c r="AF109" s="158"/>
      <c r="AG109" s="158"/>
      <c r="AH109" s="158"/>
      <c r="AI109" s="158"/>
      <c r="AJ109" s="158"/>
      <c r="AK109" s="158"/>
      <c r="AL109" s="158"/>
      <c r="AM109" s="158"/>
      <c r="AN109" s="158"/>
      <c r="AO109" s="158"/>
      <c r="AP109" s="158"/>
      <c r="AQ109" s="158"/>
      <c r="AR109" s="158"/>
      <c r="AS109" s="158"/>
      <c r="AT109" s="158"/>
      <c r="AU109" s="158"/>
      <c r="AV109" s="158"/>
      <c r="AW109" s="158"/>
      <c r="AX109" s="158"/>
      <c r="AY109" s="158"/>
      <c r="AZ109" s="158"/>
      <c r="BA109" s="158"/>
      <c r="BB109" s="158"/>
      <c r="BC109" s="158"/>
      <c r="BD109" s="158"/>
      <c r="BE109" s="158"/>
      <c r="BF109" s="158"/>
      <c r="BG109" s="158"/>
      <c r="BH109" s="158"/>
      <c r="BI109" s="158"/>
      <c r="BJ109" s="158"/>
      <c r="BK109" s="158"/>
      <c r="BL109" s="158"/>
      <c r="BM109" s="158"/>
      <c r="BN109" s="158"/>
      <c r="BO109" s="158"/>
      <c r="BP109" s="158"/>
      <c r="BQ109" s="158"/>
      <c r="BR109" s="158"/>
      <c r="BS109" s="158"/>
      <c r="BT109" s="158"/>
      <c r="BU109" s="158"/>
      <c r="BV109" s="158"/>
      <c r="BW109" s="158"/>
      <c r="BX109" s="158"/>
      <c r="BY109" s="158"/>
      <c r="BZ109" s="158"/>
      <c r="CA109" s="158"/>
      <c r="CB109" s="158"/>
      <c r="CC109" s="158"/>
      <c r="CD109" s="158"/>
      <c r="CE109" s="158"/>
      <c r="CF109" s="158"/>
      <c r="CG109" s="158"/>
      <c r="CH109" s="158"/>
      <c r="CI109" s="158"/>
      <c r="CJ109" s="158"/>
      <c r="CK109" s="158"/>
      <c r="CL109" s="158"/>
      <c r="CM109" s="158"/>
      <c r="CN109" s="158"/>
      <c r="CO109" s="158"/>
      <c r="CP109" s="158"/>
      <c r="CQ109" s="158"/>
      <c r="CR109" s="158"/>
      <c r="CS109" s="158"/>
      <c r="CT109" s="158"/>
      <c r="CU109" s="158"/>
      <c r="CV109" s="158"/>
      <c r="CW109" s="158"/>
      <c r="CX109" s="158"/>
      <c r="CY109" s="158"/>
      <c r="CZ109" s="158"/>
      <c r="DA109" s="158"/>
      <c r="DB109" s="158"/>
      <c r="DC109" s="158"/>
      <c r="DD109" s="158"/>
      <c r="DE109" s="158"/>
      <c r="DF109" s="158"/>
      <c r="DG109" s="158"/>
      <c r="DH109" s="158"/>
      <c r="DI109" s="158"/>
      <c r="DJ109" s="158"/>
      <c r="DK109" s="158"/>
      <c r="DL109" s="158"/>
      <c r="DM109" s="158"/>
      <c r="DN109" s="158"/>
      <c r="DO109" s="158"/>
      <c r="DP109" s="158"/>
      <c r="DQ109" s="158"/>
      <c r="DR109" s="158"/>
      <c r="DS109" s="158"/>
      <c r="DT109" s="158"/>
      <c r="DU109" s="158"/>
      <c r="DV109" s="158"/>
      <c r="DW109" s="158"/>
      <c r="DX109" s="158"/>
      <c r="DY109" s="158"/>
      <c r="DZ109" s="158"/>
      <c r="EA109" s="158"/>
      <c r="EB109" s="158"/>
      <c r="EC109" s="158"/>
      <c r="ED109" s="158"/>
      <c r="EE109" s="158"/>
      <c r="EF109" s="158"/>
      <c r="EG109" s="158"/>
      <c r="EH109" s="158"/>
      <c r="EI109" s="158"/>
      <c r="EJ109" s="158"/>
      <c r="EK109" s="158"/>
      <c r="EL109" s="158"/>
      <c r="EM109" s="158"/>
      <c r="EN109" s="158"/>
      <c r="EO109" s="158"/>
      <c r="EP109" s="158"/>
      <c r="EQ109" s="158"/>
      <c r="ER109" s="158"/>
      <c r="ES109" s="158"/>
      <c r="ET109" s="158"/>
      <c r="EU109" s="158"/>
      <c r="EV109" s="158"/>
      <c r="EW109" s="158"/>
      <c r="EX109" s="158"/>
      <c r="EY109" s="158"/>
      <c r="EZ109" s="158"/>
      <c r="FA109" s="158"/>
      <c r="FB109" s="158"/>
      <c r="FC109" s="158"/>
      <c r="FD109" s="158"/>
      <c r="FE109" s="158"/>
      <c r="FF109" s="158"/>
      <c r="FG109" s="158"/>
      <c r="FH109" s="158"/>
      <c r="FI109" s="158"/>
      <c r="FJ109" s="158"/>
      <c r="FK109" s="158"/>
      <c r="FL109" s="158"/>
      <c r="FM109" s="158"/>
      <c r="FN109" s="158"/>
      <c r="FO109" s="158"/>
      <c r="FP109" s="158"/>
      <c r="FQ109" s="158"/>
      <c r="FR109" s="158"/>
      <c r="FS109" s="158"/>
      <c r="FT109" s="158"/>
      <c r="FU109" s="158"/>
      <c r="FV109" s="158"/>
      <c r="FW109" s="158"/>
      <c r="FX109" s="158"/>
      <c r="FY109" s="158"/>
      <c r="FZ109" s="158"/>
      <c r="GA109" s="158"/>
      <c r="GB109" s="158"/>
      <c r="GC109" s="158"/>
      <c r="GD109" s="158"/>
      <c r="GE109" s="158"/>
      <c r="GF109" s="158"/>
      <c r="GG109" s="158"/>
      <c r="GH109" s="158"/>
      <c r="GI109" s="158"/>
      <c r="GJ109" s="158"/>
      <c r="GK109" s="158"/>
      <c r="GL109" s="158"/>
      <c r="GM109" s="158"/>
      <c r="GN109" s="158"/>
      <c r="GO109" s="158"/>
      <c r="GP109" s="158"/>
      <c r="GQ109" s="158"/>
      <c r="GR109" s="158"/>
      <c r="GS109" s="158"/>
      <c r="GT109" s="158"/>
      <c r="GU109" s="158"/>
      <c r="GV109" s="158"/>
      <c r="GW109" s="158"/>
      <c r="GX109" s="158"/>
      <c r="GY109" s="158"/>
      <c r="GZ109" s="158"/>
      <c r="HA109" s="158"/>
      <c r="HB109" s="158"/>
      <c r="HC109" s="158"/>
      <c r="HD109" s="158"/>
      <c r="HE109" s="158"/>
      <c r="HF109" s="158"/>
      <c r="HG109" s="158"/>
      <c r="HH109" s="158"/>
      <c r="HI109" s="158"/>
      <c r="HJ109" s="158"/>
      <c r="HK109" s="158"/>
      <c r="HL109" s="158"/>
    </row>
    <row r="110" spans="1:220">
      <c r="A110" s="49"/>
      <c r="B110" s="105" t="s">
        <v>357</v>
      </c>
      <c r="C110" s="162" t="s">
        <v>741</v>
      </c>
      <c r="D110" s="145">
        <f>Output_Human!R29</f>
        <v>0</v>
      </c>
      <c r="E110" s="158"/>
      <c r="F110" s="158"/>
      <c r="G110" s="158"/>
      <c r="H110" s="158"/>
      <c r="I110" s="158"/>
      <c r="J110" s="158"/>
      <c r="K110" s="158"/>
      <c r="L110" s="158"/>
      <c r="M110" s="158"/>
      <c r="N110" s="158"/>
      <c r="O110" s="158"/>
      <c r="P110" s="158"/>
      <c r="Q110" s="158"/>
      <c r="R110" s="158"/>
      <c r="S110" s="158"/>
      <c r="T110" s="158"/>
      <c r="U110" s="158"/>
      <c r="V110" s="158"/>
      <c r="W110" s="158"/>
      <c r="X110" s="158"/>
      <c r="Y110" s="158"/>
      <c r="Z110" s="158"/>
      <c r="AA110" s="158"/>
      <c r="AB110" s="158"/>
      <c r="AC110" s="158"/>
      <c r="AD110" s="158"/>
      <c r="AE110" s="158"/>
      <c r="AF110" s="158"/>
      <c r="AG110" s="158"/>
      <c r="AH110" s="158"/>
      <c r="AI110" s="158"/>
      <c r="AJ110" s="158"/>
      <c r="AK110" s="158"/>
      <c r="AL110" s="158"/>
      <c r="AM110" s="158"/>
      <c r="AN110" s="158"/>
      <c r="AO110" s="158"/>
      <c r="AP110" s="158"/>
      <c r="AQ110" s="158"/>
      <c r="AR110" s="158"/>
      <c r="AS110" s="158"/>
      <c r="AT110" s="158"/>
      <c r="AU110" s="158"/>
      <c r="AV110" s="158"/>
      <c r="AW110" s="158"/>
      <c r="AX110" s="158"/>
      <c r="AY110" s="158"/>
      <c r="AZ110" s="158"/>
      <c r="BA110" s="158"/>
      <c r="BB110" s="158"/>
      <c r="BC110" s="158"/>
      <c r="BD110" s="158"/>
      <c r="BE110" s="158"/>
      <c r="BF110" s="158"/>
      <c r="BG110" s="158"/>
      <c r="BH110" s="158"/>
      <c r="BI110" s="158"/>
      <c r="BJ110" s="158"/>
      <c r="BK110" s="158"/>
      <c r="BL110" s="158"/>
      <c r="BM110" s="158"/>
      <c r="BN110" s="158"/>
      <c r="BO110" s="158"/>
      <c r="BP110" s="158"/>
      <c r="BQ110" s="158"/>
      <c r="BR110" s="158"/>
      <c r="BS110" s="158"/>
      <c r="BT110" s="158"/>
      <c r="BU110" s="158"/>
      <c r="BV110" s="158"/>
      <c r="BW110" s="158"/>
      <c r="BX110" s="158"/>
      <c r="BY110" s="158"/>
      <c r="BZ110" s="158"/>
      <c r="CA110" s="158"/>
      <c r="CB110" s="158"/>
      <c r="CC110" s="158"/>
      <c r="CD110" s="158"/>
      <c r="CE110" s="158"/>
      <c r="CF110" s="158"/>
      <c r="CG110" s="158"/>
      <c r="CH110" s="158"/>
      <c r="CI110" s="158"/>
      <c r="CJ110" s="158"/>
      <c r="CK110" s="158"/>
      <c r="CL110" s="158"/>
      <c r="CM110" s="158"/>
      <c r="CN110" s="158"/>
      <c r="CO110" s="158"/>
      <c r="CP110" s="158"/>
      <c r="CQ110" s="158"/>
      <c r="CR110" s="158"/>
      <c r="CS110" s="158"/>
      <c r="CT110" s="158"/>
      <c r="CU110" s="158"/>
      <c r="CV110" s="158"/>
      <c r="CW110" s="158"/>
      <c r="CX110" s="158"/>
      <c r="CY110" s="158"/>
      <c r="CZ110" s="158"/>
      <c r="DA110" s="158"/>
      <c r="DB110" s="158"/>
      <c r="DC110" s="158"/>
      <c r="DD110" s="158"/>
      <c r="DE110" s="158"/>
      <c r="DF110" s="158"/>
      <c r="DG110" s="158"/>
      <c r="DH110" s="158"/>
      <c r="DI110" s="158"/>
      <c r="DJ110" s="158"/>
      <c r="DK110" s="158"/>
      <c r="DL110" s="158"/>
      <c r="DM110" s="158"/>
      <c r="DN110" s="158"/>
      <c r="DO110" s="158"/>
      <c r="DP110" s="158"/>
      <c r="DQ110" s="158"/>
      <c r="DR110" s="158"/>
      <c r="DS110" s="158"/>
      <c r="DT110" s="158"/>
      <c r="DU110" s="158"/>
      <c r="DV110" s="158"/>
      <c r="DW110" s="158"/>
      <c r="DX110" s="158"/>
      <c r="DY110" s="158"/>
      <c r="DZ110" s="158"/>
      <c r="EA110" s="158"/>
      <c r="EB110" s="158"/>
      <c r="EC110" s="158"/>
      <c r="ED110" s="158"/>
      <c r="EE110" s="158"/>
      <c r="EF110" s="158"/>
      <c r="EG110" s="158"/>
      <c r="EH110" s="158"/>
      <c r="EI110" s="158"/>
      <c r="EJ110" s="158"/>
      <c r="EK110" s="158"/>
      <c r="EL110" s="158"/>
      <c r="EM110" s="158"/>
      <c r="EN110" s="158"/>
      <c r="EO110" s="158"/>
      <c r="EP110" s="158"/>
      <c r="EQ110" s="158"/>
      <c r="ER110" s="158"/>
      <c r="ES110" s="158"/>
      <c r="ET110" s="158"/>
      <c r="EU110" s="158"/>
      <c r="EV110" s="158"/>
      <c r="EW110" s="158"/>
      <c r="EX110" s="158"/>
      <c r="EY110" s="158"/>
      <c r="EZ110" s="158"/>
      <c r="FA110" s="158"/>
      <c r="FB110" s="158"/>
      <c r="FC110" s="158"/>
      <c r="FD110" s="158"/>
      <c r="FE110" s="158"/>
      <c r="FF110" s="158"/>
      <c r="FG110" s="158"/>
      <c r="FH110" s="158"/>
      <c r="FI110" s="158"/>
      <c r="FJ110" s="158"/>
      <c r="FK110" s="158"/>
      <c r="FL110" s="158"/>
      <c r="FM110" s="158"/>
      <c r="FN110" s="158"/>
      <c r="FO110" s="158"/>
      <c r="FP110" s="158"/>
      <c r="FQ110" s="158"/>
      <c r="FR110" s="158"/>
      <c r="FS110" s="158"/>
      <c r="FT110" s="158"/>
      <c r="FU110" s="158"/>
      <c r="FV110" s="158"/>
      <c r="FW110" s="158"/>
      <c r="FX110" s="158"/>
      <c r="FY110" s="158"/>
      <c r="FZ110" s="158"/>
      <c r="GA110" s="158"/>
      <c r="GB110" s="158"/>
      <c r="GC110" s="158"/>
      <c r="GD110" s="158"/>
      <c r="GE110" s="158"/>
      <c r="GF110" s="158"/>
      <c r="GG110" s="158"/>
      <c r="GH110" s="158"/>
      <c r="GI110" s="158"/>
      <c r="GJ110" s="158"/>
      <c r="GK110" s="158"/>
      <c r="GL110" s="158"/>
      <c r="GM110" s="158"/>
      <c r="GN110" s="158"/>
      <c r="GO110" s="158"/>
      <c r="GP110" s="158"/>
      <c r="GQ110" s="158"/>
      <c r="GR110" s="158"/>
      <c r="GS110" s="158"/>
      <c r="GT110" s="158"/>
      <c r="GU110" s="158"/>
      <c r="GV110" s="158"/>
      <c r="GW110" s="158"/>
      <c r="GX110" s="158"/>
      <c r="GY110" s="158"/>
      <c r="GZ110" s="158"/>
      <c r="HA110" s="158"/>
      <c r="HB110" s="158"/>
      <c r="HC110" s="158"/>
      <c r="HD110" s="158"/>
      <c r="HE110" s="158"/>
      <c r="HF110" s="158"/>
      <c r="HG110" s="158"/>
      <c r="HH110" s="158"/>
      <c r="HI110" s="158"/>
      <c r="HJ110" s="158"/>
      <c r="HK110" s="158"/>
      <c r="HL110" s="158"/>
    </row>
    <row r="111" spans="1:220">
      <c r="A111" s="49"/>
      <c r="B111" s="105" t="s">
        <v>358</v>
      </c>
      <c r="C111" s="162" t="s">
        <v>742</v>
      </c>
      <c r="D111" s="145">
        <f>Output_Human!S29</f>
        <v>0</v>
      </c>
      <c r="E111" s="158"/>
      <c r="F111" s="158"/>
      <c r="G111" s="158"/>
      <c r="H111" s="158"/>
      <c r="I111" s="158"/>
      <c r="J111" s="158"/>
      <c r="K111" s="158"/>
      <c r="L111" s="158"/>
      <c r="M111" s="158"/>
      <c r="N111" s="158"/>
      <c r="O111" s="158"/>
      <c r="P111" s="158"/>
      <c r="Q111" s="158"/>
      <c r="R111" s="158"/>
      <c r="S111" s="158"/>
      <c r="T111" s="158"/>
      <c r="U111" s="158"/>
      <c r="V111" s="158"/>
      <c r="W111" s="158"/>
      <c r="X111" s="158"/>
      <c r="Y111" s="158"/>
      <c r="Z111" s="158"/>
      <c r="AA111" s="158"/>
      <c r="AB111" s="158"/>
      <c r="AC111" s="158"/>
      <c r="AD111" s="158"/>
      <c r="AE111" s="158"/>
      <c r="AF111" s="158"/>
      <c r="AG111" s="158"/>
      <c r="AH111" s="158"/>
      <c r="AI111" s="158"/>
      <c r="AJ111" s="158"/>
      <c r="AK111" s="158"/>
      <c r="AL111" s="158"/>
      <c r="AM111" s="158"/>
      <c r="AN111" s="158"/>
      <c r="AO111" s="158"/>
      <c r="AP111" s="158"/>
      <c r="AQ111" s="158"/>
      <c r="AR111" s="158"/>
      <c r="AS111" s="158"/>
      <c r="AT111" s="158"/>
      <c r="AU111" s="158"/>
      <c r="AV111" s="158"/>
      <c r="AW111" s="158"/>
      <c r="AX111" s="158"/>
      <c r="AY111" s="158"/>
      <c r="AZ111" s="158"/>
      <c r="BA111" s="158"/>
      <c r="BB111" s="158"/>
      <c r="BC111" s="158"/>
      <c r="BD111" s="158"/>
      <c r="BE111" s="158"/>
      <c r="BF111" s="158"/>
      <c r="BG111" s="158"/>
      <c r="BH111" s="158"/>
      <c r="BI111" s="158"/>
      <c r="BJ111" s="158"/>
      <c r="BK111" s="158"/>
      <c r="BL111" s="158"/>
      <c r="BM111" s="158"/>
      <c r="BN111" s="158"/>
      <c r="BO111" s="158"/>
      <c r="BP111" s="158"/>
      <c r="BQ111" s="158"/>
      <c r="BR111" s="158"/>
      <c r="BS111" s="158"/>
      <c r="BT111" s="158"/>
      <c r="BU111" s="158"/>
      <c r="BV111" s="158"/>
      <c r="BW111" s="158"/>
      <c r="BX111" s="158"/>
      <c r="BY111" s="158"/>
      <c r="BZ111" s="158"/>
      <c r="CA111" s="158"/>
      <c r="CB111" s="158"/>
      <c r="CC111" s="158"/>
      <c r="CD111" s="158"/>
      <c r="CE111" s="158"/>
      <c r="CF111" s="158"/>
      <c r="CG111" s="158"/>
      <c r="CH111" s="158"/>
      <c r="CI111" s="158"/>
      <c r="CJ111" s="158"/>
      <c r="CK111" s="158"/>
      <c r="CL111" s="158"/>
      <c r="CM111" s="158"/>
      <c r="CN111" s="158"/>
      <c r="CO111" s="158"/>
      <c r="CP111" s="158"/>
      <c r="CQ111" s="158"/>
      <c r="CR111" s="158"/>
      <c r="CS111" s="158"/>
      <c r="CT111" s="158"/>
      <c r="CU111" s="158"/>
      <c r="CV111" s="158"/>
      <c r="CW111" s="158"/>
      <c r="CX111" s="158"/>
      <c r="CY111" s="158"/>
      <c r="CZ111" s="158"/>
      <c r="DA111" s="158"/>
      <c r="DB111" s="158"/>
      <c r="DC111" s="158"/>
      <c r="DD111" s="158"/>
      <c r="DE111" s="158"/>
      <c r="DF111" s="158"/>
      <c r="DG111" s="158"/>
      <c r="DH111" s="158"/>
      <c r="DI111" s="158"/>
      <c r="DJ111" s="158"/>
      <c r="DK111" s="158"/>
      <c r="DL111" s="158"/>
      <c r="DM111" s="158"/>
      <c r="DN111" s="158"/>
      <c r="DO111" s="158"/>
      <c r="DP111" s="158"/>
      <c r="DQ111" s="158"/>
      <c r="DR111" s="158"/>
      <c r="DS111" s="158"/>
      <c r="DT111" s="158"/>
      <c r="DU111" s="158"/>
      <c r="DV111" s="158"/>
      <c r="DW111" s="158"/>
      <c r="DX111" s="158"/>
      <c r="DY111" s="158"/>
      <c r="DZ111" s="158"/>
      <c r="EA111" s="158"/>
      <c r="EB111" s="158"/>
      <c r="EC111" s="158"/>
      <c r="ED111" s="158"/>
      <c r="EE111" s="158"/>
      <c r="EF111" s="158"/>
      <c r="EG111" s="158"/>
      <c r="EH111" s="158"/>
      <c r="EI111" s="158"/>
      <c r="EJ111" s="158"/>
      <c r="EK111" s="158"/>
      <c r="EL111" s="158"/>
      <c r="EM111" s="158"/>
      <c r="EN111" s="158"/>
      <c r="EO111" s="158"/>
      <c r="EP111" s="158"/>
      <c r="EQ111" s="158"/>
      <c r="ER111" s="158"/>
      <c r="ES111" s="158"/>
      <c r="ET111" s="158"/>
      <c r="EU111" s="158"/>
      <c r="EV111" s="158"/>
      <c r="EW111" s="158"/>
      <c r="EX111" s="158"/>
      <c r="EY111" s="158"/>
      <c r="EZ111" s="158"/>
      <c r="FA111" s="158"/>
      <c r="FB111" s="158"/>
      <c r="FC111" s="158"/>
      <c r="FD111" s="158"/>
      <c r="FE111" s="158"/>
      <c r="FF111" s="158"/>
      <c r="FG111" s="158"/>
      <c r="FH111" s="158"/>
      <c r="FI111" s="158"/>
      <c r="FJ111" s="158"/>
      <c r="FK111" s="158"/>
      <c r="FL111" s="158"/>
      <c r="FM111" s="158"/>
      <c r="FN111" s="158"/>
      <c r="FO111" s="158"/>
      <c r="FP111" s="158"/>
      <c r="FQ111" s="158"/>
      <c r="FR111" s="158"/>
      <c r="FS111" s="158"/>
      <c r="FT111" s="158"/>
      <c r="FU111" s="158"/>
      <c r="FV111" s="158"/>
      <c r="FW111" s="158"/>
      <c r="FX111" s="158"/>
      <c r="FY111" s="158"/>
      <c r="FZ111" s="158"/>
      <c r="GA111" s="158"/>
      <c r="GB111" s="158"/>
      <c r="GC111" s="158"/>
      <c r="GD111" s="158"/>
      <c r="GE111" s="158"/>
      <c r="GF111" s="158"/>
      <c r="GG111" s="158"/>
      <c r="GH111" s="158"/>
      <c r="GI111" s="158"/>
      <c r="GJ111" s="158"/>
      <c r="GK111" s="158"/>
      <c r="GL111" s="158"/>
      <c r="GM111" s="158"/>
      <c r="GN111" s="158"/>
      <c r="GO111" s="158"/>
      <c r="GP111" s="158"/>
      <c r="GQ111" s="158"/>
      <c r="GR111" s="158"/>
      <c r="GS111" s="158"/>
      <c r="GT111" s="158"/>
      <c r="GU111" s="158"/>
      <c r="GV111" s="158"/>
      <c r="GW111" s="158"/>
      <c r="GX111" s="158"/>
      <c r="GY111" s="158"/>
      <c r="GZ111" s="158"/>
      <c r="HA111" s="158"/>
      <c r="HB111" s="158"/>
      <c r="HC111" s="158"/>
      <c r="HD111" s="158"/>
      <c r="HE111" s="158"/>
      <c r="HF111" s="158"/>
      <c r="HG111" s="158"/>
      <c r="HH111" s="158"/>
      <c r="HI111" s="158"/>
      <c r="HJ111" s="158"/>
      <c r="HK111" s="158"/>
      <c r="HL111" s="158"/>
    </row>
    <row r="112" spans="1:220">
      <c r="A112" s="49"/>
      <c r="B112" s="105" t="s">
        <v>359</v>
      </c>
      <c r="C112" s="162" t="s">
        <v>743</v>
      </c>
      <c r="D112" s="145">
        <f>Output_Human!T29</f>
        <v>0</v>
      </c>
      <c r="E112" s="158"/>
      <c r="F112" s="158"/>
      <c r="G112" s="158"/>
      <c r="H112" s="158"/>
      <c r="I112" s="158"/>
      <c r="J112" s="158"/>
      <c r="K112" s="158"/>
      <c r="L112" s="158"/>
      <c r="M112" s="158"/>
      <c r="N112" s="158"/>
      <c r="O112" s="158"/>
      <c r="P112" s="158"/>
      <c r="Q112" s="158"/>
      <c r="R112" s="158"/>
      <c r="S112" s="158"/>
      <c r="T112" s="158"/>
      <c r="U112" s="158"/>
      <c r="V112" s="158"/>
      <c r="W112" s="158"/>
      <c r="X112" s="158"/>
      <c r="Y112" s="158"/>
      <c r="Z112" s="158"/>
      <c r="AA112" s="158"/>
      <c r="AB112" s="158"/>
      <c r="AC112" s="158"/>
      <c r="AD112" s="158"/>
      <c r="AE112" s="158"/>
      <c r="AF112" s="158"/>
      <c r="AG112" s="158"/>
      <c r="AH112" s="158"/>
      <c r="AI112" s="158"/>
      <c r="AJ112" s="158"/>
      <c r="AK112" s="158"/>
      <c r="AL112" s="158"/>
      <c r="AM112" s="158"/>
      <c r="AN112" s="158"/>
      <c r="AO112" s="158"/>
      <c r="AP112" s="158"/>
      <c r="AQ112" s="158"/>
      <c r="AR112" s="158"/>
      <c r="AS112" s="158"/>
      <c r="AT112" s="158"/>
      <c r="AU112" s="158"/>
      <c r="AV112" s="158"/>
      <c r="AW112" s="158"/>
      <c r="AX112" s="158"/>
      <c r="AY112" s="158"/>
      <c r="AZ112" s="158"/>
      <c r="BA112" s="158"/>
      <c r="BB112" s="158"/>
      <c r="BC112" s="158"/>
      <c r="BD112" s="158"/>
      <c r="BE112" s="158"/>
      <c r="BF112" s="158"/>
      <c r="BG112" s="158"/>
      <c r="BH112" s="158"/>
      <c r="BI112" s="158"/>
      <c r="BJ112" s="158"/>
      <c r="BK112" s="158"/>
      <c r="BL112" s="158"/>
      <c r="BM112" s="158"/>
      <c r="BN112" s="158"/>
      <c r="BO112" s="158"/>
      <c r="BP112" s="158"/>
      <c r="BQ112" s="158"/>
      <c r="BR112" s="158"/>
      <c r="BS112" s="158"/>
      <c r="BT112" s="158"/>
      <c r="BU112" s="158"/>
      <c r="BV112" s="158"/>
      <c r="BW112" s="158"/>
      <c r="BX112" s="158"/>
      <c r="BY112" s="158"/>
      <c r="BZ112" s="158"/>
      <c r="CA112" s="158"/>
      <c r="CB112" s="158"/>
      <c r="CC112" s="158"/>
      <c r="CD112" s="158"/>
      <c r="CE112" s="158"/>
      <c r="CF112" s="158"/>
      <c r="CG112" s="158"/>
      <c r="CH112" s="158"/>
      <c r="CI112" s="158"/>
      <c r="CJ112" s="158"/>
      <c r="CK112" s="158"/>
      <c r="CL112" s="158"/>
      <c r="CM112" s="158"/>
      <c r="CN112" s="158"/>
      <c r="CO112" s="158"/>
      <c r="CP112" s="158"/>
      <c r="CQ112" s="158"/>
      <c r="CR112" s="158"/>
      <c r="CS112" s="158"/>
      <c r="CT112" s="158"/>
      <c r="CU112" s="158"/>
      <c r="CV112" s="158"/>
      <c r="CW112" s="158"/>
      <c r="CX112" s="158"/>
      <c r="CY112" s="158"/>
      <c r="CZ112" s="158"/>
      <c r="DA112" s="158"/>
      <c r="DB112" s="158"/>
      <c r="DC112" s="158"/>
      <c r="DD112" s="158"/>
      <c r="DE112" s="158"/>
      <c r="DF112" s="158"/>
      <c r="DG112" s="158"/>
      <c r="DH112" s="158"/>
      <c r="DI112" s="158"/>
      <c r="DJ112" s="158"/>
      <c r="DK112" s="158"/>
      <c r="DL112" s="158"/>
      <c r="DM112" s="158"/>
      <c r="DN112" s="158"/>
      <c r="DO112" s="158"/>
      <c r="DP112" s="158"/>
      <c r="DQ112" s="158"/>
      <c r="DR112" s="158"/>
      <c r="DS112" s="158"/>
      <c r="DT112" s="158"/>
      <c r="DU112" s="158"/>
      <c r="DV112" s="158"/>
      <c r="DW112" s="158"/>
      <c r="DX112" s="158"/>
      <c r="DY112" s="158"/>
      <c r="DZ112" s="158"/>
      <c r="EA112" s="158"/>
      <c r="EB112" s="158"/>
      <c r="EC112" s="158"/>
      <c r="ED112" s="158"/>
      <c r="EE112" s="158"/>
      <c r="EF112" s="158"/>
      <c r="EG112" s="158"/>
      <c r="EH112" s="158"/>
      <c r="EI112" s="158"/>
      <c r="EJ112" s="158"/>
      <c r="EK112" s="158"/>
      <c r="EL112" s="158"/>
      <c r="EM112" s="158"/>
      <c r="EN112" s="158"/>
      <c r="EO112" s="158"/>
      <c r="EP112" s="158"/>
      <c r="EQ112" s="158"/>
      <c r="ER112" s="158"/>
      <c r="ES112" s="158"/>
      <c r="ET112" s="158"/>
      <c r="EU112" s="158"/>
      <c r="EV112" s="158"/>
      <c r="EW112" s="158"/>
      <c r="EX112" s="158"/>
      <c r="EY112" s="158"/>
      <c r="EZ112" s="158"/>
      <c r="FA112" s="158"/>
      <c r="FB112" s="158"/>
      <c r="FC112" s="158"/>
      <c r="FD112" s="158"/>
      <c r="FE112" s="158"/>
      <c r="FF112" s="158"/>
      <c r="FG112" s="158"/>
      <c r="FH112" s="158"/>
      <c r="FI112" s="158"/>
      <c r="FJ112" s="158"/>
      <c r="FK112" s="158"/>
      <c r="FL112" s="158"/>
      <c r="FM112" s="158"/>
      <c r="FN112" s="158"/>
      <c r="FO112" s="158"/>
      <c r="FP112" s="158"/>
      <c r="FQ112" s="158"/>
      <c r="FR112" s="158"/>
      <c r="FS112" s="158"/>
      <c r="FT112" s="158"/>
      <c r="FU112" s="158"/>
      <c r="FV112" s="158"/>
      <c r="FW112" s="158"/>
      <c r="FX112" s="158"/>
      <c r="FY112" s="158"/>
      <c r="FZ112" s="158"/>
      <c r="GA112" s="158"/>
      <c r="GB112" s="158"/>
      <c r="GC112" s="158"/>
      <c r="GD112" s="158"/>
      <c r="GE112" s="158"/>
      <c r="GF112" s="158"/>
      <c r="GG112" s="158"/>
      <c r="GH112" s="158"/>
      <c r="GI112" s="158"/>
      <c r="GJ112" s="158"/>
      <c r="GK112" s="158"/>
      <c r="GL112" s="158"/>
      <c r="GM112" s="158"/>
      <c r="GN112" s="158"/>
      <c r="GO112" s="158"/>
      <c r="GP112" s="158"/>
      <c r="GQ112" s="158"/>
      <c r="GR112" s="158"/>
      <c r="GS112" s="158"/>
      <c r="GT112" s="158"/>
      <c r="GU112" s="158"/>
      <c r="GV112" s="158"/>
      <c r="GW112" s="158"/>
      <c r="GX112" s="158"/>
      <c r="GY112" s="158"/>
      <c r="GZ112" s="158"/>
      <c r="HA112" s="158"/>
      <c r="HB112" s="158"/>
      <c r="HC112" s="158"/>
      <c r="HD112" s="158"/>
      <c r="HE112" s="158"/>
      <c r="HF112" s="158"/>
      <c r="HG112" s="158"/>
      <c r="HH112" s="158"/>
      <c r="HI112" s="158"/>
      <c r="HJ112" s="158"/>
      <c r="HK112" s="158"/>
      <c r="HL112" s="158"/>
    </row>
    <row r="113" spans="1:220">
      <c r="A113" s="49"/>
      <c r="B113" s="105" t="s">
        <v>360</v>
      </c>
      <c r="C113" s="162" t="s">
        <v>744</v>
      </c>
      <c r="D113" s="145">
        <f>Output_Human!U29</f>
        <v>0</v>
      </c>
      <c r="E113" s="158"/>
      <c r="F113" s="158"/>
      <c r="G113" s="158"/>
      <c r="H113" s="158"/>
      <c r="I113" s="158"/>
      <c r="J113" s="158"/>
      <c r="K113" s="158"/>
      <c r="L113" s="158"/>
      <c r="M113" s="158"/>
      <c r="N113" s="158"/>
      <c r="O113" s="158"/>
      <c r="P113" s="158"/>
      <c r="Q113" s="158"/>
      <c r="R113" s="158"/>
      <c r="S113" s="158"/>
      <c r="T113" s="158"/>
      <c r="U113" s="158"/>
      <c r="V113" s="158"/>
      <c r="W113" s="158"/>
      <c r="X113" s="158"/>
      <c r="Y113" s="158"/>
      <c r="Z113" s="158"/>
      <c r="AA113" s="158"/>
      <c r="AB113" s="158"/>
      <c r="AC113" s="158"/>
      <c r="AD113" s="158"/>
      <c r="AE113" s="158"/>
      <c r="AF113" s="158"/>
      <c r="AG113" s="158"/>
      <c r="AH113" s="158"/>
      <c r="AI113" s="158"/>
      <c r="AJ113" s="158"/>
      <c r="AK113" s="158"/>
      <c r="AL113" s="158"/>
      <c r="AM113" s="158"/>
      <c r="AN113" s="158"/>
      <c r="AO113" s="158"/>
      <c r="AP113" s="158"/>
      <c r="AQ113" s="158"/>
      <c r="AR113" s="158"/>
      <c r="AS113" s="158"/>
      <c r="AT113" s="158"/>
      <c r="AU113" s="158"/>
      <c r="AV113" s="158"/>
      <c r="AW113" s="158"/>
      <c r="AX113" s="158"/>
      <c r="AY113" s="158"/>
      <c r="AZ113" s="158"/>
      <c r="BA113" s="158"/>
      <c r="BB113" s="158"/>
      <c r="BC113" s="158"/>
      <c r="BD113" s="158"/>
      <c r="BE113" s="158"/>
      <c r="BF113" s="158"/>
      <c r="BG113" s="158"/>
      <c r="BH113" s="158"/>
      <c r="BI113" s="158"/>
      <c r="BJ113" s="158"/>
      <c r="BK113" s="158"/>
      <c r="BL113" s="158"/>
      <c r="BM113" s="158"/>
      <c r="BN113" s="158"/>
      <c r="BO113" s="158"/>
      <c r="BP113" s="158"/>
      <c r="BQ113" s="158"/>
      <c r="BR113" s="158"/>
      <c r="BS113" s="158"/>
      <c r="BT113" s="158"/>
      <c r="BU113" s="158"/>
      <c r="BV113" s="158"/>
      <c r="BW113" s="158"/>
      <c r="BX113" s="158"/>
      <c r="BY113" s="158"/>
      <c r="BZ113" s="158"/>
      <c r="CA113" s="158"/>
      <c r="CB113" s="158"/>
      <c r="CC113" s="158"/>
      <c r="CD113" s="158"/>
      <c r="CE113" s="158"/>
      <c r="CF113" s="158"/>
      <c r="CG113" s="158"/>
      <c r="CH113" s="158"/>
      <c r="CI113" s="158"/>
      <c r="CJ113" s="158"/>
      <c r="CK113" s="158"/>
      <c r="CL113" s="158"/>
      <c r="CM113" s="158"/>
      <c r="CN113" s="158"/>
      <c r="CO113" s="158"/>
      <c r="CP113" s="158"/>
      <c r="CQ113" s="158"/>
      <c r="CR113" s="158"/>
      <c r="CS113" s="158"/>
      <c r="CT113" s="158"/>
      <c r="CU113" s="158"/>
      <c r="CV113" s="158"/>
      <c r="CW113" s="158"/>
      <c r="CX113" s="158"/>
      <c r="CY113" s="158"/>
      <c r="CZ113" s="158"/>
      <c r="DA113" s="158"/>
      <c r="DB113" s="158"/>
      <c r="DC113" s="158"/>
      <c r="DD113" s="158"/>
      <c r="DE113" s="158"/>
      <c r="DF113" s="158"/>
      <c r="DG113" s="158"/>
      <c r="DH113" s="158"/>
      <c r="DI113" s="158"/>
      <c r="DJ113" s="158"/>
      <c r="DK113" s="158"/>
      <c r="DL113" s="158"/>
      <c r="DM113" s="158"/>
      <c r="DN113" s="158"/>
      <c r="DO113" s="158"/>
      <c r="DP113" s="158"/>
      <c r="DQ113" s="158"/>
      <c r="DR113" s="158"/>
      <c r="DS113" s="158"/>
      <c r="DT113" s="158"/>
      <c r="DU113" s="158"/>
      <c r="DV113" s="158"/>
      <c r="DW113" s="158"/>
      <c r="DX113" s="158"/>
      <c r="DY113" s="158"/>
      <c r="DZ113" s="158"/>
      <c r="EA113" s="158"/>
      <c r="EB113" s="158"/>
      <c r="EC113" s="158"/>
      <c r="ED113" s="158"/>
      <c r="EE113" s="158"/>
      <c r="EF113" s="158"/>
      <c r="EG113" s="158"/>
      <c r="EH113" s="158"/>
      <c r="EI113" s="158"/>
      <c r="EJ113" s="158"/>
      <c r="EK113" s="158"/>
      <c r="EL113" s="158"/>
      <c r="EM113" s="158"/>
      <c r="EN113" s="158"/>
      <c r="EO113" s="158"/>
      <c r="EP113" s="158"/>
      <c r="EQ113" s="158"/>
      <c r="ER113" s="158"/>
      <c r="ES113" s="158"/>
      <c r="ET113" s="158"/>
      <c r="EU113" s="158"/>
      <c r="EV113" s="158"/>
      <c r="EW113" s="158"/>
      <c r="EX113" s="158"/>
      <c r="EY113" s="158"/>
      <c r="EZ113" s="158"/>
      <c r="FA113" s="158"/>
      <c r="FB113" s="158"/>
      <c r="FC113" s="158"/>
      <c r="FD113" s="158"/>
      <c r="FE113" s="158"/>
      <c r="FF113" s="158"/>
      <c r="FG113" s="158"/>
      <c r="FH113" s="158"/>
      <c r="FI113" s="158"/>
      <c r="FJ113" s="158"/>
      <c r="FK113" s="158"/>
      <c r="FL113" s="158"/>
      <c r="FM113" s="158"/>
      <c r="FN113" s="158"/>
      <c r="FO113" s="158"/>
      <c r="FP113" s="158"/>
      <c r="FQ113" s="158"/>
      <c r="FR113" s="158"/>
      <c r="FS113" s="158"/>
      <c r="FT113" s="158"/>
      <c r="FU113" s="158"/>
      <c r="FV113" s="158"/>
      <c r="FW113" s="158"/>
      <c r="FX113" s="158"/>
      <c r="FY113" s="158"/>
      <c r="FZ113" s="158"/>
      <c r="GA113" s="158"/>
      <c r="GB113" s="158"/>
      <c r="GC113" s="158"/>
      <c r="GD113" s="158"/>
      <c r="GE113" s="158"/>
      <c r="GF113" s="158"/>
      <c r="GG113" s="158"/>
      <c r="GH113" s="158"/>
      <c r="GI113" s="158"/>
      <c r="GJ113" s="158"/>
      <c r="GK113" s="158"/>
      <c r="GL113" s="158"/>
      <c r="GM113" s="158"/>
      <c r="GN113" s="158"/>
      <c r="GO113" s="158"/>
      <c r="GP113" s="158"/>
      <c r="GQ113" s="158"/>
      <c r="GR113" s="158"/>
      <c r="GS113" s="158"/>
      <c r="GT113" s="158"/>
      <c r="GU113" s="158"/>
      <c r="GV113" s="158"/>
      <c r="GW113" s="158"/>
      <c r="GX113" s="158"/>
      <c r="GY113" s="158"/>
      <c r="GZ113" s="158"/>
      <c r="HA113" s="158"/>
      <c r="HB113" s="158"/>
      <c r="HC113" s="158"/>
      <c r="HD113" s="158"/>
      <c r="HE113" s="158"/>
      <c r="HF113" s="158"/>
      <c r="HG113" s="158"/>
      <c r="HH113" s="158"/>
      <c r="HI113" s="158"/>
      <c r="HJ113" s="158"/>
      <c r="HK113" s="158"/>
      <c r="HL113" s="158"/>
    </row>
    <row r="114" spans="1:220">
      <c r="A114" s="49"/>
      <c r="B114" s="105" t="s">
        <v>361</v>
      </c>
      <c r="C114" s="162" t="s">
        <v>745</v>
      </c>
      <c r="D114" s="145">
        <f>Output_Human!V29</f>
        <v>0</v>
      </c>
      <c r="E114" s="158"/>
      <c r="F114" s="158"/>
      <c r="G114" s="158"/>
      <c r="H114" s="158"/>
      <c r="I114" s="158"/>
      <c r="J114" s="158"/>
      <c r="K114" s="158"/>
      <c r="L114" s="158"/>
      <c r="M114" s="158"/>
      <c r="N114" s="158"/>
      <c r="O114" s="158"/>
      <c r="P114" s="158"/>
      <c r="Q114" s="158"/>
      <c r="R114" s="158"/>
      <c r="S114" s="158"/>
      <c r="T114" s="158"/>
      <c r="U114" s="158"/>
      <c r="V114" s="158"/>
      <c r="W114" s="158"/>
      <c r="X114" s="158"/>
      <c r="Y114" s="158"/>
      <c r="Z114" s="158"/>
      <c r="AA114" s="158"/>
      <c r="AB114" s="158"/>
      <c r="AC114" s="158"/>
      <c r="AD114" s="158"/>
      <c r="AE114" s="158"/>
      <c r="AF114" s="158"/>
      <c r="AG114" s="158"/>
      <c r="AH114" s="158"/>
      <c r="AI114" s="158"/>
      <c r="AJ114" s="158"/>
      <c r="AK114" s="158"/>
      <c r="AL114" s="158"/>
      <c r="AM114" s="158"/>
      <c r="AN114" s="158"/>
      <c r="AO114" s="158"/>
      <c r="AP114" s="158"/>
      <c r="AQ114" s="158"/>
      <c r="AR114" s="158"/>
      <c r="AS114" s="158"/>
      <c r="AT114" s="158"/>
      <c r="AU114" s="158"/>
      <c r="AV114" s="158"/>
      <c r="AW114" s="158"/>
      <c r="AX114" s="158"/>
      <c r="AY114" s="158"/>
      <c r="AZ114" s="158"/>
      <c r="BA114" s="158"/>
      <c r="BB114" s="158"/>
      <c r="BC114" s="158"/>
      <c r="BD114" s="158"/>
      <c r="BE114" s="158"/>
      <c r="BF114" s="158"/>
      <c r="BG114" s="158"/>
      <c r="BH114" s="158"/>
      <c r="BI114" s="158"/>
      <c r="BJ114" s="158"/>
      <c r="BK114" s="158"/>
      <c r="BL114" s="158"/>
      <c r="BM114" s="158"/>
      <c r="BN114" s="158"/>
      <c r="BO114" s="158"/>
      <c r="BP114" s="158"/>
      <c r="BQ114" s="158"/>
      <c r="BR114" s="158"/>
      <c r="BS114" s="158"/>
      <c r="BT114" s="158"/>
      <c r="BU114" s="158"/>
      <c r="BV114" s="158"/>
      <c r="BW114" s="158"/>
      <c r="BX114" s="158"/>
      <c r="BY114" s="158"/>
      <c r="BZ114" s="158"/>
      <c r="CA114" s="158"/>
      <c r="CB114" s="158"/>
      <c r="CC114" s="158"/>
      <c r="CD114" s="158"/>
      <c r="CE114" s="158"/>
      <c r="CF114" s="158"/>
      <c r="CG114" s="158"/>
      <c r="CH114" s="158"/>
      <c r="CI114" s="158"/>
      <c r="CJ114" s="158"/>
      <c r="CK114" s="158"/>
      <c r="CL114" s="158"/>
      <c r="CM114" s="158"/>
      <c r="CN114" s="158"/>
      <c r="CO114" s="158"/>
      <c r="CP114" s="158"/>
      <c r="CQ114" s="158"/>
      <c r="CR114" s="158"/>
      <c r="CS114" s="158"/>
      <c r="CT114" s="158"/>
      <c r="CU114" s="158"/>
      <c r="CV114" s="158"/>
      <c r="CW114" s="158"/>
      <c r="CX114" s="158"/>
      <c r="CY114" s="158"/>
      <c r="CZ114" s="158"/>
      <c r="DA114" s="158"/>
      <c r="DB114" s="158"/>
      <c r="DC114" s="158"/>
      <c r="DD114" s="158"/>
      <c r="DE114" s="158"/>
      <c r="DF114" s="158"/>
      <c r="DG114" s="158"/>
      <c r="DH114" s="158"/>
      <c r="DI114" s="158"/>
      <c r="DJ114" s="158"/>
      <c r="DK114" s="158"/>
      <c r="DL114" s="158"/>
      <c r="DM114" s="158"/>
      <c r="DN114" s="158"/>
      <c r="DO114" s="158"/>
      <c r="DP114" s="158"/>
      <c r="DQ114" s="158"/>
      <c r="DR114" s="158"/>
      <c r="DS114" s="158"/>
      <c r="DT114" s="158"/>
      <c r="DU114" s="158"/>
      <c r="DV114" s="158"/>
      <c r="DW114" s="158"/>
      <c r="DX114" s="158"/>
      <c r="DY114" s="158"/>
      <c r="DZ114" s="158"/>
      <c r="EA114" s="158"/>
      <c r="EB114" s="158"/>
      <c r="EC114" s="158"/>
      <c r="ED114" s="158"/>
      <c r="EE114" s="158"/>
      <c r="EF114" s="158"/>
      <c r="EG114" s="158"/>
      <c r="EH114" s="158"/>
      <c r="EI114" s="158"/>
      <c r="EJ114" s="158"/>
      <c r="EK114" s="158"/>
      <c r="EL114" s="158"/>
      <c r="EM114" s="158"/>
      <c r="EN114" s="158"/>
      <c r="EO114" s="158"/>
      <c r="EP114" s="158"/>
      <c r="EQ114" s="158"/>
      <c r="ER114" s="158"/>
      <c r="ES114" s="158"/>
      <c r="ET114" s="158"/>
      <c r="EU114" s="158"/>
      <c r="EV114" s="158"/>
      <c r="EW114" s="158"/>
      <c r="EX114" s="158"/>
      <c r="EY114" s="158"/>
      <c r="EZ114" s="158"/>
      <c r="FA114" s="158"/>
      <c r="FB114" s="158"/>
      <c r="FC114" s="158"/>
      <c r="FD114" s="158"/>
      <c r="FE114" s="158"/>
      <c r="FF114" s="158"/>
      <c r="FG114" s="158"/>
      <c r="FH114" s="158"/>
      <c r="FI114" s="158"/>
      <c r="FJ114" s="158"/>
      <c r="FK114" s="158"/>
      <c r="FL114" s="158"/>
      <c r="FM114" s="158"/>
      <c r="FN114" s="158"/>
      <c r="FO114" s="158"/>
      <c r="FP114" s="158"/>
      <c r="FQ114" s="158"/>
      <c r="FR114" s="158"/>
      <c r="FS114" s="158"/>
      <c r="FT114" s="158"/>
      <c r="FU114" s="158"/>
      <c r="FV114" s="158"/>
      <c r="FW114" s="158"/>
      <c r="FX114" s="158"/>
      <c r="FY114" s="158"/>
      <c r="FZ114" s="158"/>
      <c r="GA114" s="158"/>
      <c r="GB114" s="158"/>
      <c r="GC114" s="158"/>
      <c r="GD114" s="158"/>
      <c r="GE114" s="158"/>
      <c r="GF114" s="158"/>
      <c r="GG114" s="158"/>
      <c r="GH114" s="158"/>
      <c r="GI114" s="158"/>
      <c r="GJ114" s="158"/>
      <c r="GK114" s="158"/>
      <c r="GL114" s="158"/>
      <c r="GM114" s="158"/>
      <c r="GN114" s="158"/>
      <c r="GO114" s="158"/>
      <c r="GP114" s="158"/>
      <c r="GQ114" s="158"/>
      <c r="GR114" s="158"/>
      <c r="GS114" s="158"/>
      <c r="GT114" s="158"/>
      <c r="GU114" s="158"/>
      <c r="GV114" s="158"/>
      <c r="GW114" s="158"/>
      <c r="GX114" s="158"/>
      <c r="GY114" s="158"/>
      <c r="GZ114" s="158"/>
      <c r="HA114" s="158"/>
      <c r="HB114" s="158"/>
      <c r="HC114" s="158"/>
      <c r="HD114" s="158"/>
      <c r="HE114" s="158"/>
      <c r="HF114" s="158"/>
      <c r="HG114" s="158"/>
      <c r="HH114" s="158"/>
      <c r="HI114" s="158"/>
      <c r="HJ114" s="158"/>
      <c r="HK114" s="158"/>
      <c r="HL114" s="158"/>
    </row>
    <row r="115" spans="1:220">
      <c r="A115" s="49"/>
      <c r="B115" s="105" t="s">
        <v>362</v>
      </c>
      <c r="C115" s="162" t="s">
        <v>746</v>
      </c>
      <c r="D115" s="145">
        <f>Output_Human!W29</f>
        <v>0</v>
      </c>
      <c r="E115" s="158"/>
      <c r="F115" s="158"/>
      <c r="G115" s="158"/>
      <c r="H115" s="158"/>
      <c r="I115" s="158"/>
      <c r="J115" s="158"/>
      <c r="K115" s="158"/>
      <c r="L115" s="158"/>
      <c r="M115" s="158"/>
      <c r="N115" s="158"/>
      <c r="O115" s="158"/>
      <c r="P115" s="158"/>
      <c r="Q115" s="158"/>
      <c r="R115" s="158"/>
      <c r="S115" s="158"/>
      <c r="T115" s="158"/>
      <c r="U115" s="158"/>
      <c r="V115" s="158"/>
      <c r="W115" s="158"/>
      <c r="X115" s="158"/>
      <c r="Y115" s="158"/>
      <c r="Z115" s="158"/>
      <c r="AA115" s="158"/>
      <c r="AB115" s="158"/>
      <c r="AC115" s="158"/>
      <c r="AD115" s="158"/>
      <c r="AE115" s="158"/>
      <c r="AF115" s="158"/>
      <c r="AG115" s="158"/>
      <c r="AH115" s="158"/>
      <c r="AI115" s="158"/>
      <c r="AJ115" s="158"/>
      <c r="AK115" s="158"/>
      <c r="AL115" s="158"/>
      <c r="AM115" s="158"/>
      <c r="AN115" s="158"/>
      <c r="AO115" s="158"/>
      <c r="AP115" s="158"/>
      <c r="AQ115" s="158"/>
      <c r="AR115" s="158"/>
      <c r="AS115" s="158"/>
      <c r="AT115" s="158"/>
      <c r="AU115" s="158"/>
      <c r="AV115" s="158"/>
      <c r="AW115" s="158"/>
      <c r="AX115" s="158"/>
      <c r="AY115" s="158"/>
      <c r="AZ115" s="158"/>
      <c r="BA115" s="158"/>
      <c r="BB115" s="158"/>
      <c r="BC115" s="158"/>
      <c r="BD115" s="158"/>
      <c r="BE115" s="158"/>
      <c r="BF115" s="158"/>
      <c r="BG115" s="158"/>
      <c r="BH115" s="158"/>
      <c r="BI115" s="158"/>
      <c r="BJ115" s="158"/>
      <c r="BK115" s="158"/>
      <c r="BL115" s="158"/>
      <c r="BM115" s="158"/>
      <c r="BN115" s="158"/>
      <c r="BO115" s="158"/>
      <c r="BP115" s="158"/>
      <c r="BQ115" s="158"/>
      <c r="BR115" s="158"/>
      <c r="BS115" s="158"/>
      <c r="BT115" s="158"/>
      <c r="BU115" s="158"/>
      <c r="BV115" s="158"/>
      <c r="BW115" s="158"/>
      <c r="BX115" s="158"/>
      <c r="BY115" s="158"/>
      <c r="BZ115" s="158"/>
      <c r="CA115" s="158"/>
      <c r="CB115" s="158"/>
      <c r="CC115" s="158"/>
      <c r="CD115" s="158"/>
      <c r="CE115" s="158"/>
      <c r="CF115" s="158"/>
      <c r="CG115" s="158"/>
      <c r="CH115" s="158"/>
      <c r="CI115" s="158"/>
      <c r="CJ115" s="158"/>
      <c r="CK115" s="158"/>
      <c r="CL115" s="158"/>
      <c r="CM115" s="158"/>
      <c r="CN115" s="158"/>
      <c r="CO115" s="158"/>
      <c r="CP115" s="158"/>
      <c r="CQ115" s="158"/>
      <c r="CR115" s="158"/>
      <c r="CS115" s="158"/>
      <c r="CT115" s="158"/>
      <c r="CU115" s="158"/>
      <c r="CV115" s="158"/>
      <c r="CW115" s="158"/>
      <c r="CX115" s="158"/>
      <c r="CY115" s="158"/>
      <c r="CZ115" s="158"/>
      <c r="DA115" s="158"/>
      <c r="DB115" s="158"/>
      <c r="DC115" s="158"/>
      <c r="DD115" s="158"/>
      <c r="DE115" s="158"/>
      <c r="DF115" s="158"/>
      <c r="DG115" s="158"/>
      <c r="DH115" s="158"/>
      <c r="DI115" s="158"/>
      <c r="DJ115" s="158"/>
      <c r="DK115" s="158"/>
      <c r="DL115" s="158"/>
      <c r="DM115" s="158"/>
      <c r="DN115" s="158"/>
      <c r="DO115" s="158"/>
      <c r="DP115" s="158"/>
      <c r="DQ115" s="158"/>
      <c r="DR115" s="158"/>
      <c r="DS115" s="158"/>
      <c r="DT115" s="158"/>
      <c r="DU115" s="158"/>
      <c r="DV115" s="158"/>
      <c r="DW115" s="158"/>
      <c r="DX115" s="158"/>
      <c r="DY115" s="158"/>
      <c r="DZ115" s="158"/>
      <c r="EA115" s="158"/>
      <c r="EB115" s="158"/>
      <c r="EC115" s="158"/>
      <c r="ED115" s="158"/>
      <c r="EE115" s="158"/>
      <c r="EF115" s="158"/>
      <c r="EG115" s="158"/>
      <c r="EH115" s="158"/>
      <c r="EI115" s="158"/>
      <c r="EJ115" s="158"/>
      <c r="EK115" s="158"/>
      <c r="EL115" s="158"/>
      <c r="EM115" s="158"/>
      <c r="EN115" s="158"/>
      <c r="EO115" s="158"/>
      <c r="EP115" s="158"/>
      <c r="EQ115" s="158"/>
      <c r="ER115" s="158"/>
      <c r="ES115" s="158"/>
      <c r="ET115" s="158"/>
      <c r="EU115" s="158"/>
      <c r="EV115" s="158"/>
      <c r="EW115" s="158"/>
      <c r="EX115" s="158"/>
      <c r="EY115" s="158"/>
      <c r="EZ115" s="158"/>
      <c r="FA115" s="158"/>
      <c r="FB115" s="158"/>
      <c r="FC115" s="158"/>
      <c r="FD115" s="158"/>
      <c r="FE115" s="158"/>
      <c r="FF115" s="158"/>
      <c r="FG115" s="158"/>
      <c r="FH115" s="158"/>
      <c r="FI115" s="158"/>
      <c r="FJ115" s="158"/>
      <c r="FK115" s="158"/>
      <c r="FL115" s="158"/>
      <c r="FM115" s="158"/>
      <c r="FN115" s="158"/>
      <c r="FO115" s="158"/>
      <c r="FP115" s="158"/>
      <c r="FQ115" s="158"/>
      <c r="FR115" s="158"/>
      <c r="FS115" s="158"/>
      <c r="FT115" s="158"/>
      <c r="FU115" s="158"/>
      <c r="FV115" s="158"/>
      <c r="FW115" s="158"/>
      <c r="FX115" s="158"/>
      <c r="FY115" s="158"/>
      <c r="FZ115" s="158"/>
      <c r="GA115" s="158"/>
      <c r="GB115" s="158"/>
      <c r="GC115" s="158"/>
      <c r="GD115" s="158"/>
      <c r="GE115" s="158"/>
      <c r="GF115" s="158"/>
      <c r="GG115" s="158"/>
      <c r="GH115" s="158"/>
      <c r="GI115" s="158"/>
      <c r="GJ115" s="158"/>
      <c r="GK115" s="158"/>
      <c r="GL115" s="158"/>
      <c r="GM115" s="158"/>
      <c r="GN115" s="158"/>
      <c r="GO115" s="158"/>
      <c r="GP115" s="158"/>
      <c r="GQ115" s="158"/>
      <c r="GR115" s="158"/>
      <c r="GS115" s="158"/>
      <c r="GT115" s="158"/>
      <c r="GU115" s="158"/>
      <c r="GV115" s="158"/>
      <c r="GW115" s="158"/>
      <c r="GX115" s="158"/>
      <c r="GY115" s="158"/>
      <c r="GZ115" s="158"/>
      <c r="HA115" s="158"/>
      <c r="HB115" s="158"/>
      <c r="HC115" s="158"/>
      <c r="HD115" s="158"/>
      <c r="HE115" s="158"/>
      <c r="HF115" s="158"/>
      <c r="HG115" s="158"/>
      <c r="HH115" s="158"/>
      <c r="HI115" s="158"/>
      <c r="HJ115" s="158"/>
      <c r="HK115" s="158"/>
      <c r="HL115" s="158"/>
    </row>
    <row r="116" spans="1:220">
      <c r="A116" s="49"/>
      <c r="B116" s="105" t="s">
        <v>363</v>
      </c>
      <c r="C116" s="162" t="s">
        <v>747</v>
      </c>
      <c r="D116" s="145">
        <f>Output_Human!X29</f>
        <v>0</v>
      </c>
      <c r="E116" s="158"/>
      <c r="F116" s="158"/>
      <c r="G116" s="158"/>
      <c r="H116" s="158"/>
      <c r="I116" s="158"/>
      <c r="J116" s="158"/>
      <c r="K116" s="158"/>
      <c r="L116" s="158"/>
      <c r="M116" s="158"/>
      <c r="N116" s="158"/>
      <c r="O116" s="158"/>
      <c r="P116" s="158"/>
      <c r="Q116" s="158"/>
      <c r="R116" s="158"/>
      <c r="S116" s="158"/>
      <c r="T116" s="158"/>
      <c r="U116" s="158"/>
      <c r="V116" s="158"/>
      <c r="W116" s="158"/>
      <c r="X116" s="158"/>
      <c r="Y116" s="158"/>
      <c r="Z116" s="158"/>
      <c r="AA116" s="158"/>
      <c r="AB116" s="158"/>
      <c r="AC116" s="158"/>
      <c r="AD116" s="158"/>
      <c r="AE116" s="158"/>
      <c r="AF116" s="158"/>
      <c r="AG116" s="158"/>
      <c r="AH116" s="158"/>
      <c r="AI116" s="158"/>
      <c r="AJ116" s="158"/>
      <c r="AK116" s="158"/>
      <c r="AL116" s="158"/>
      <c r="AM116" s="158"/>
      <c r="AN116" s="158"/>
      <c r="AO116" s="158"/>
      <c r="AP116" s="158"/>
      <c r="AQ116" s="158"/>
      <c r="AR116" s="158"/>
      <c r="AS116" s="158"/>
      <c r="AT116" s="158"/>
      <c r="AU116" s="158"/>
      <c r="AV116" s="158"/>
      <c r="AW116" s="158"/>
      <c r="AX116" s="158"/>
      <c r="AY116" s="158"/>
      <c r="AZ116" s="158"/>
      <c r="BA116" s="158"/>
      <c r="BB116" s="158"/>
      <c r="BC116" s="158"/>
      <c r="BD116" s="158"/>
      <c r="BE116" s="158"/>
      <c r="BF116" s="158"/>
      <c r="BG116" s="158"/>
      <c r="BH116" s="158"/>
      <c r="BI116" s="158"/>
      <c r="BJ116" s="158"/>
      <c r="BK116" s="158"/>
      <c r="BL116" s="158"/>
      <c r="BM116" s="158"/>
      <c r="BN116" s="158"/>
      <c r="BO116" s="158"/>
      <c r="BP116" s="158"/>
      <c r="BQ116" s="158"/>
      <c r="BR116" s="158"/>
      <c r="BS116" s="158"/>
      <c r="BT116" s="158"/>
      <c r="BU116" s="158"/>
      <c r="BV116" s="158"/>
      <c r="BW116" s="158"/>
      <c r="BX116" s="158"/>
      <c r="BY116" s="158"/>
      <c r="BZ116" s="158"/>
      <c r="CA116" s="158"/>
      <c r="CB116" s="158"/>
      <c r="CC116" s="158"/>
      <c r="CD116" s="158"/>
      <c r="CE116" s="158"/>
      <c r="CF116" s="158"/>
      <c r="CG116" s="158"/>
      <c r="CH116" s="158"/>
      <c r="CI116" s="158"/>
      <c r="CJ116" s="158"/>
      <c r="CK116" s="158"/>
      <c r="CL116" s="158"/>
      <c r="CM116" s="158"/>
      <c r="CN116" s="158"/>
      <c r="CO116" s="158"/>
      <c r="CP116" s="158"/>
      <c r="CQ116" s="158"/>
      <c r="CR116" s="158"/>
      <c r="CS116" s="158"/>
      <c r="CT116" s="158"/>
      <c r="CU116" s="158"/>
      <c r="CV116" s="158"/>
      <c r="CW116" s="158"/>
      <c r="CX116" s="158"/>
      <c r="CY116" s="158"/>
      <c r="CZ116" s="158"/>
      <c r="DA116" s="158"/>
      <c r="DB116" s="158"/>
      <c r="DC116" s="158"/>
      <c r="DD116" s="158"/>
      <c r="DE116" s="158"/>
      <c r="DF116" s="158"/>
      <c r="DG116" s="158"/>
      <c r="DH116" s="158"/>
      <c r="DI116" s="158"/>
      <c r="DJ116" s="158"/>
      <c r="DK116" s="158"/>
      <c r="DL116" s="158"/>
      <c r="DM116" s="158"/>
      <c r="DN116" s="158"/>
      <c r="DO116" s="158"/>
      <c r="DP116" s="158"/>
      <c r="DQ116" s="158"/>
      <c r="DR116" s="158"/>
      <c r="DS116" s="158"/>
      <c r="DT116" s="158"/>
      <c r="DU116" s="158"/>
      <c r="DV116" s="158"/>
      <c r="DW116" s="158"/>
      <c r="DX116" s="158"/>
      <c r="DY116" s="158"/>
      <c r="DZ116" s="158"/>
      <c r="EA116" s="158"/>
      <c r="EB116" s="158"/>
      <c r="EC116" s="158"/>
      <c r="ED116" s="158"/>
      <c r="EE116" s="158"/>
      <c r="EF116" s="158"/>
      <c r="EG116" s="158"/>
      <c r="EH116" s="158"/>
      <c r="EI116" s="158"/>
      <c r="EJ116" s="158"/>
      <c r="EK116" s="158"/>
      <c r="EL116" s="158"/>
      <c r="EM116" s="158"/>
      <c r="EN116" s="158"/>
      <c r="EO116" s="158"/>
      <c r="EP116" s="158"/>
      <c r="EQ116" s="158"/>
      <c r="ER116" s="158"/>
      <c r="ES116" s="158"/>
      <c r="ET116" s="158"/>
      <c r="EU116" s="158"/>
      <c r="EV116" s="158"/>
      <c r="EW116" s="158"/>
      <c r="EX116" s="158"/>
      <c r="EY116" s="158"/>
      <c r="EZ116" s="158"/>
      <c r="FA116" s="158"/>
      <c r="FB116" s="158"/>
      <c r="FC116" s="158"/>
      <c r="FD116" s="158"/>
      <c r="FE116" s="158"/>
      <c r="FF116" s="158"/>
      <c r="FG116" s="158"/>
      <c r="FH116" s="158"/>
      <c r="FI116" s="158"/>
      <c r="FJ116" s="158"/>
      <c r="FK116" s="158"/>
      <c r="FL116" s="158"/>
      <c r="FM116" s="158"/>
      <c r="FN116" s="158"/>
      <c r="FO116" s="158"/>
      <c r="FP116" s="158"/>
      <c r="FQ116" s="158"/>
      <c r="FR116" s="158"/>
      <c r="FS116" s="158"/>
      <c r="FT116" s="158"/>
      <c r="FU116" s="158"/>
      <c r="FV116" s="158"/>
      <c r="FW116" s="158"/>
      <c r="FX116" s="158"/>
      <c r="FY116" s="158"/>
      <c r="FZ116" s="158"/>
      <c r="GA116" s="158"/>
      <c r="GB116" s="158"/>
      <c r="GC116" s="158"/>
      <c r="GD116" s="158"/>
      <c r="GE116" s="158"/>
      <c r="GF116" s="158"/>
      <c r="GG116" s="158"/>
      <c r="GH116" s="158"/>
      <c r="GI116" s="158"/>
      <c r="GJ116" s="158"/>
      <c r="GK116" s="158"/>
      <c r="GL116" s="158"/>
      <c r="GM116" s="158"/>
      <c r="GN116" s="158"/>
      <c r="GO116" s="158"/>
      <c r="GP116" s="158"/>
      <c r="GQ116" s="158"/>
      <c r="GR116" s="158"/>
      <c r="GS116" s="158"/>
      <c r="GT116" s="158"/>
      <c r="GU116" s="158"/>
      <c r="GV116" s="158"/>
      <c r="GW116" s="158"/>
      <c r="GX116" s="158"/>
      <c r="GY116" s="158"/>
      <c r="GZ116" s="158"/>
      <c r="HA116" s="158"/>
      <c r="HB116" s="158"/>
      <c r="HC116" s="158"/>
      <c r="HD116" s="158"/>
      <c r="HE116" s="158"/>
      <c r="HF116" s="158"/>
      <c r="HG116" s="158"/>
      <c r="HH116" s="158"/>
      <c r="HI116" s="158"/>
      <c r="HJ116" s="158"/>
      <c r="HK116" s="158"/>
      <c r="HL116" s="158"/>
    </row>
    <row r="117" spans="1:220">
      <c r="A117" s="49"/>
      <c r="B117" s="105" t="s">
        <v>364</v>
      </c>
      <c r="C117" s="162" t="s">
        <v>748</v>
      </c>
      <c r="D117" s="145">
        <f>Output_Human!L7</f>
        <v>0</v>
      </c>
      <c r="E117" s="158"/>
      <c r="F117" s="158"/>
      <c r="G117" s="158"/>
      <c r="H117" s="158"/>
      <c r="I117" s="158"/>
      <c r="J117" s="158"/>
      <c r="K117" s="158"/>
      <c r="L117" s="158"/>
      <c r="M117" s="158"/>
      <c r="N117" s="158"/>
      <c r="O117" s="158"/>
      <c r="P117" s="158"/>
      <c r="Q117" s="158"/>
      <c r="R117" s="158"/>
      <c r="S117" s="158"/>
      <c r="T117" s="158"/>
      <c r="U117" s="158"/>
      <c r="V117" s="158"/>
      <c r="W117" s="158"/>
      <c r="X117" s="158"/>
      <c r="Y117" s="158"/>
      <c r="Z117" s="158"/>
      <c r="AA117" s="158"/>
      <c r="AB117" s="158"/>
      <c r="AC117" s="158"/>
      <c r="AD117" s="158"/>
      <c r="AE117" s="158"/>
      <c r="AF117" s="158"/>
      <c r="AG117" s="158"/>
      <c r="AH117" s="158"/>
      <c r="AI117" s="158"/>
      <c r="AJ117" s="158"/>
      <c r="AK117" s="158"/>
      <c r="AL117" s="158"/>
      <c r="AM117" s="158"/>
      <c r="AN117" s="158"/>
      <c r="AO117" s="158"/>
      <c r="AP117" s="158"/>
      <c r="AQ117" s="158"/>
      <c r="AR117" s="158"/>
      <c r="AS117" s="158"/>
      <c r="AT117" s="158"/>
      <c r="AU117" s="158"/>
      <c r="AV117" s="158"/>
      <c r="AW117" s="158"/>
      <c r="AX117" s="158"/>
      <c r="AY117" s="158"/>
      <c r="AZ117" s="158"/>
      <c r="BA117" s="158"/>
      <c r="BB117" s="158"/>
      <c r="BC117" s="158"/>
      <c r="BD117" s="158"/>
      <c r="BE117" s="158"/>
      <c r="BF117" s="158"/>
      <c r="BG117" s="158"/>
      <c r="BH117" s="158"/>
      <c r="BI117" s="158"/>
      <c r="BJ117" s="158"/>
      <c r="BK117" s="158"/>
      <c r="BL117" s="158"/>
      <c r="BM117" s="158"/>
      <c r="BN117" s="158"/>
      <c r="BO117" s="158"/>
      <c r="BP117" s="158"/>
      <c r="BQ117" s="158"/>
      <c r="BR117" s="158"/>
      <c r="BS117" s="158"/>
      <c r="BT117" s="158"/>
      <c r="BU117" s="158"/>
      <c r="BV117" s="158"/>
      <c r="BW117" s="158"/>
      <c r="BX117" s="158"/>
      <c r="BY117" s="158"/>
      <c r="BZ117" s="158"/>
      <c r="CA117" s="158"/>
      <c r="CB117" s="158"/>
      <c r="CC117" s="158"/>
      <c r="CD117" s="158"/>
      <c r="CE117" s="158"/>
      <c r="CF117" s="158"/>
      <c r="CG117" s="158"/>
      <c r="CH117" s="158"/>
      <c r="CI117" s="158"/>
      <c r="CJ117" s="158"/>
      <c r="CK117" s="158"/>
      <c r="CL117" s="158"/>
      <c r="CM117" s="158"/>
      <c r="CN117" s="158"/>
      <c r="CO117" s="158"/>
      <c r="CP117" s="158"/>
      <c r="CQ117" s="158"/>
      <c r="CR117" s="158"/>
      <c r="CS117" s="158"/>
      <c r="CT117" s="158"/>
      <c r="CU117" s="158"/>
      <c r="CV117" s="158"/>
      <c r="CW117" s="158"/>
      <c r="CX117" s="158"/>
      <c r="CY117" s="158"/>
      <c r="CZ117" s="158"/>
      <c r="DA117" s="158"/>
      <c r="DB117" s="158"/>
      <c r="DC117" s="158"/>
      <c r="DD117" s="158"/>
      <c r="DE117" s="158"/>
      <c r="DF117" s="158"/>
      <c r="DG117" s="158"/>
      <c r="DH117" s="158"/>
      <c r="DI117" s="158"/>
      <c r="DJ117" s="158"/>
      <c r="DK117" s="158"/>
      <c r="DL117" s="158"/>
      <c r="DM117" s="158"/>
      <c r="DN117" s="158"/>
      <c r="DO117" s="158"/>
      <c r="DP117" s="158"/>
      <c r="DQ117" s="158"/>
      <c r="DR117" s="158"/>
      <c r="DS117" s="158"/>
      <c r="DT117" s="158"/>
      <c r="DU117" s="158"/>
      <c r="DV117" s="158"/>
      <c r="DW117" s="158"/>
      <c r="DX117" s="158"/>
      <c r="DY117" s="158"/>
      <c r="DZ117" s="158"/>
      <c r="EA117" s="158"/>
      <c r="EB117" s="158"/>
      <c r="EC117" s="158"/>
      <c r="ED117" s="158"/>
      <c r="EE117" s="158"/>
      <c r="EF117" s="158"/>
      <c r="EG117" s="158"/>
      <c r="EH117" s="158"/>
      <c r="EI117" s="158"/>
      <c r="EJ117" s="158"/>
      <c r="EK117" s="158"/>
      <c r="EL117" s="158"/>
      <c r="EM117" s="158"/>
      <c r="EN117" s="158"/>
      <c r="EO117" s="158"/>
      <c r="EP117" s="158"/>
      <c r="EQ117" s="158"/>
      <c r="ER117" s="158"/>
      <c r="ES117" s="158"/>
      <c r="ET117" s="158"/>
      <c r="EU117" s="158"/>
      <c r="EV117" s="158"/>
      <c r="EW117" s="158"/>
      <c r="EX117" s="158"/>
      <c r="EY117" s="158"/>
      <c r="EZ117" s="158"/>
      <c r="FA117" s="158"/>
      <c r="FB117" s="158"/>
      <c r="FC117" s="158"/>
      <c r="FD117" s="158"/>
      <c r="FE117" s="158"/>
      <c r="FF117" s="158"/>
      <c r="FG117" s="158"/>
      <c r="FH117" s="158"/>
      <c r="FI117" s="158"/>
      <c r="FJ117" s="158"/>
      <c r="FK117" s="158"/>
      <c r="FL117" s="158"/>
      <c r="FM117" s="158"/>
      <c r="FN117" s="158"/>
      <c r="FO117" s="158"/>
      <c r="FP117" s="158"/>
      <c r="FQ117" s="158"/>
      <c r="FR117" s="158"/>
      <c r="FS117" s="158"/>
      <c r="FT117" s="158"/>
      <c r="FU117" s="158"/>
      <c r="FV117" s="158"/>
      <c r="FW117" s="158"/>
      <c r="FX117" s="158"/>
      <c r="FY117" s="158"/>
      <c r="FZ117" s="158"/>
      <c r="GA117" s="158"/>
      <c r="GB117" s="158"/>
      <c r="GC117" s="158"/>
      <c r="GD117" s="158"/>
      <c r="GE117" s="158"/>
      <c r="GF117" s="158"/>
      <c r="GG117" s="158"/>
      <c r="GH117" s="158"/>
      <c r="GI117" s="158"/>
      <c r="GJ117" s="158"/>
      <c r="GK117" s="158"/>
      <c r="GL117" s="158"/>
      <c r="GM117" s="158"/>
      <c r="GN117" s="158"/>
      <c r="GO117" s="158"/>
      <c r="GP117" s="158"/>
      <c r="GQ117" s="158"/>
      <c r="GR117" s="158"/>
      <c r="GS117" s="158"/>
      <c r="GT117" s="158"/>
      <c r="GU117" s="158"/>
      <c r="GV117" s="158"/>
      <c r="GW117" s="158"/>
      <c r="GX117" s="158"/>
      <c r="GY117" s="158"/>
      <c r="GZ117" s="158"/>
      <c r="HA117" s="158"/>
      <c r="HB117" s="158"/>
      <c r="HC117" s="158"/>
      <c r="HD117" s="158"/>
      <c r="HE117" s="158"/>
      <c r="HF117" s="158"/>
      <c r="HG117" s="158"/>
      <c r="HH117" s="158"/>
      <c r="HI117" s="158"/>
      <c r="HJ117" s="158"/>
      <c r="HK117" s="158"/>
      <c r="HL117" s="158"/>
    </row>
    <row r="118" spans="1:220">
      <c r="A118" s="49"/>
      <c r="B118" s="105" t="s">
        <v>365</v>
      </c>
      <c r="C118" s="162" t="s">
        <v>749</v>
      </c>
      <c r="D118" s="145">
        <f>Output_Human!L18</f>
        <v>0</v>
      </c>
      <c r="E118" s="158"/>
      <c r="F118" s="158"/>
      <c r="G118" s="158"/>
      <c r="H118" s="158"/>
      <c r="I118" s="158"/>
      <c r="J118" s="158"/>
      <c r="K118" s="158"/>
      <c r="L118" s="158"/>
      <c r="M118" s="158"/>
      <c r="N118" s="158"/>
      <c r="O118" s="158"/>
      <c r="P118" s="158"/>
      <c r="Q118" s="158"/>
      <c r="R118" s="158"/>
      <c r="S118" s="158"/>
      <c r="T118" s="158"/>
      <c r="U118" s="158"/>
      <c r="V118" s="158"/>
      <c r="W118" s="158"/>
      <c r="X118" s="158"/>
      <c r="Y118" s="158"/>
      <c r="Z118" s="158"/>
      <c r="AA118" s="158"/>
      <c r="AB118" s="158"/>
      <c r="AC118" s="158"/>
      <c r="AD118" s="158"/>
      <c r="AE118" s="158"/>
      <c r="AF118" s="158"/>
      <c r="AG118" s="158"/>
      <c r="AH118" s="158"/>
      <c r="AI118" s="158"/>
      <c r="AJ118" s="158"/>
      <c r="AK118" s="158"/>
      <c r="AL118" s="158"/>
      <c r="AM118" s="158"/>
      <c r="AN118" s="158"/>
      <c r="AO118" s="158"/>
      <c r="AP118" s="158"/>
      <c r="AQ118" s="158"/>
      <c r="AR118" s="158"/>
      <c r="AS118" s="158"/>
      <c r="AT118" s="158"/>
      <c r="AU118" s="158"/>
      <c r="AV118" s="158"/>
      <c r="AW118" s="158"/>
      <c r="AX118" s="158"/>
      <c r="AY118" s="158"/>
      <c r="AZ118" s="158"/>
      <c r="BA118" s="158"/>
      <c r="BB118" s="158"/>
      <c r="BC118" s="158"/>
      <c r="BD118" s="158"/>
      <c r="BE118" s="158"/>
      <c r="BF118" s="158"/>
      <c r="BG118" s="158"/>
      <c r="BH118" s="158"/>
      <c r="BI118" s="158"/>
      <c r="BJ118" s="158"/>
      <c r="BK118" s="158"/>
      <c r="BL118" s="158"/>
      <c r="BM118" s="158"/>
      <c r="BN118" s="158"/>
      <c r="BO118" s="158"/>
      <c r="BP118" s="158"/>
      <c r="BQ118" s="158"/>
      <c r="BR118" s="158"/>
      <c r="BS118" s="158"/>
      <c r="BT118" s="158"/>
      <c r="BU118" s="158"/>
      <c r="BV118" s="158"/>
      <c r="BW118" s="158"/>
      <c r="BX118" s="158"/>
      <c r="BY118" s="158"/>
      <c r="BZ118" s="158"/>
      <c r="CA118" s="158"/>
      <c r="CB118" s="158"/>
      <c r="CC118" s="158"/>
      <c r="CD118" s="158"/>
      <c r="CE118" s="158"/>
      <c r="CF118" s="158"/>
      <c r="CG118" s="158"/>
      <c r="CH118" s="158"/>
      <c r="CI118" s="158"/>
      <c r="CJ118" s="158"/>
      <c r="CK118" s="158"/>
      <c r="CL118" s="158"/>
      <c r="CM118" s="158"/>
      <c r="CN118" s="158"/>
      <c r="CO118" s="158"/>
      <c r="CP118" s="158"/>
      <c r="CQ118" s="158"/>
      <c r="CR118" s="158"/>
      <c r="CS118" s="158"/>
      <c r="CT118" s="158"/>
      <c r="CU118" s="158"/>
      <c r="CV118" s="158"/>
      <c r="CW118" s="158"/>
      <c r="CX118" s="158"/>
      <c r="CY118" s="158"/>
      <c r="CZ118" s="158"/>
      <c r="DA118" s="158"/>
      <c r="DB118" s="158"/>
      <c r="DC118" s="158"/>
      <c r="DD118" s="158"/>
      <c r="DE118" s="158"/>
      <c r="DF118" s="158"/>
      <c r="DG118" s="158"/>
      <c r="DH118" s="158"/>
      <c r="DI118" s="158"/>
      <c r="DJ118" s="158"/>
      <c r="DK118" s="158"/>
      <c r="DL118" s="158"/>
      <c r="DM118" s="158"/>
      <c r="DN118" s="158"/>
      <c r="DO118" s="158"/>
      <c r="DP118" s="158"/>
      <c r="DQ118" s="158"/>
      <c r="DR118" s="158"/>
      <c r="DS118" s="158"/>
      <c r="DT118" s="158"/>
      <c r="DU118" s="158"/>
      <c r="DV118" s="158"/>
      <c r="DW118" s="158"/>
      <c r="DX118" s="158"/>
      <c r="DY118" s="158"/>
      <c r="DZ118" s="158"/>
      <c r="EA118" s="158"/>
      <c r="EB118" s="158"/>
      <c r="EC118" s="158"/>
      <c r="ED118" s="158"/>
      <c r="EE118" s="158"/>
      <c r="EF118" s="158"/>
      <c r="EG118" s="158"/>
      <c r="EH118" s="158"/>
      <c r="EI118" s="158"/>
      <c r="EJ118" s="158"/>
      <c r="EK118" s="158"/>
      <c r="EL118" s="158"/>
      <c r="EM118" s="158"/>
      <c r="EN118" s="158"/>
      <c r="EO118" s="158"/>
      <c r="EP118" s="158"/>
      <c r="EQ118" s="158"/>
      <c r="ER118" s="158"/>
      <c r="ES118" s="158"/>
      <c r="ET118" s="158"/>
      <c r="EU118" s="158"/>
      <c r="EV118" s="158"/>
      <c r="EW118" s="158"/>
      <c r="EX118" s="158"/>
      <c r="EY118" s="158"/>
      <c r="EZ118" s="158"/>
      <c r="FA118" s="158"/>
      <c r="FB118" s="158"/>
      <c r="FC118" s="158"/>
      <c r="FD118" s="158"/>
      <c r="FE118" s="158"/>
      <c r="FF118" s="158"/>
      <c r="FG118" s="158"/>
      <c r="FH118" s="158"/>
      <c r="FI118" s="158"/>
      <c r="FJ118" s="158"/>
      <c r="FK118" s="158"/>
      <c r="FL118" s="158"/>
      <c r="FM118" s="158"/>
      <c r="FN118" s="158"/>
      <c r="FO118" s="158"/>
      <c r="FP118" s="158"/>
      <c r="FQ118" s="158"/>
      <c r="FR118" s="158"/>
      <c r="FS118" s="158"/>
      <c r="FT118" s="158"/>
      <c r="FU118" s="158"/>
      <c r="FV118" s="158"/>
      <c r="FW118" s="158"/>
      <c r="FX118" s="158"/>
      <c r="FY118" s="158"/>
      <c r="FZ118" s="158"/>
      <c r="GA118" s="158"/>
      <c r="GB118" s="158"/>
      <c r="GC118" s="158"/>
      <c r="GD118" s="158"/>
      <c r="GE118" s="158"/>
      <c r="GF118" s="158"/>
      <c r="GG118" s="158"/>
      <c r="GH118" s="158"/>
      <c r="GI118" s="158"/>
      <c r="GJ118" s="158"/>
      <c r="GK118" s="158"/>
      <c r="GL118" s="158"/>
      <c r="GM118" s="158"/>
      <c r="GN118" s="158"/>
      <c r="GO118" s="158"/>
      <c r="GP118" s="158"/>
      <c r="GQ118" s="158"/>
      <c r="GR118" s="158"/>
      <c r="GS118" s="158"/>
      <c r="GT118" s="158"/>
      <c r="GU118" s="158"/>
      <c r="GV118" s="158"/>
      <c r="GW118" s="158"/>
      <c r="GX118" s="158"/>
      <c r="GY118" s="158"/>
      <c r="GZ118" s="158"/>
      <c r="HA118" s="158"/>
      <c r="HB118" s="158"/>
      <c r="HC118" s="158"/>
      <c r="HD118" s="158"/>
      <c r="HE118" s="158"/>
      <c r="HF118" s="158"/>
      <c r="HG118" s="158"/>
      <c r="HH118" s="158"/>
      <c r="HI118" s="158"/>
      <c r="HJ118" s="158"/>
      <c r="HK118" s="158"/>
      <c r="HL118" s="158"/>
    </row>
    <row r="119" spans="1:220">
      <c r="A119" s="49"/>
      <c r="B119" s="105" t="s">
        <v>366</v>
      </c>
      <c r="C119" s="162" t="s">
        <v>750</v>
      </c>
      <c r="D119" s="145">
        <f>Output_Human!L29</f>
        <v>0</v>
      </c>
      <c r="E119" s="158"/>
      <c r="F119" s="158"/>
      <c r="G119" s="158"/>
      <c r="H119" s="158"/>
      <c r="I119" s="158"/>
      <c r="J119" s="158"/>
      <c r="K119" s="158"/>
      <c r="L119" s="158"/>
      <c r="M119" s="158"/>
      <c r="N119" s="158"/>
      <c r="O119" s="158"/>
      <c r="P119" s="158"/>
      <c r="Q119" s="158"/>
      <c r="R119" s="158"/>
      <c r="S119" s="158"/>
      <c r="T119" s="158"/>
      <c r="U119" s="158"/>
      <c r="V119" s="158"/>
      <c r="W119" s="158"/>
      <c r="X119" s="158"/>
      <c r="Y119" s="158"/>
      <c r="Z119" s="158"/>
      <c r="AA119" s="158"/>
      <c r="AB119" s="158"/>
      <c r="AC119" s="158"/>
      <c r="AD119" s="158"/>
      <c r="AE119" s="158"/>
      <c r="AF119" s="158"/>
      <c r="AG119" s="158"/>
      <c r="AH119" s="158"/>
      <c r="AI119" s="158"/>
      <c r="AJ119" s="158"/>
      <c r="AK119" s="158"/>
      <c r="AL119" s="158"/>
      <c r="AM119" s="158"/>
      <c r="AN119" s="158"/>
      <c r="AO119" s="158"/>
      <c r="AP119" s="158"/>
      <c r="AQ119" s="158"/>
      <c r="AR119" s="158"/>
      <c r="AS119" s="158"/>
      <c r="AT119" s="158"/>
      <c r="AU119" s="158"/>
      <c r="AV119" s="158"/>
      <c r="AW119" s="158"/>
      <c r="AX119" s="158"/>
      <c r="AY119" s="158"/>
      <c r="AZ119" s="158"/>
      <c r="BA119" s="158"/>
      <c r="BB119" s="158"/>
      <c r="BC119" s="158"/>
      <c r="BD119" s="158"/>
      <c r="BE119" s="158"/>
      <c r="BF119" s="158"/>
      <c r="BG119" s="158"/>
      <c r="BH119" s="158"/>
      <c r="BI119" s="158"/>
      <c r="BJ119" s="158"/>
      <c r="BK119" s="158"/>
      <c r="BL119" s="158"/>
      <c r="BM119" s="158"/>
      <c r="BN119" s="158"/>
      <c r="BO119" s="158"/>
      <c r="BP119" s="158"/>
      <c r="BQ119" s="158"/>
      <c r="BR119" s="158"/>
      <c r="BS119" s="158"/>
      <c r="BT119" s="158"/>
      <c r="BU119" s="158"/>
      <c r="BV119" s="158"/>
      <c r="BW119" s="158"/>
      <c r="BX119" s="158"/>
      <c r="BY119" s="158"/>
      <c r="BZ119" s="158"/>
      <c r="CA119" s="158"/>
      <c r="CB119" s="158"/>
      <c r="CC119" s="158"/>
      <c r="CD119" s="158"/>
      <c r="CE119" s="158"/>
      <c r="CF119" s="158"/>
      <c r="CG119" s="158"/>
      <c r="CH119" s="158"/>
      <c r="CI119" s="158"/>
      <c r="CJ119" s="158"/>
      <c r="CK119" s="158"/>
      <c r="CL119" s="158"/>
      <c r="CM119" s="158"/>
      <c r="CN119" s="158"/>
      <c r="CO119" s="158"/>
      <c r="CP119" s="158"/>
      <c r="CQ119" s="158"/>
      <c r="CR119" s="158"/>
      <c r="CS119" s="158"/>
      <c r="CT119" s="158"/>
      <c r="CU119" s="158"/>
      <c r="CV119" s="158"/>
      <c r="CW119" s="158"/>
      <c r="CX119" s="158"/>
      <c r="CY119" s="158"/>
      <c r="CZ119" s="158"/>
      <c r="DA119" s="158"/>
      <c r="DB119" s="158"/>
      <c r="DC119" s="158"/>
      <c r="DD119" s="158"/>
      <c r="DE119" s="158"/>
      <c r="DF119" s="158"/>
      <c r="DG119" s="158"/>
      <c r="DH119" s="158"/>
      <c r="DI119" s="158"/>
      <c r="DJ119" s="158"/>
      <c r="DK119" s="158"/>
      <c r="DL119" s="158"/>
      <c r="DM119" s="158"/>
      <c r="DN119" s="158"/>
      <c r="DO119" s="158"/>
      <c r="DP119" s="158"/>
      <c r="DQ119" s="158"/>
      <c r="DR119" s="158"/>
      <c r="DS119" s="158"/>
      <c r="DT119" s="158"/>
      <c r="DU119" s="158"/>
      <c r="DV119" s="158"/>
      <c r="DW119" s="158"/>
      <c r="DX119" s="158"/>
      <c r="DY119" s="158"/>
      <c r="DZ119" s="158"/>
      <c r="EA119" s="158"/>
      <c r="EB119" s="158"/>
      <c r="EC119" s="158"/>
      <c r="ED119" s="158"/>
      <c r="EE119" s="158"/>
      <c r="EF119" s="158"/>
      <c r="EG119" s="158"/>
      <c r="EH119" s="158"/>
      <c r="EI119" s="158"/>
      <c r="EJ119" s="158"/>
      <c r="EK119" s="158"/>
      <c r="EL119" s="158"/>
      <c r="EM119" s="158"/>
      <c r="EN119" s="158"/>
      <c r="EO119" s="158"/>
      <c r="EP119" s="158"/>
      <c r="EQ119" s="158"/>
      <c r="ER119" s="158"/>
      <c r="ES119" s="158"/>
      <c r="ET119" s="158"/>
      <c r="EU119" s="158"/>
      <c r="EV119" s="158"/>
      <c r="EW119" s="158"/>
      <c r="EX119" s="158"/>
      <c r="EY119" s="158"/>
      <c r="EZ119" s="158"/>
      <c r="FA119" s="158"/>
      <c r="FB119" s="158"/>
      <c r="FC119" s="158"/>
      <c r="FD119" s="158"/>
      <c r="FE119" s="158"/>
      <c r="FF119" s="158"/>
      <c r="FG119" s="158"/>
      <c r="FH119" s="158"/>
      <c r="FI119" s="158"/>
      <c r="FJ119" s="158"/>
      <c r="FK119" s="158"/>
      <c r="FL119" s="158"/>
      <c r="FM119" s="158"/>
      <c r="FN119" s="158"/>
      <c r="FO119" s="158"/>
      <c r="FP119" s="158"/>
      <c r="FQ119" s="158"/>
      <c r="FR119" s="158"/>
      <c r="FS119" s="158"/>
      <c r="FT119" s="158"/>
      <c r="FU119" s="158"/>
      <c r="FV119" s="158"/>
      <c r="FW119" s="158"/>
      <c r="FX119" s="158"/>
      <c r="FY119" s="158"/>
      <c r="FZ119" s="158"/>
      <c r="GA119" s="158"/>
      <c r="GB119" s="158"/>
      <c r="GC119" s="158"/>
      <c r="GD119" s="158"/>
      <c r="GE119" s="158"/>
      <c r="GF119" s="158"/>
      <c r="GG119" s="158"/>
      <c r="GH119" s="158"/>
      <c r="GI119" s="158"/>
      <c r="GJ119" s="158"/>
      <c r="GK119" s="158"/>
      <c r="GL119" s="158"/>
      <c r="GM119" s="158"/>
      <c r="GN119" s="158"/>
      <c r="GO119" s="158"/>
      <c r="GP119" s="158"/>
      <c r="GQ119" s="158"/>
      <c r="GR119" s="158"/>
      <c r="GS119" s="158"/>
      <c r="GT119" s="158"/>
      <c r="GU119" s="158"/>
      <c r="GV119" s="158"/>
      <c r="GW119" s="158"/>
      <c r="GX119" s="158"/>
      <c r="GY119" s="158"/>
      <c r="GZ119" s="158"/>
      <c r="HA119" s="158"/>
      <c r="HB119" s="158"/>
      <c r="HC119" s="158"/>
      <c r="HD119" s="158"/>
      <c r="HE119" s="158"/>
      <c r="HF119" s="158"/>
      <c r="HG119" s="158"/>
      <c r="HH119" s="158"/>
      <c r="HI119" s="158"/>
      <c r="HJ119" s="158"/>
      <c r="HK119" s="158"/>
      <c r="HL119" s="158"/>
    </row>
    <row r="120" spans="1:220">
      <c r="A120" s="49"/>
      <c r="B120" s="105" t="s">
        <v>367</v>
      </c>
      <c r="C120" s="162"/>
      <c r="D120" s="145"/>
      <c r="E120" s="158"/>
      <c r="F120" s="158"/>
      <c r="G120" s="158"/>
      <c r="H120" s="158"/>
      <c r="I120" s="158"/>
      <c r="J120" s="158"/>
      <c r="K120" s="158"/>
      <c r="L120" s="158"/>
      <c r="M120" s="158"/>
      <c r="N120" s="158"/>
      <c r="O120" s="158"/>
      <c r="P120" s="158"/>
      <c r="Q120" s="158"/>
      <c r="R120" s="158"/>
      <c r="S120" s="158"/>
      <c r="T120" s="158"/>
      <c r="U120" s="158"/>
      <c r="V120" s="158"/>
      <c r="W120" s="158"/>
      <c r="X120" s="158"/>
      <c r="Y120" s="158"/>
      <c r="Z120" s="158"/>
      <c r="AA120" s="158"/>
      <c r="AB120" s="158"/>
      <c r="AC120" s="158"/>
      <c r="AD120" s="158"/>
      <c r="AE120" s="158"/>
      <c r="AF120" s="158"/>
      <c r="AG120" s="158"/>
      <c r="AH120" s="158"/>
      <c r="AI120" s="158"/>
      <c r="AJ120" s="158"/>
      <c r="AK120" s="158"/>
      <c r="AL120" s="158"/>
      <c r="AM120" s="158"/>
      <c r="AN120" s="158"/>
      <c r="AO120" s="158"/>
      <c r="AP120" s="158"/>
      <c r="AQ120" s="158"/>
      <c r="AR120" s="158"/>
      <c r="AS120" s="158"/>
      <c r="AT120" s="158"/>
      <c r="AU120" s="158"/>
      <c r="AV120" s="158"/>
      <c r="AW120" s="158"/>
      <c r="AX120" s="158"/>
      <c r="AY120" s="158"/>
      <c r="AZ120" s="158"/>
      <c r="BA120" s="158"/>
      <c r="BB120" s="158"/>
      <c r="BC120" s="158"/>
      <c r="BD120" s="158"/>
      <c r="BE120" s="158"/>
      <c r="BF120" s="158"/>
      <c r="BG120" s="158"/>
      <c r="BH120" s="158"/>
      <c r="BI120" s="158"/>
      <c r="BJ120" s="158"/>
      <c r="BK120" s="158"/>
      <c r="BL120" s="158"/>
      <c r="BM120" s="158"/>
      <c r="BN120" s="158"/>
      <c r="BO120" s="158"/>
      <c r="BP120" s="158"/>
      <c r="BQ120" s="158"/>
      <c r="BR120" s="158"/>
      <c r="BS120" s="158"/>
      <c r="BT120" s="158"/>
      <c r="BU120" s="158"/>
      <c r="BV120" s="158"/>
      <c r="BW120" s="158"/>
      <c r="BX120" s="158"/>
      <c r="BY120" s="158"/>
      <c r="BZ120" s="158"/>
      <c r="CA120" s="158"/>
      <c r="CB120" s="158"/>
      <c r="CC120" s="158"/>
      <c r="CD120" s="158"/>
      <c r="CE120" s="158"/>
      <c r="CF120" s="158"/>
      <c r="CG120" s="158"/>
      <c r="CH120" s="158"/>
      <c r="CI120" s="158"/>
      <c r="CJ120" s="158"/>
      <c r="CK120" s="158"/>
      <c r="CL120" s="158"/>
      <c r="CM120" s="158"/>
      <c r="CN120" s="158"/>
      <c r="CO120" s="158"/>
      <c r="CP120" s="158"/>
      <c r="CQ120" s="158"/>
      <c r="CR120" s="158"/>
      <c r="CS120" s="158"/>
      <c r="CT120" s="158"/>
      <c r="CU120" s="158"/>
      <c r="CV120" s="158"/>
      <c r="CW120" s="158"/>
      <c r="CX120" s="158"/>
      <c r="CY120" s="158"/>
      <c r="CZ120" s="158"/>
      <c r="DA120" s="158"/>
      <c r="DB120" s="158"/>
      <c r="DC120" s="158"/>
      <c r="DD120" s="158"/>
      <c r="DE120" s="158"/>
      <c r="DF120" s="158"/>
      <c r="DG120" s="158"/>
      <c r="DH120" s="158"/>
      <c r="DI120" s="158"/>
      <c r="DJ120" s="158"/>
      <c r="DK120" s="158"/>
      <c r="DL120" s="158"/>
      <c r="DM120" s="158"/>
      <c r="DN120" s="158"/>
      <c r="DO120" s="158"/>
      <c r="DP120" s="158"/>
      <c r="DQ120" s="158"/>
      <c r="DR120" s="158"/>
      <c r="DS120" s="158"/>
      <c r="DT120" s="158"/>
      <c r="DU120" s="158"/>
      <c r="DV120" s="158"/>
      <c r="DW120" s="158"/>
      <c r="DX120" s="158"/>
      <c r="DY120" s="158"/>
      <c r="DZ120" s="158"/>
      <c r="EA120" s="158"/>
      <c r="EB120" s="158"/>
      <c r="EC120" s="158"/>
      <c r="ED120" s="158"/>
      <c r="EE120" s="158"/>
      <c r="EF120" s="158"/>
      <c r="EG120" s="158"/>
      <c r="EH120" s="158"/>
      <c r="EI120" s="158"/>
      <c r="EJ120" s="158"/>
      <c r="EK120" s="158"/>
      <c r="EL120" s="158"/>
      <c r="EM120" s="158"/>
      <c r="EN120" s="158"/>
      <c r="EO120" s="158"/>
      <c r="EP120" s="158"/>
      <c r="EQ120" s="158"/>
      <c r="ER120" s="158"/>
      <c r="ES120" s="158"/>
      <c r="ET120" s="158"/>
      <c r="EU120" s="158"/>
      <c r="EV120" s="158"/>
      <c r="EW120" s="158"/>
      <c r="EX120" s="158"/>
      <c r="EY120" s="158"/>
      <c r="EZ120" s="158"/>
      <c r="FA120" s="158"/>
      <c r="FB120" s="158"/>
      <c r="FC120" s="158"/>
      <c r="FD120" s="158"/>
      <c r="FE120" s="158"/>
      <c r="FF120" s="158"/>
      <c r="FG120" s="158"/>
      <c r="FH120" s="158"/>
      <c r="FI120" s="158"/>
      <c r="FJ120" s="158"/>
      <c r="FK120" s="158"/>
      <c r="FL120" s="158"/>
      <c r="FM120" s="158"/>
      <c r="FN120" s="158"/>
      <c r="FO120" s="158"/>
      <c r="FP120" s="158"/>
      <c r="FQ120" s="158"/>
      <c r="FR120" s="158"/>
      <c r="FS120" s="158"/>
      <c r="FT120" s="158"/>
      <c r="FU120" s="158"/>
      <c r="FV120" s="158"/>
      <c r="FW120" s="158"/>
      <c r="FX120" s="158"/>
      <c r="FY120" s="158"/>
      <c r="FZ120" s="158"/>
      <c r="GA120" s="158"/>
      <c r="GB120" s="158"/>
      <c r="GC120" s="158"/>
      <c r="GD120" s="158"/>
      <c r="GE120" s="158"/>
      <c r="GF120" s="158"/>
      <c r="GG120" s="158"/>
      <c r="GH120" s="158"/>
      <c r="GI120" s="158"/>
      <c r="GJ120" s="158"/>
      <c r="GK120" s="158"/>
      <c r="GL120" s="158"/>
      <c r="GM120" s="158"/>
      <c r="GN120" s="158"/>
      <c r="GO120" s="158"/>
      <c r="GP120" s="158"/>
      <c r="GQ120" s="158"/>
      <c r="GR120" s="158"/>
      <c r="GS120" s="158"/>
      <c r="GT120" s="158"/>
      <c r="GU120" s="158"/>
      <c r="GV120" s="158"/>
      <c r="GW120" s="158"/>
      <c r="GX120" s="158"/>
      <c r="GY120" s="158"/>
      <c r="GZ120" s="158"/>
      <c r="HA120" s="158"/>
      <c r="HB120" s="158"/>
      <c r="HC120" s="158"/>
      <c r="HD120" s="158"/>
      <c r="HE120" s="158"/>
      <c r="HF120" s="158"/>
      <c r="HG120" s="158"/>
      <c r="HH120" s="158"/>
      <c r="HI120" s="158"/>
      <c r="HJ120" s="158"/>
      <c r="HK120" s="158"/>
      <c r="HL120" s="158"/>
    </row>
  </sheetData>
  <sheetProtection algorithmName="SHA-512" hashValue="BLKmryncewCw9+/KoKyw8ZKnaTSANzz19rsNTRrWnvfj63cCfWDrCwS61DlpcFFQjD/NpHrECpjzokKP7JFMrA==" saltValue="57h+pEp9jMsldBCnbDzy5w==" spinCount="100000" sheet="1" objects="1" scenarios="1"/>
  <phoneticPr fontId="50" type="noConversion"/>
  <dataValidations count="2">
    <dataValidation type="list" allowBlank="1" showInputMessage="1" showErrorMessage="1" sqref="B8:C8" xr:uid="{FA2B23A9-9E48-40E1-BA36-310B14466294}">
      <formula1>"Real chemicals,Hypothetical chemicals"</formula1>
    </dataValidation>
    <dataValidation type="list" allowBlank="1" showInputMessage="1" showErrorMessage="1" sqref="E2:E5" xr:uid="{7050A3E1-58AE-4A17-BB2C-1E6135679C8C}">
      <formula1>"Yes,No"</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RunBatch">
                <anchor moveWithCells="1" sizeWithCells="1">
                  <from>
                    <xdr:col>1</xdr:col>
                    <xdr:colOff>0</xdr:colOff>
                    <xdr:row>1</xdr:row>
                    <xdr:rowOff>0</xdr:rowOff>
                  </from>
                  <to>
                    <xdr:col>4</xdr:col>
                    <xdr:colOff>0</xdr:colOff>
                    <xdr:row>5</xdr:row>
                    <xdr:rowOff>28575</xdr:rowOff>
                  </to>
                </anchor>
              </controlPr>
            </control>
          </mc:Choice>
        </mc:AlternateContent>
        <mc:AlternateContent xmlns:mc="http://schemas.openxmlformats.org/markup-compatibility/2006">
          <mc:Choice Requires="x14">
            <control shapeId="81926" r:id="rId5" name="Button 6">
              <controlPr defaultSize="0" print="0" autoFill="0" autoPict="0" macro="[0]!ModeSelect">
                <anchor moveWithCells="1" sizeWithCells="1">
                  <from>
                    <xdr:col>2</xdr:col>
                    <xdr:colOff>76200</xdr:colOff>
                    <xdr:row>6</xdr:row>
                    <xdr:rowOff>0</xdr:rowOff>
                  </from>
                  <to>
                    <xdr:col>2</xdr:col>
                    <xdr:colOff>1666875</xdr:colOff>
                    <xdr:row>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70C0"/>
  </sheetPr>
  <dimension ref="A1:I70"/>
  <sheetViews>
    <sheetView topLeftCell="A41" workbookViewId="0">
      <selection activeCell="D50" sqref="D50"/>
    </sheetView>
  </sheetViews>
  <sheetFormatPr defaultColWidth="0" defaultRowHeight="15.75" customHeight="1"/>
  <cols>
    <col min="1" max="1" width="3.86328125" style="16" customWidth="1"/>
    <col min="2" max="2" width="72.86328125" style="16" customWidth="1"/>
    <col min="3" max="3" width="11.86328125" style="16" customWidth="1"/>
    <col min="4" max="4" width="35" style="16" customWidth="1"/>
    <col min="5" max="5" width="15.3984375" style="16" customWidth="1"/>
    <col min="6" max="6" width="29.3984375" style="16" customWidth="1"/>
    <col min="7" max="8" width="9" style="16" customWidth="1"/>
    <col min="9" max="16384" width="9" style="16" hidden="1"/>
  </cols>
  <sheetData>
    <row r="1" spans="1:6" s="49" customFormat="1" ht="50.1" customHeight="1">
      <c r="B1" s="63" t="s">
        <v>178</v>
      </c>
    </row>
    <row r="2" spans="1:6" s="49" customFormat="1" ht="15" hidden="1" customHeight="1">
      <c r="A2" s="113"/>
    </row>
    <row r="3" spans="1:6" s="49" customFormat="1" ht="15" hidden="1" customHeight="1">
      <c r="A3" s="113"/>
    </row>
    <row r="4" spans="1:6" s="49" customFormat="1" ht="15" hidden="1" customHeight="1">
      <c r="A4" s="113"/>
    </row>
    <row r="5" spans="1:6" s="49" customFormat="1" ht="15" hidden="1" customHeight="1">
      <c r="A5" s="113"/>
    </row>
    <row r="6" spans="1:6" s="49" customFormat="1" ht="15" hidden="1" customHeight="1">
      <c r="A6" s="113"/>
    </row>
    <row r="7" spans="1:6" s="49" customFormat="1" ht="15" hidden="1" customHeight="1">
      <c r="A7" s="113"/>
    </row>
    <row r="8" spans="1:6" s="49" customFormat="1" ht="17.100000000000001" customHeight="1">
      <c r="A8" s="113"/>
      <c r="E8" s="114" t="s">
        <v>726</v>
      </c>
      <c r="F8" s="70" t="s">
        <v>967</v>
      </c>
    </row>
    <row r="9" spans="1:6" s="49" customFormat="1" ht="17.100000000000001" customHeight="1">
      <c r="A9" s="113"/>
    </row>
    <row r="10" spans="1:6" s="49" customFormat="1" ht="17.100000000000001" customHeight="1">
      <c r="A10" s="151"/>
      <c r="B10" s="151" t="s">
        <v>725</v>
      </c>
      <c r="C10" s="151" t="s">
        <v>35</v>
      </c>
      <c r="D10" s="151" t="s">
        <v>222</v>
      </c>
      <c r="E10" s="151" t="s">
        <v>205</v>
      </c>
      <c r="F10" s="151" t="s">
        <v>223</v>
      </c>
    </row>
    <row r="11" spans="1:6" s="103" customFormat="1" ht="17.100000000000001" customHeight="1">
      <c r="B11" s="103" t="s">
        <v>84</v>
      </c>
      <c r="C11" s="103" t="s">
        <v>85</v>
      </c>
      <c r="D11" s="187" t="s">
        <v>937</v>
      </c>
      <c r="E11" s="188" t="s">
        <v>429</v>
      </c>
    </row>
    <row r="12" spans="1:6" s="49" customFormat="1" ht="17.100000000000001" customHeight="1">
      <c r="A12" s="114"/>
      <c r="B12" s="49" t="s">
        <v>511</v>
      </c>
      <c r="C12" s="49" t="s">
        <v>3</v>
      </c>
      <c r="D12" s="189">
        <v>257.5</v>
      </c>
      <c r="E12" s="49" t="s">
        <v>481</v>
      </c>
    </row>
    <row r="13" spans="1:6" s="49" customFormat="1" ht="17.100000000000001" customHeight="1">
      <c r="B13" s="49" t="s">
        <v>466</v>
      </c>
      <c r="C13" s="49" t="s">
        <v>468</v>
      </c>
      <c r="D13" s="46">
        <v>9999</v>
      </c>
      <c r="E13" s="184" t="s">
        <v>429</v>
      </c>
      <c r="F13" s="49" t="s">
        <v>526</v>
      </c>
    </row>
    <row r="14" spans="1:6" s="49" customFormat="1" ht="17.100000000000001" customHeight="1">
      <c r="B14" s="49" t="s">
        <v>467</v>
      </c>
      <c r="C14" s="49" t="s">
        <v>469</v>
      </c>
      <c r="D14" s="46">
        <v>9999</v>
      </c>
      <c r="E14" s="184" t="s">
        <v>429</v>
      </c>
      <c r="F14" s="49" t="s">
        <v>526</v>
      </c>
    </row>
    <row r="15" spans="1:6" s="49" customFormat="1" ht="17.100000000000001" customHeight="1">
      <c r="A15" s="203"/>
      <c r="B15" s="203" t="s">
        <v>663</v>
      </c>
      <c r="C15" s="203" t="s">
        <v>697</v>
      </c>
      <c r="D15" s="206" t="s">
        <v>956</v>
      </c>
      <c r="E15" s="205"/>
      <c r="F15" s="203"/>
    </row>
    <row r="16" spans="1:6" s="49" customFormat="1" ht="17.100000000000001" customHeight="1">
      <c r="A16" s="97"/>
      <c r="B16" s="97" t="s">
        <v>680</v>
      </c>
      <c r="C16" s="97" t="s">
        <v>486</v>
      </c>
      <c r="D16" s="186">
        <v>6.4565422903465524E-3</v>
      </c>
      <c r="E16" s="185" t="s">
        <v>429</v>
      </c>
      <c r="F16" s="97"/>
    </row>
    <row r="17" spans="1:6" s="49" customFormat="1" ht="17.100000000000001" customHeight="1">
      <c r="B17" s="49" t="s">
        <v>681</v>
      </c>
      <c r="C17" s="49" t="s">
        <v>487</v>
      </c>
      <c r="D17" s="145">
        <v>70794578.438413769</v>
      </c>
      <c r="E17" s="184" t="s">
        <v>429</v>
      </c>
    </row>
    <row r="18" spans="1:6" s="49" customFormat="1" ht="17.100000000000001" customHeight="1">
      <c r="B18" s="49" t="s">
        <v>682</v>
      </c>
      <c r="C18" s="49" t="s">
        <v>488</v>
      </c>
      <c r="D18" s="145">
        <v>457088.18961487466</v>
      </c>
      <c r="E18" s="184" t="s">
        <v>429</v>
      </c>
    </row>
    <row r="19" spans="1:6" s="49" customFormat="1" ht="17.100000000000001" customHeight="1">
      <c r="B19" s="49" t="s">
        <v>683</v>
      </c>
      <c r="C19" s="49" t="s">
        <v>543</v>
      </c>
      <c r="D19" s="145">
        <v>73381.401158339737</v>
      </c>
      <c r="E19" s="184" t="s">
        <v>545</v>
      </c>
    </row>
    <row r="20" spans="1:6" s="49" customFormat="1" ht="17.100000000000001" customHeight="1">
      <c r="B20" s="49" t="s">
        <v>684</v>
      </c>
      <c r="C20" s="49" t="s">
        <v>544</v>
      </c>
      <c r="D20" s="145">
        <v>1664700.0784491622</v>
      </c>
      <c r="E20" s="184" t="s">
        <v>546</v>
      </c>
    </row>
    <row r="21" spans="1:6" s="49" customFormat="1" ht="17.100000000000001" customHeight="1">
      <c r="B21" s="49" t="s">
        <v>685</v>
      </c>
      <c r="C21" s="49" t="s">
        <v>489</v>
      </c>
      <c r="D21" s="145">
        <v>21984.191461509468</v>
      </c>
      <c r="E21" s="184" t="s">
        <v>547</v>
      </c>
    </row>
    <row r="22" spans="1:6" s="49" customFormat="1" ht="17.100000000000001" customHeight="1">
      <c r="B22" s="49" t="s">
        <v>686</v>
      </c>
      <c r="C22" s="49" t="s">
        <v>490</v>
      </c>
      <c r="D22" s="145">
        <v>2.2036570134532945E-5</v>
      </c>
      <c r="E22" s="184" t="s">
        <v>525</v>
      </c>
    </row>
    <row r="23" spans="1:6" s="49" customFormat="1" ht="17.100000000000001" customHeight="1">
      <c r="B23" s="49" t="s">
        <v>817</v>
      </c>
      <c r="C23" s="49" t="s">
        <v>491</v>
      </c>
      <c r="D23" s="145">
        <v>1138292.8292701519</v>
      </c>
      <c r="E23" s="184" t="s">
        <v>522</v>
      </c>
    </row>
    <row r="24" spans="1:6" s="49" customFormat="1" ht="17.100000000000001" customHeight="1">
      <c r="B24" s="49" t="s">
        <v>687</v>
      </c>
      <c r="C24" s="49" t="s">
        <v>492</v>
      </c>
      <c r="D24" s="145">
        <v>469807.55888340337</v>
      </c>
      <c r="E24" s="184" t="s">
        <v>523</v>
      </c>
    </row>
    <row r="25" spans="1:6" s="49" customFormat="1" ht="17.100000000000001" customHeight="1">
      <c r="B25" s="49" t="s">
        <v>688</v>
      </c>
      <c r="C25" s="49" t="s">
        <v>493</v>
      </c>
      <c r="D25" s="145">
        <v>16346.094299305374</v>
      </c>
      <c r="E25" s="184" t="s">
        <v>524</v>
      </c>
    </row>
    <row r="26" spans="1:6" s="49" customFormat="1" ht="17.100000000000001" customHeight="1">
      <c r="A26" s="97"/>
      <c r="B26" s="97" t="s">
        <v>677</v>
      </c>
      <c r="C26" s="97" t="s">
        <v>689</v>
      </c>
      <c r="D26" s="186">
        <v>0</v>
      </c>
      <c r="E26" s="185" t="s">
        <v>429</v>
      </c>
      <c r="F26" s="97"/>
    </row>
    <row r="27" spans="1:6" s="49" customFormat="1" ht="17.100000000000001" customHeight="1">
      <c r="B27" s="49" t="s">
        <v>678</v>
      </c>
      <c r="C27" s="49" t="s">
        <v>690</v>
      </c>
      <c r="D27" s="145">
        <v>0</v>
      </c>
      <c r="E27" s="184" t="s">
        <v>429</v>
      </c>
    </row>
    <row r="28" spans="1:6" s="49" customFormat="1" ht="17.100000000000001" customHeight="1">
      <c r="B28" s="49" t="s">
        <v>679</v>
      </c>
      <c r="C28" s="49" t="s">
        <v>691</v>
      </c>
      <c r="D28" s="145">
        <v>404855.08648525528</v>
      </c>
      <c r="E28" s="184" t="s">
        <v>429</v>
      </c>
    </row>
    <row r="29" spans="1:6" s="49" customFormat="1" ht="17.100000000000001" customHeight="1">
      <c r="B29" s="49" t="s">
        <v>664</v>
      </c>
      <c r="C29" s="49" t="s">
        <v>692</v>
      </c>
      <c r="D29" s="145">
        <v>12.60555582312211</v>
      </c>
      <c r="E29" s="184" t="s">
        <v>545</v>
      </c>
    </row>
    <row r="30" spans="1:6" s="49" customFormat="1" ht="17.100000000000001" customHeight="1">
      <c r="B30" s="49" t="s">
        <v>665</v>
      </c>
      <c r="C30" s="49" t="s">
        <v>693</v>
      </c>
      <c r="D30" s="145">
        <v>1664700.0784491622</v>
      </c>
      <c r="E30" s="184" t="s">
        <v>546</v>
      </c>
    </row>
    <row r="31" spans="1:6" s="49" customFormat="1" ht="17.100000000000001" customHeight="1">
      <c r="B31" s="49" t="s">
        <v>666</v>
      </c>
      <c r="C31" s="49" t="s">
        <v>694</v>
      </c>
      <c r="D31" s="145">
        <v>21984.191461509468</v>
      </c>
      <c r="E31" s="184" t="s">
        <v>547</v>
      </c>
    </row>
    <row r="32" spans="1:6" s="49" customFormat="1" ht="17.100000000000001" customHeight="1">
      <c r="B32" s="49" t="s">
        <v>550</v>
      </c>
      <c r="C32" s="49" t="s">
        <v>549</v>
      </c>
      <c r="D32" s="145">
        <v>0</v>
      </c>
      <c r="E32" s="184" t="s">
        <v>548</v>
      </c>
    </row>
    <row r="33" spans="1:6" s="49" customFormat="1" ht="17.100000000000001" customHeight="1">
      <c r="B33" s="49" t="s">
        <v>667</v>
      </c>
      <c r="C33" s="49" t="s">
        <v>675</v>
      </c>
      <c r="D33" s="145">
        <v>2.2036570134532945E-5</v>
      </c>
      <c r="E33" s="184" t="s">
        <v>525</v>
      </c>
    </row>
    <row r="34" spans="1:6" s="49" customFormat="1" ht="17.100000000000001" customHeight="1">
      <c r="B34" s="49" t="s">
        <v>818</v>
      </c>
      <c r="C34" s="49" t="s">
        <v>676</v>
      </c>
      <c r="D34" s="145">
        <v>1138292.8292701519</v>
      </c>
      <c r="E34" s="184" t="s">
        <v>522</v>
      </c>
    </row>
    <row r="35" spans="1:6" s="49" customFormat="1" ht="17.100000000000001" customHeight="1">
      <c r="B35" s="49" t="s">
        <v>668</v>
      </c>
      <c r="C35" s="49" t="s">
        <v>695</v>
      </c>
      <c r="D35" s="145">
        <v>426614.88075027702</v>
      </c>
      <c r="E35" s="184" t="s">
        <v>523</v>
      </c>
    </row>
    <row r="36" spans="1:6" s="49" customFormat="1" ht="17.100000000000001" customHeight="1">
      <c r="A36" s="203"/>
      <c r="B36" s="203" t="s">
        <v>669</v>
      </c>
      <c r="C36" s="203" t="s">
        <v>696</v>
      </c>
      <c r="D36" s="204">
        <v>16346.094299305374</v>
      </c>
      <c r="E36" s="205" t="s">
        <v>524</v>
      </c>
      <c r="F36" s="203"/>
    </row>
    <row r="37" spans="1:6" s="49" customFormat="1" ht="17.100000000000001" customHeight="1">
      <c r="A37" s="97"/>
      <c r="B37" s="97" t="s">
        <v>512</v>
      </c>
      <c r="C37" s="97" t="s">
        <v>494</v>
      </c>
      <c r="D37" s="202">
        <v>52200</v>
      </c>
      <c r="E37" s="97" t="s">
        <v>482</v>
      </c>
      <c r="F37" s="97"/>
    </row>
    <row r="38" spans="1:6" s="49" customFormat="1" ht="17.100000000000001" customHeight="1">
      <c r="B38" s="49" t="s">
        <v>513</v>
      </c>
      <c r="C38" s="49" t="s">
        <v>495</v>
      </c>
      <c r="D38" s="146">
        <v>-26300</v>
      </c>
      <c r="E38" s="49" t="s">
        <v>482</v>
      </c>
    </row>
    <row r="39" spans="1:6" s="49" customFormat="1" ht="17.100000000000001" customHeight="1">
      <c r="B39" s="49" t="s">
        <v>514</v>
      </c>
      <c r="C39" s="49" t="s">
        <v>496</v>
      </c>
      <c r="D39" s="146">
        <v>-78500</v>
      </c>
      <c r="E39" s="49" t="s">
        <v>482</v>
      </c>
    </row>
    <row r="40" spans="1:6" s="49" customFormat="1" ht="17.100000000000001" customHeight="1">
      <c r="A40" s="203"/>
      <c r="B40" s="203" t="s">
        <v>431</v>
      </c>
      <c r="C40" s="203" t="s">
        <v>510</v>
      </c>
      <c r="D40" s="342">
        <v>1</v>
      </c>
      <c r="E40" s="205" t="s">
        <v>429</v>
      </c>
      <c r="F40" s="203"/>
    </row>
    <row r="41" spans="1:6" s="49" customFormat="1" ht="17.100000000000001" customHeight="1">
      <c r="A41" s="97"/>
      <c r="B41" s="97" t="s">
        <v>515</v>
      </c>
      <c r="C41" s="97" t="s">
        <v>497</v>
      </c>
      <c r="D41" s="186">
        <v>1.1E-12</v>
      </c>
      <c r="E41" s="97" t="s">
        <v>483</v>
      </c>
      <c r="F41" s="97"/>
    </row>
    <row r="42" spans="1:6" s="97" customFormat="1" ht="17.100000000000001" customHeight="1">
      <c r="B42" s="97" t="s">
        <v>1124</v>
      </c>
      <c r="C42" s="97" t="s">
        <v>1125</v>
      </c>
      <c r="D42" s="186">
        <v>1.2602676010180824E-4</v>
      </c>
      <c r="E42" s="97" t="s">
        <v>484</v>
      </c>
    </row>
    <row r="43" spans="1:6" s="49" customFormat="1" ht="17.100000000000001" customHeight="1">
      <c r="B43" s="49" t="s">
        <v>517</v>
      </c>
      <c r="C43" s="49" t="s">
        <v>499</v>
      </c>
      <c r="D43" s="145">
        <v>0</v>
      </c>
      <c r="E43" s="49" t="s">
        <v>484</v>
      </c>
    </row>
    <row r="44" spans="1:6" s="49" customFormat="1" ht="17.100000000000001" customHeight="1">
      <c r="B44" s="49" t="s">
        <v>814</v>
      </c>
      <c r="C44" s="49" t="s">
        <v>501</v>
      </c>
      <c r="D44" s="145">
        <v>3.8001490162277701E-4</v>
      </c>
      <c r="E44" s="49" t="s">
        <v>484</v>
      </c>
    </row>
    <row r="45" spans="1:6" s="49" customFormat="1" ht="17.100000000000001" customHeight="1">
      <c r="B45" s="49" t="s">
        <v>816</v>
      </c>
      <c r="C45" s="49" t="s">
        <v>500</v>
      </c>
      <c r="D45" s="145">
        <v>0</v>
      </c>
      <c r="E45" s="49" t="s">
        <v>484</v>
      </c>
    </row>
    <row r="46" spans="1:6" s="49" customFormat="1" ht="17.100000000000001" customHeight="1">
      <c r="B46" s="49" t="s">
        <v>815</v>
      </c>
      <c r="C46" s="49" t="s">
        <v>502</v>
      </c>
      <c r="D46" s="145">
        <v>1.2608591464382258E-4</v>
      </c>
      <c r="E46" s="49" t="s">
        <v>484</v>
      </c>
    </row>
    <row r="47" spans="1:6" s="49" customFormat="1" ht="17.100000000000001" customHeight="1">
      <c r="B47" s="49" t="s">
        <v>819</v>
      </c>
      <c r="C47" s="49" t="s">
        <v>503</v>
      </c>
      <c r="D47" s="145">
        <v>4.359052134295914E-5</v>
      </c>
      <c r="E47" s="49" t="s">
        <v>484</v>
      </c>
    </row>
    <row r="48" spans="1:6" s="49" customFormat="1" ht="17.100000000000001" customHeight="1">
      <c r="A48" s="424"/>
      <c r="B48" s="424" t="s">
        <v>813</v>
      </c>
      <c r="C48" s="424" t="s">
        <v>504</v>
      </c>
      <c r="D48" s="425">
        <v>4.359052134295914E-5</v>
      </c>
      <c r="E48" s="424" t="s">
        <v>484</v>
      </c>
      <c r="F48" s="424"/>
    </row>
    <row r="49" spans="1:9" s="49" customFormat="1" ht="17.100000000000001" customHeight="1">
      <c r="A49" s="97"/>
      <c r="B49" s="97" t="s">
        <v>518</v>
      </c>
      <c r="C49" s="97" t="s">
        <v>505</v>
      </c>
      <c r="D49" s="48">
        <v>10000</v>
      </c>
      <c r="E49" s="97" t="s">
        <v>482</v>
      </c>
      <c r="F49" s="97"/>
    </row>
    <row r="50" spans="1:9" s="49" customFormat="1" ht="17.100000000000001" customHeight="1">
      <c r="B50" s="49" t="s">
        <v>1126</v>
      </c>
      <c r="C50" s="49" t="s">
        <v>1127</v>
      </c>
      <c r="D50" s="46">
        <v>65400</v>
      </c>
      <c r="E50" s="49" t="s">
        <v>482</v>
      </c>
    </row>
    <row r="51" spans="1:9" s="49" customFormat="1" ht="17.100000000000001" customHeight="1">
      <c r="B51" s="49" t="s">
        <v>519</v>
      </c>
      <c r="C51" s="49" t="s">
        <v>507</v>
      </c>
      <c r="D51" s="46">
        <v>0</v>
      </c>
      <c r="E51" s="49" t="s">
        <v>482</v>
      </c>
    </row>
    <row r="52" spans="1:9" s="49" customFormat="1" ht="17.100000000000001" customHeight="1">
      <c r="B52" s="49" t="s">
        <v>520</v>
      </c>
      <c r="C52" s="49" t="s">
        <v>508</v>
      </c>
      <c r="D52" s="46">
        <v>60000</v>
      </c>
      <c r="E52" s="49" t="s">
        <v>482</v>
      </c>
    </row>
    <row r="53" spans="1:9" s="49" customFormat="1" ht="17.100000000000001" customHeight="1">
      <c r="A53" s="203"/>
      <c r="B53" s="203" t="s">
        <v>521</v>
      </c>
      <c r="C53" s="203" t="s">
        <v>509</v>
      </c>
      <c r="D53" s="206">
        <v>60000</v>
      </c>
      <c r="E53" s="203" t="s">
        <v>482</v>
      </c>
      <c r="F53" s="203"/>
    </row>
    <row r="54" spans="1:9" s="49" customFormat="1" ht="17.100000000000001" customHeight="1">
      <c r="A54" s="412"/>
      <c r="B54" s="412" t="s">
        <v>723</v>
      </c>
      <c r="C54" s="412" t="s">
        <v>724</v>
      </c>
      <c r="D54" s="413">
        <v>3.0000000000000001E-5</v>
      </c>
      <c r="E54" s="412" t="s">
        <v>722</v>
      </c>
      <c r="F54" s="412"/>
    </row>
    <row r="55" spans="1:9" s="49" customFormat="1" ht="17.100000000000001" customHeight="1">
      <c r="B55" s="49" t="s">
        <v>958</v>
      </c>
      <c r="C55" s="49" t="s">
        <v>960</v>
      </c>
      <c r="D55" s="46">
        <v>0.995</v>
      </c>
      <c r="E55" s="184" t="s">
        <v>429</v>
      </c>
    </row>
    <row r="56" spans="1:9" s="49" customFormat="1" ht="17.100000000000001" customHeight="1">
      <c r="A56" s="410"/>
      <c r="B56" s="410" t="s">
        <v>959</v>
      </c>
      <c r="C56" s="410" t="s">
        <v>961</v>
      </c>
      <c r="D56" s="411">
        <v>1</v>
      </c>
      <c r="E56" s="414" t="s">
        <v>429</v>
      </c>
      <c r="F56" s="410"/>
    </row>
    <row r="57" spans="1:9" s="49" customFormat="1" ht="17.100000000000001" customHeight="1">
      <c r="A57" s="97"/>
      <c r="B57" s="97" t="s">
        <v>700</v>
      </c>
      <c r="C57" s="97" t="s">
        <v>125</v>
      </c>
      <c r="D57" s="198">
        <v>1.76</v>
      </c>
      <c r="E57" s="185" t="s">
        <v>429</v>
      </c>
      <c r="F57" s="97"/>
    </row>
    <row r="58" spans="1:9" s="49" customFormat="1" ht="17.100000000000001" customHeight="1">
      <c r="B58" s="49" t="s">
        <v>701</v>
      </c>
      <c r="C58" s="49" t="s">
        <v>126</v>
      </c>
      <c r="D58" s="199">
        <v>1.33</v>
      </c>
      <c r="E58" s="184" t="s">
        <v>429</v>
      </c>
    </row>
    <row r="59" spans="1:9" s="49" customFormat="1" ht="17.100000000000001" customHeight="1">
      <c r="B59" s="49" t="s">
        <v>702</v>
      </c>
      <c r="C59" s="49" t="s">
        <v>127</v>
      </c>
      <c r="D59" s="199">
        <v>0</v>
      </c>
      <c r="E59" s="184" t="s">
        <v>429</v>
      </c>
    </row>
    <row r="60" spans="1:9" s="49" customFormat="1" ht="17.100000000000001" customHeight="1">
      <c r="B60" s="49" t="s">
        <v>703</v>
      </c>
      <c r="C60" s="49" t="s">
        <v>128</v>
      </c>
      <c r="D60" s="199">
        <v>0.15</v>
      </c>
      <c r="E60" s="184" t="s">
        <v>429</v>
      </c>
    </row>
    <row r="61" spans="1:9" s="49" customFormat="1" ht="17.100000000000001" customHeight="1">
      <c r="A61" s="103"/>
      <c r="B61" s="103" t="s">
        <v>704</v>
      </c>
      <c r="C61" s="103" t="s">
        <v>129</v>
      </c>
      <c r="D61" s="200">
        <v>1.6914</v>
      </c>
      <c r="E61" s="103" t="s">
        <v>485</v>
      </c>
      <c r="F61" s="103"/>
      <c r="G61" s="103"/>
      <c r="H61" s="103"/>
    </row>
    <row r="62" spans="1:9" s="49" customFormat="1" ht="17.100000000000001" customHeight="1">
      <c r="B62" s="49" t="s">
        <v>705</v>
      </c>
      <c r="C62" s="49" t="s">
        <v>130</v>
      </c>
      <c r="D62" s="199">
        <v>7.9039999999999999</v>
      </c>
      <c r="E62" s="184" t="s">
        <v>429</v>
      </c>
      <c r="I62" s="100"/>
    </row>
    <row r="63" spans="1:9" s="49" customFormat="1" ht="17.100000000000001" customHeight="1">
      <c r="B63" s="49" t="s">
        <v>552</v>
      </c>
      <c r="C63" s="49" t="s">
        <v>551</v>
      </c>
      <c r="D63" s="46">
        <v>9999</v>
      </c>
      <c r="E63" s="184" t="s">
        <v>429</v>
      </c>
      <c r="G63" s="97"/>
      <c r="H63" s="97"/>
    </row>
    <row r="64" spans="1:9" s="49" customFormat="1" ht="17.100000000000001" customHeight="1">
      <c r="A64" s="97"/>
      <c r="B64" s="97" t="s">
        <v>670</v>
      </c>
      <c r="C64" s="97" t="s">
        <v>706</v>
      </c>
      <c r="D64" s="198">
        <v>1.76</v>
      </c>
      <c r="E64" s="185" t="s">
        <v>429</v>
      </c>
      <c r="F64" s="97"/>
    </row>
    <row r="65" spans="1:8" s="49" customFormat="1" ht="17.100000000000001" customHeight="1">
      <c r="B65" s="49" t="s">
        <v>671</v>
      </c>
      <c r="C65" s="49" t="s">
        <v>707</v>
      </c>
      <c r="D65" s="198">
        <v>1.33</v>
      </c>
      <c r="E65" s="184" t="s">
        <v>429</v>
      </c>
    </row>
    <row r="66" spans="1:8" s="49" customFormat="1" ht="17.100000000000001" customHeight="1">
      <c r="B66" s="49" t="s">
        <v>672</v>
      </c>
      <c r="C66" s="49" t="s">
        <v>708</v>
      </c>
      <c r="D66" s="198">
        <v>0</v>
      </c>
      <c r="E66" s="184" t="s">
        <v>429</v>
      </c>
    </row>
    <row r="67" spans="1:8" s="49" customFormat="1" ht="17.100000000000001" customHeight="1">
      <c r="B67" s="49" t="s">
        <v>673</v>
      </c>
      <c r="C67" s="49" t="s">
        <v>709</v>
      </c>
      <c r="D67" s="198">
        <v>0.15</v>
      </c>
      <c r="E67" s="184" t="s">
        <v>429</v>
      </c>
    </row>
    <row r="68" spans="1:8" s="49" customFormat="1" ht="17.100000000000001" customHeight="1">
      <c r="A68" s="103"/>
      <c r="B68" s="103" t="s">
        <v>674</v>
      </c>
      <c r="C68" s="103" t="s">
        <v>710</v>
      </c>
      <c r="D68" s="198">
        <v>1.6914</v>
      </c>
      <c r="E68" s="103" t="s">
        <v>485</v>
      </c>
      <c r="F68" s="103"/>
      <c r="G68" s="103"/>
      <c r="H68" s="103"/>
    </row>
    <row r="69" spans="1:8" s="49" customFormat="1" ht="17.100000000000001" customHeight="1">
      <c r="B69" s="49" t="s">
        <v>698</v>
      </c>
      <c r="C69" s="52" t="s">
        <v>711</v>
      </c>
      <c r="D69" s="198">
        <v>0</v>
      </c>
      <c r="E69" s="52"/>
      <c r="F69" s="52"/>
    </row>
    <row r="70" spans="1:8" s="49" customFormat="1" ht="17.100000000000001" customHeight="1">
      <c r="A70" s="203"/>
      <c r="B70" s="203" t="s">
        <v>699</v>
      </c>
      <c r="C70" s="207" t="s">
        <v>712</v>
      </c>
      <c r="D70" s="208">
        <v>0</v>
      </c>
      <c r="E70" s="207"/>
      <c r="F70" s="207"/>
    </row>
  </sheetData>
  <sheetProtection algorithmName="SHA-512" hashValue="BaM1MX6WaOiRkDd68xxXZwocqepP18ZLnPbmr3Y3Zlenmmv/AqDJmSoZwLwnjIfxWrNkU5xIqlCANbEsXOQsbg==" saltValue="jj8xezmfYUlOC2iJRdKyrw==" spinCount="100000" sheet="1" objects="1" scenarios="1"/>
  <phoneticPr fontId="2" type="noConversion"/>
  <dataValidations count="2">
    <dataValidation type="list" allowBlank="1" showInputMessage="1" showErrorMessage="1" sqref="D15" xr:uid="{C7275DC4-1C2B-D24C-A575-AE9B85BF2CAC}">
      <formula1>"Neutral,Carboxylates,Phenoxides,Amines,Pyridines"</formula1>
    </dataValidation>
    <dataValidation type="list" allowBlank="1" showInputMessage="1" showErrorMessage="1" sqref="F8" xr:uid="{9B863F05-252B-4FC8-B4C6-80B3A5958965}">
      <formula1>"Basic,Advanced"</formula1>
    </dataValidation>
  </dataValidations>
  <pageMargins left="0.7" right="0.7" top="0.75" bottom="0.75" header="0.3" footer="0.3"/>
  <pageSetup paperSize="9"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0070C0"/>
  </sheetPr>
  <dimension ref="A1:AE223"/>
  <sheetViews>
    <sheetView zoomScaleNormal="100" workbookViewId="0">
      <selection activeCell="E22" sqref="E22"/>
    </sheetView>
  </sheetViews>
  <sheetFormatPr defaultColWidth="9" defaultRowHeight="12.75" zeroHeight="1"/>
  <cols>
    <col min="1" max="1" width="12.1328125" style="4" customWidth="1"/>
    <col min="2" max="2" width="13.3984375" style="4" customWidth="1"/>
    <col min="3" max="3" width="17.3984375" style="4" customWidth="1"/>
    <col min="4" max="4" width="15.3984375" style="4" bestFit="1" customWidth="1"/>
    <col min="5" max="5" width="21.3984375" style="4" bestFit="1" customWidth="1"/>
    <col min="6" max="6" width="11.3984375" style="4" customWidth="1"/>
    <col min="7" max="7" width="13.3984375" style="4" customWidth="1"/>
    <col min="8" max="8" width="10.86328125" style="4" customWidth="1"/>
    <col min="9" max="9" width="11.3984375" style="4" customWidth="1"/>
    <col min="10" max="10" width="13.3984375" style="4" customWidth="1"/>
    <col min="11" max="11" width="15" style="4" customWidth="1"/>
    <col min="12" max="12" width="2.86328125" style="4" customWidth="1"/>
    <col min="13" max="13" width="17.265625" style="4" customWidth="1"/>
    <col min="14" max="15" width="17.3984375" style="4" customWidth="1"/>
    <col min="16" max="16" width="17.3984375" style="2" customWidth="1"/>
    <col min="17" max="17" width="17.3984375" style="4" customWidth="1"/>
    <col min="18" max="18" width="1.3984375" style="144" customWidth="1"/>
    <col min="19" max="19" width="46" style="144" bestFit="1" customWidth="1"/>
    <col min="20" max="21" width="17.1328125" style="144" customWidth="1"/>
    <col min="22" max="22" width="17.1328125" style="2" customWidth="1"/>
    <col min="23" max="23" width="17.1328125" style="4" customWidth="1"/>
    <col min="24" max="31" width="6.265625" style="4" customWidth="1"/>
    <col min="32" max="42" width="9" style="4" customWidth="1"/>
    <col min="43" max="16384" width="9" style="4"/>
  </cols>
  <sheetData>
    <row r="1" spans="1:31" s="17" customFormat="1" ht="50.1" customHeight="1">
      <c r="A1" s="63" t="s">
        <v>42</v>
      </c>
      <c r="B1" s="16"/>
      <c r="C1" s="16"/>
      <c r="D1" s="16"/>
      <c r="E1" s="16"/>
      <c r="F1" s="16"/>
      <c r="G1" s="16"/>
      <c r="H1" s="16"/>
      <c r="I1" s="16"/>
      <c r="J1" s="16"/>
      <c r="K1" s="16"/>
      <c r="L1" s="16"/>
      <c r="M1" s="16"/>
      <c r="N1" s="16"/>
      <c r="O1" s="20"/>
      <c r="P1" s="16"/>
      <c r="Q1" s="18"/>
      <c r="R1" s="121"/>
      <c r="S1" s="121"/>
      <c r="T1" s="121"/>
      <c r="U1" s="122"/>
      <c r="V1" s="16"/>
      <c r="W1" s="18"/>
      <c r="X1" s="16"/>
      <c r="Y1" s="16"/>
      <c r="Z1" s="16"/>
      <c r="AA1" s="16"/>
      <c r="AB1" s="16"/>
      <c r="AC1" s="16"/>
      <c r="AD1" s="16"/>
      <c r="AE1" s="20"/>
    </row>
    <row r="2" spans="1:31" s="34" customFormat="1" ht="15.75" hidden="1">
      <c r="A2" s="30"/>
      <c r="B2" s="31"/>
      <c r="C2" s="31"/>
      <c r="D2" s="31"/>
      <c r="E2" s="31"/>
      <c r="F2" s="31"/>
      <c r="G2" s="31"/>
      <c r="H2" s="31"/>
      <c r="I2" s="31"/>
      <c r="J2" s="31"/>
      <c r="K2" s="31"/>
      <c r="L2" s="31"/>
      <c r="M2" s="31"/>
      <c r="N2" s="31"/>
      <c r="O2" s="32"/>
      <c r="P2" s="31"/>
      <c r="Q2" s="33"/>
      <c r="R2" s="123"/>
      <c r="S2" s="123"/>
      <c r="T2" s="123"/>
      <c r="U2" s="124"/>
      <c r="V2" s="31"/>
      <c r="W2" s="33"/>
      <c r="X2" s="31"/>
      <c r="Y2" s="31"/>
      <c r="Z2" s="31"/>
      <c r="AA2" s="31"/>
      <c r="AB2" s="31"/>
      <c r="AC2" s="31"/>
      <c r="AD2" s="31"/>
      <c r="AE2" s="32"/>
    </row>
    <row r="3" spans="1:31" hidden="1">
      <c r="A3" s="2"/>
      <c r="B3" s="2"/>
      <c r="C3" s="2"/>
      <c r="D3" s="2"/>
      <c r="E3" s="2"/>
      <c r="F3" s="2"/>
      <c r="G3" s="2"/>
      <c r="H3" s="2"/>
      <c r="I3" s="2"/>
      <c r="J3" s="2"/>
      <c r="K3" s="2"/>
      <c r="L3" s="2"/>
      <c r="M3" s="2"/>
      <c r="N3" s="2"/>
      <c r="O3" s="3"/>
      <c r="Q3" s="8"/>
      <c r="R3" s="125"/>
      <c r="S3" s="125"/>
      <c r="T3" s="125"/>
      <c r="U3" s="126"/>
      <c r="W3" s="8"/>
      <c r="X3" s="2"/>
      <c r="Y3" s="2"/>
      <c r="Z3" s="2"/>
      <c r="AA3" s="2"/>
      <c r="AB3" s="2"/>
      <c r="AC3" s="2"/>
      <c r="AD3" s="2"/>
      <c r="AE3" s="3"/>
    </row>
    <row r="4" spans="1:31" ht="13.15" hidden="1">
      <c r="A4" s="5"/>
      <c r="B4" s="2"/>
      <c r="C4" s="2"/>
      <c r="D4" s="2"/>
      <c r="E4" s="2"/>
      <c r="F4" s="2"/>
      <c r="G4" s="2"/>
      <c r="H4" s="2"/>
      <c r="I4" s="2"/>
      <c r="J4" s="2"/>
      <c r="K4" s="2"/>
      <c r="L4" s="2"/>
      <c r="M4" s="2"/>
      <c r="N4" s="2"/>
      <c r="O4" s="3"/>
      <c r="Q4" s="8"/>
      <c r="R4" s="125"/>
      <c r="S4" s="125"/>
      <c r="T4" s="125"/>
      <c r="U4" s="126"/>
      <c r="W4" s="8"/>
      <c r="X4" s="2"/>
      <c r="Y4" s="2"/>
      <c r="Z4" s="2"/>
      <c r="AA4" s="2"/>
      <c r="AB4" s="2"/>
      <c r="AC4" s="2"/>
      <c r="AD4" s="2"/>
      <c r="AE4" s="3"/>
    </row>
    <row r="5" spans="1:31" ht="19.5" hidden="1" customHeight="1">
      <c r="A5" s="2"/>
      <c r="B5" s="2"/>
      <c r="C5" s="2"/>
      <c r="D5" s="2"/>
      <c r="E5" s="2"/>
      <c r="F5" s="2"/>
      <c r="G5" s="2"/>
      <c r="H5" s="2"/>
      <c r="I5" s="2"/>
      <c r="J5" s="2"/>
      <c r="K5" s="2"/>
      <c r="L5" s="2"/>
      <c r="M5" s="2"/>
      <c r="N5" s="2"/>
      <c r="O5" s="3"/>
      <c r="Q5" s="8"/>
      <c r="R5" s="125"/>
      <c r="S5" s="125"/>
      <c r="T5" s="125"/>
      <c r="U5" s="126"/>
      <c r="W5" s="8"/>
      <c r="X5" s="2"/>
      <c r="Y5" s="2"/>
      <c r="Z5" s="2"/>
      <c r="AA5" s="2"/>
      <c r="AB5" s="2"/>
      <c r="AC5" s="2"/>
      <c r="AD5" s="2"/>
      <c r="AE5" s="3"/>
    </row>
    <row r="6" spans="1:31" ht="19.5" hidden="1" customHeight="1">
      <c r="A6" s="2"/>
      <c r="B6" s="2"/>
      <c r="C6" s="2"/>
      <c r="D6" s="2"/>
      <c r="E6" s="2"/>
      <c r="F6" s="2"/>
      <c r="G6" s="2"/>
      <c r="H6" s="2"/>
      <c r="I6" s="2"/>
      <c r="J6" s="2"/>
      <c r="K6" s="2"/>
      <c r="L6" s="6"/>
      <c r="M6" s="6"/>
      <c r="N6" s="7"/>
      <c r="Q6" s="8"/>
      <c r="R6" s="125"/>
      <c r="S6" s="125"/>
      <c r="T6" s="125"/>
      <c r="U6" s="126"/>
      <c r="W6" s="8"/>
      <c r="X6" s="2"/>
      <c r="Y6" s="2"/>
      <c r="Z6" s="2"/>
      <c r="AA6" s="2"/>
      <c r="AB6" s="2"/>
      <c r="AC6" s="2"/>
      <c r="AD6" s="2"/>
      <c r="AE6" s="3"/>
    </row>
    <row r="7" spans="1:31" ht="19.5" hidden="1" customHeight="1">
      <c r="A7" s="2"/>
      <c r="B7" s="2"/>
      <c r="C7" s="2"/>
      <c r="D7" s="2"/>
      <c r="E7" s="2"/>
      <c r="F7" s="2"/>
      <c r="G7" s="2"/>
      <c r="H7" s="2"/>
      <c r="I7" s="2"/>
      <c r="J7" s="2"/>
      <c r="K7" s="2"/>
      <c r="L7" s="18"/>
      <c r="M7" s="18"/>
      <c r="N7" s="18"/>
      <c r="O7" s="18"/>
      <c r="Q7" s="8"/>
      <c r="R7" s="125"/>
      <c r="S7" s="125"/>
      <c r="T7" s="125"/>
      <c r="U7" s="126"/>
      <c r="W7" s="8"/>
      <c r="X7" s="2"/>
      <c r="Y7" s="2"/>
      <c r="Z7" s="2"/>
      <c r="AA7" s="2"/>
      <c r="AB7" s="2"/>
      <c r="AC7" s="2"/>
      <c r="AD7" s="2"/>
      <c r="AE7" s="3"/>
    </row>
    <row r="8" spans="1:31" ht="19.5" hidden="1" customHeight="1">
      <c r="A8" s="2"/>
      <c r="B8" s="2"/>
      <c r="C8" s="2"/>
      <c r="D8" s="2"/>
      <c r="E8" s="2"/>
      <c r="F8" s="2"/>
      <c r="G8" s="2"/>
      <c r="H8" s="2"/>
      <c r="I8" s="2"/>
      <c r="J8" s="2"/>
      <c r="K8" s="2"/>
      <c r="L8" s="2"/>
      <c r="M8" s="2"/>
      <c r="N8" s="2"/>
      <c r="O8" s="2"/>
      <c r="Q8" s="8"/>
      <c r="R8" s="125"/>
      <c r="S8" s="125"/>
      <c r="T8" s="125"/>
      <c r="U8" s="126"/>
      <c r="W8" s="8"/>
      <c r="X8" s="2"/>
      <c r="Y8" s="2"/>
      <c r="Z8" s="2"/>
      <c r="AA8" s="2"/>
      <c r="AB8" s="2"/>
      <c r="AC8" s="2"/>
      <c r="AD8" s="2"/>
      <c r="AE8" s="3"/>
    </row>
    <row r="9" spans="1:31" ht="19.5" customHeight="1">
      <c r="A9" s="2"/>
      <c r="B9" s="2"/>
      <c r="C9" s="2"/>
      <c r="D9" s="2"/>
      <c r="E9" s="2"/>
      <c r="F9" s="2"/>
      <c r="G9" s="2"/>
      <c r="H9" s="2"/>
      <c r="I9" s="2"/>
      <c r="J9" s="2"/>
      <c r="K9" s="2"/>
      <c r="L9" s="125"/>
      <c r="M9" s="125"/>
      <c r="N9" s="125"/>
      <c r="O9" s="125"/>
      <c r="P9" s="125"/>
      <c r="Q9" s="125"/>
      <c r="R9" s="125"/>
      <c r="S9" s="125"/>
      <c r="T9" s="125"/>
      <c r="U9" s="126"/>
      <c r="W9" s="8"/>
      <c r="X9" s="2"/>
      <c r="Y9" s="2"/>
      <c r="Z9" s="2"/>
      <c r="AA9" s="2"/>
      <c r="AB9" s="2"/>
      <c r="AC9" s="2"/>
      <c r="AD9" s="2"/>
      <c r="AE9" s="3"/>
    </row>
    <row r="10" spans="1:31" ht="19.5" customHeight="1">
      <c r="A10" s="2"/>
      <c r="B10" s="2"/>
      <c r="C10" s="2"/>
      <c r="D10" s="2"/>
      <c r="E10" s="2"/>
      <c r="F10" s="2"/>
      <c r="G10" s="2"/>
      <c r="H10" s="2"/>
      <c r="I10" s="2"/>
      <c r="J10" s="2"/>
      <c r="K10" s="2"/>
      <c r="L10" s="8"/>
      <c r="M10" s="8"/>
      <c r="N10" s="8"/>
      <c r="O10" s="8"/>
      <c r="P10" s="8"/>
      <c r="Q10" s="8"/>
      <c r="R10" s="8"/>
      <c r="S10" s="8"/>
      <c r="T10" s="8"/>
      <c r="U10" s="8"/>
      <c r="V10" s="8"/>
      <c r="W10" s="8"/>
      <c r="X10" s="2"/>
      <c r="Y10" s="2"/>
      <c r="Z10" s="2"/>
      <c r="AA10" s="2"/>
      <c r="AB10" s="2"/>
      <c r="AC10" s="2"/>
      <c r="AD10" s="2"/>
      <c r="AE10" s="3"/>
    </row>
    <row r="11" spans="1:31" ht="19.5" customHeight="1">
      <c r="A11" s="2"/>
      <c r="B11" s="2"/>
      <c r="C11" s="2"/>
      <c r="D11" s="2"/>
      <c r="E11" s="2"/>
      <c r="F11" s="2"/>
      <c r="G11" s="2"/>
      <c r="H11" s="2"/>
      <c r="I11" s="2"/>
      <c r="J11" s="2"/>
      <c r="K11" s="2"/>
      <c r="L11" s="2"/>
      <c r="M11" s="2"/>
      <c r="N11" s="2"/>
      <c r="O11" s="2"/>
      <c r="Q11" s="8"/>
      <c r="R11" s="8"/>
      <c r="S11" s="8"/>
      <c r="T11" s="125"/>
      <c r="U11" s="125"/>
      <c r="V11" s="125"/>
      <c r="W11" s="126"/>
      <c r="X11" s="2"/>
      <c r="Y11" s="2"/>
      <c r="Z11" s="2"/>
      <c r="AA11" s="2"/>
      <c r="AB11" s="2"/>
      <c r="AC11" s="2"/>
      <c r="AD11" s="2"/>
      <c r="AE11" s="3"/>
    </row>
    <row r="12" spans="1:31" s="77" customFormat="1" ht="17.100000000000001" customHeight="1">
      <c r="A12" s="102" t="s">
        <v>80</v>
      </c>
      <c r="B12" s="115"/>
      <c r="C12" s="115"/>
      <c r="D12" s="115"/>
      <c r="E12" s="293"/>
      <c r="F12" s="115" t="s">
        <v>32</v>
      </c>
      <c r="G12" s="115"/>
      <c r="H12" s="294"/>
      <c r="I12" s="115" t="s">
        <v>33</v>
      </c>
      <c r="J12" s="115"/>
      <c r="K12" s="293"/>
      <c r="L12" s="125"/>
      <c r="M12" s="125"/>
      <c r="N12" s="115" t="s">
        <v>731</v>
      </c>
      <c r="O12" s="115"/>
      <c r="P12" s="115"/>
      <c r="Q12" s="293"/>
      <c r="R12" s="100"/>
      <c r="S12" s="102" t="s">
        <v>730</v>
      </c>
      <c r="T12" s="295"/>
      <c r="U12" s="295"/>
      <c r="V12" s="295"/>
      <c r="W12" s="296"/>
      <c r="X12" s="49"/>
      <c r="Y12" s="33"/>
      <c r="Z12" s="33"/>
      <c r="AA12" s="33"/>
      <c r="AB12" s="33"/>
      <c r="AC12" s="33"/>
      <c r="AD12" s="33"/>
      <c r="AE12" s="103"/>
    </row>
    <row r="13" spans="1:31" s="1" customFormat="1" ht="34.5" customHeight="1" thickBot="1">
      <c r="A13" s="61" t="s">
        <v>0</v>
      </c>
      <c r="B13" s="62" t="s">
        <v>231</v>
      </c>
      <c r="C13" s="62" t="s">
        <v>78</v>
      </c>
      <c r="D13" s="62" t="s">
        <v>79</v>
      </c>
      <c r="E13" s="62" t="s">
        <v>171</v>
      </c>
      <c r="F13" s="62" t="s">
        <v>368</v>
      </c>
      <c r="G13" s="62" t="s">
        <v>369</v>
      </c>
      <c r="H13" s="61" t="s">
        <v>1</v>
      </c>
      <c r="I13" s="62" t="s">
        <v>368</v>
      </c>
      <c r="J13" s="62" t="s">
        <v>369</v>
      </c>
      <c r="K13" s="61" t="s">
        <v>1</v>
      </c>
      <c r="L13" s="125"/>
      <c r="M13" s="125"/>
      <c r="N13" s="213" t="s">
        <v>232</v>
      </c>
      <c r="O13" s="213" t="s">
        <v>233</v>
      </c>
      <c r="P13" s="213" t="s">
        <v>234</v>
      </c>
      <c r="Q13" s="214" t="s">
        <v>729</v>
      </c>
      <c r="R13" s="8"/>
      <c r="S13" s="41"/>
      <c r="T13" s="42" t="s">
        <v>232</v>
      </c>
      <c r="U13" s="42" t="s">
        <v>233</v>
      </c>
      <c r="V13" s="42" t="s">
        <v>234</v>
      </c>
      <c r="W13" s="211" t="s">
        <v>727</v>
      </c>
      <c r="X13" s="33"/>
      <c r="Y13" s="33"/>
      <c r="Z13" s="33"/>
      <c r="AA13" s="33"/>
      <c r="AB13" s="33"/>
      <c r="AC13" s="33"/>
      <c r="AD13" s="33"/>
      <c r="AE13" s="23"/>
    </row>
    <row r="14" spans="1:31" ht="17.100000000000001" customHeight="1" thickBot="1">
      <c r="A14" s="444" t="s">
        <v>1131</v>
      </c>
      <c r="B14" s="445">
        <v>1</v>
      </c>
      <c r="C14" s="446">
        <v>1</v>
      </c>
      <c r="D14" s="447">
        <v>1</v>
      </c>
      <c r="E14" s="448">
        <v>1</v>
      </c>
      <c r="F14" s="449">
        <v>10</v>
      </c>
      <c r="G14" s="449">
        <v>2.4</v>
      </c>
      <c r="H14" s="450" t="s">
        <v>34</v>
      </c>
      <c r="I14" s="449">
        <v>20</v>
      </c>
      <c r="J14" s="449">
        <v>2.4</v>
      </c>
      <c r="K14" s="450" t="s">
        <v>34</v>
      </c>
      <c r="L14" s="125"/>
      <c r="M14" s="432" t="s">
        <v>1131</v>
      </c>
      <c r="N14" s="434"/>
      <c r="O14" s="434"/>
      <c r="P14" s="434"/>
      <c r="Q14" s="434"/>
      <c r="R14" s="8"/>
      <c r="S14" s="43" t="str">
        <f>IF(ISBLANK(Start!AM21),"",Start!AM21)</f>
        <v>Indoor air</v>
      </c>
      <c r="T14" s="427"/>
      <c r="U14" s="428">
        <v>1</v>
      </c>
      <c r="V14" s="130"/>
      <c r="W14" s="147"/>
      <c r="X14" s="33"/>
      <c r="Y14" s="33"/>
      <c r="Z14" s="33"/>
      <c r="AA14" s="33"/>
      <c r="AB14" s="33"/>
      <c r="AC14" s="33"/>
      <c r="AD14" s="33"/>
      <c r="AE14" s="20"/>
    </row>
    <row r="15" spans="1:31" ht="17.100000000000001" customHeight="1" thickBot="1">
      <c r="A15" s="104">
        <f t="shared" ref="A15:A46" si="0">IF(ROW(A15)-ROW($A$15)+EmissionStartYear&gt;=SimulationEnds,"-",ROW(A15)-ROW($A$15)+EmissionStartYear)</f>
        <v>2025</v>
      </c>
      <c r="B15" s="215"/>
      <c r="C15" s="216"/>
      <c r="D15" s="149"/>
      <c r="E15" s="212"/>
      <c r="F15" s="215"/>
      <c r="G15" s="215"/>
      <c r="H15" s="48"/>
      <c r="I15" s="215"/>
      <c r="J15" s="215"/>
      <c r="K15" s="48"/>
      <c r="L15" s="125"/>
      <c r="M15" s="432" t="s">
        <v>1132</v>
      </c>
      <c r="N15" s="435"/>
      <c r="O15" s="433"/>
      <c r="P15" s="433"/>
      <c r="Q15" s="435"/>
      <c r="R15" s="8"/>
      <c r="S15" s="43" t="str">
        <f>IF(ISBLANK(Start!AM22),"",Start!AM22)</f>
        <v>Soft porous carpet</v>
      </c>
      <c r="T15" s="137"/>
      <c r="U15" s="136"/>
      <c r="V15" s="136"/>
      <c r="W15" s="138"/>
      <c r="X15" s="33"/>
      <c r="Y15" s="33"/>
      <c r="Z15" s="33"/>
      <c r="AA15" s="33"/>
      <c r="AB15" s="33"/>
      <c r="AC15" s="33"/>
      <c r="AD15" s="33"/>
      <c r="AE15" s="20"/>
    </row>
    <row r="16" spans="1:31" ht="17.100000000000001" customHeight="1">
      <c r="A16" s="104">
        <f t="shared" si="0"/>
        <v>2026</v>
      </c>
      <c r="B16" s="215"/>
      <c r="C16" s="218"/>
      <c r="D16" s="59"/>
      <c r="E16" s="60"/>
      <c r="F16" s="217"/>
      <c r="G16" s="217"/>
      <c r="H16" s="46"/>
      <c r="I16" s="217"/>
      <c r="J16" s="217"/>
      <c r="K16" s="46"/>
      <c r="L16" s="125"/>
      <c r="M16" s="125">
        <v>2</v>
      </c>
      <c r="N16" s="437"/>
      <c r="O16" s="436"/>
      <c r="P16" s="442"/>
      <c r="Q16" s="440"/>
      <c r="R16" s="8"/>
      <c r="S16" s="43" t="str">
        <f>IF(ISBLANK(Start!AM23),"",Start!AM23)</f>
        <v>Rigid impermeable floor</v>
      </c>
      <c r="T16" s="137"/>
      <c r="U16" s="136"/>
      <c r="V16" s="136"/>
      <c r="W16" s="138"/>
      <c r="X16" s="33"/>
      <c r="Y16" s="33"/>
      <c r="Z16" s="33"/>
      <c r="AA16" s="33"/>
      <c r="AB16" s="33"/>
      <c r="AC16" s="33"/>
      <c r="AD16" s="33"/>
      <c r="AE16" s="20"/>
    </row>
    <row r="17" spans="1:31" ht="17.100000000000001" customHeight="1">
      <c r="A17" s="104">
        <f t="shared" si="0"/>
        <v>2027</v>
      </c>
      <c r="B17" s="215"/>
      <c r="C17" s="218"/>
      <c r="D17" s="59"/>
      <c r="E17" s="60"/>
      <c r="F17" s="217"/>
      <c r="G17" s="217"/>
      <c r="H17" s="46"/>
      <c r="I17" s="217"/>
      <c r="J17" s="217"/>
      <c r="K17" s="46"/>
      <c r="L17" s="125"/>
      <c r="M17" s="125">
        <v>3</v>
      </c>
      <c r="N17" s="438"/>
      <c r="O17" s="436"/>
      <c r="P17" s="442"/>
      <c r="Q17" s="441"/>
      <c r="R17" s="8"/>
      <c r="S17" s="43" t="str">
        <f>IF(ISBLANK(Start!AM24),"",Start!AM24)</f>
        <v>Hard contact surfaces</v>
      </c>
      <c r="T17" s="137"/>
      <c r="U17" s="136"/>
      <c r="V17" s="136"/>
      <c r="W17" s="138"/>
      <c r="X17" s="33"/>
      <c r="Y17" s="33"/>
      <c r="Z17" s="33"/>
      <c r="AA17" s="33"/>
      <c r="AB17" s="33"/>
      <c r="AC17" s="33"/>
      <c r="AD17" s="33"/>
      <c r="AE17" s="20"/>
    </row>
    <row r="18" spans="1:31" ht="17.100000000000001" customHeight="1">
      <c r="A18" s="104">
        <f t="shared" si="0"/>
        <v>2028</v>
      </c>
      <c r="B18" s="215"/>
      <c r="C18" s="218"/>
      <c r="D18" s="59"/>
      <c r="E18" s="60"/>
      <c r="F18" s="217"/>
      <c r="G18" s="217"/>
      <c r="H18" s="46"/>
      <c r="I18" s="217"/>
      <c r="J18" s="217"/>
      <c r="K18" s="46"/>
      <c r="L18" s="125"/>
      <c r="M18" s="125">
        <v>4</v>
      </c>
      <c r="N18" s="438"/>
      <c r="O18" s="436"/>
      <c r="P18" s="442"/>
      <c r="Q18" s="441"/>
      <c r="R18" s="8"/>
      <c r="S18" s="43" t="str">
        <f>IF(ISBLANK(Start!AM25),"",Start!AM25)</f>
        <v>Walls and ceiling</v>
      </c>
      <c r="T18" s="137"/>
      <c r="U18" s="136"/>
      <c r="V18" s="136"/>
      <c r="W18" s="138"/>
      <c r="X18" s="33"/>
      <c r="Y18" s="33"/>
      <c r="Z18" s="33"/>
      <c r="AA18" s="33"/>
      <c r="AB18" s="33"/>
      <c r="AC18" s="33"/>
      <c r="AD18" s="33"/>
      <c r="AE18" s="20"/>
    </row>
    <row r="19" spans="1:31" ht="17.100000000000001" customHeight="1">
      <c r="A19" s="104">
        <f t="shared" si="0"/>
        <v>2029</v>
      </c>
      <c r="B19" s="215"/>
      <c r="C19" s="218"/>
      <c r="D19" s="59"/>
      <c r="E19" s="60"/>
      <c r="F19" s="217"/>
      <c r="G19" s="217"/>
      <c r="H19" s="46"/>
      <c r="I19" s="217"/>
      <c r="J19" s="217"/>
      <c r="K19" s="46"/>
      <c r="L19" s="125"/>
      <c r="M19" s="125">
        <v>5</v>
      </c>
      <c r="N19" s="438"/>
      <c r="O19" s="436"/>
      <c r="P19" s="442"/>
      <c r="Q19" s="441"/>
      <c r="R19" s="8"/>
      <c r="S19" s="43" t="str">
        <f>IF(ISBLANK(Start!AM26),"",Start!AM26)</f>
        <v/>
      </c>
      <c r="T19" s="137"/>
      <c r="U19" s="136"/>
      <c r="V19" s="136"/>
      <c r="W19" s="138"/>
      <c r="X19" s="33"/>
      <c r="Y19" s="33"/>
      <c r="Z19" s="33"/>
      <c r="AA19" s="33"/>
      <c r="AB19" s="33"/>
      <c r="AC19" s="33"/>
      <c r="AD19" s="33"/>
      <c r="AE19" s="20"/>
    </row>
    <row r="20" spans="1:31" ht="17.100000000000001" customHeight="1">
      <c r="A20" s="104" t="str">
        <f t="shared" si="0"/>
        <v>-</v>
      </c>
      <c r="B20" s="215"/>
      <c r="C20" s="218"/>
      <c r="D20" s="59"/>
      <c r="E20" s="60"/>
      <c r="F20" s="217"/>
      <c r="G20" s="217"/>
      <c r="H20" s="46"/>
      <c r="I20" s="217"/>
      <c r="J20" s="217"/>
      <c r="K20" s="46"/>
      <c r="L20" s="125"/>
      <c r="M20" s="125">
        <v>6</v>
      </c>
      <c r="N20" s="438"/>
      <c r="O20" s="436"/>
      <c r="P20" s="442"/>
      <c r="Q20" s="441"/>
      <c r="R20" s="8"/>
      <c r="S20" s="43" t="str">
        <f>IF(ISBLANK(Start!AM27),"",Start!AM27)</f>
        <v/>
      </c>
      <c r="T20" s="137"/>
      <c r="U20" s="136"/>
      <c r="V20" s="136"/>
      <c r="W20" s="138"/>
      <c r="X20" s="33"/>
      <c r="Y20" s="33"/>
      <c r="Z20" s="33"/>
      <c r="AA20" s="33"/>
      <c r="AB20" s="33"/>
      <c r="AC20" s="33"/>
      <c r="AD20" s="33"/>
      <c r="AE20" s="20"/>
    </row>
    <row r="21" spans="1:31" ht="17.100000000000001" customHeight="1">
      <c r="A21" s="104" t="str">
        <f t="shared" si="0"/>
        <v>-</v>
      </c>
      <c r="B21" s="215"/>
      <c r="C21" s="218"/>
      <c r="D21" s="59"/>
      <c r="E21" s="60"/>
      <c r="F21" s="217"/>
      <c r="G21" s="217"/>
      <c r="H21" s="46"/>
      <c r="I21" s="217"/>
      <c r="J21" s="217"/>
      <c r="K21" s="46"/>
      <c r="L21" s="125"/>
      <c r="M21" s="125">
        <v>7</v>
      </c>
      <c r="N21" s="438"/>
      <c r="O21" s="436"/>
      <c r="P21" s="442"/>
      <c r="Q21" s="441"/>
      <c r="R21" s="8"/>
      <c r="S21" s="43" t="str">
        <f>IF(ISBLANK(Start!AM28),"",Start!AM28)</f>
        <v/>
      </c>
      <c r="T21" s="137"/>
      <c r="U21" s="136"/>
      <c r="V21" s="136"/>
      <c r="W21" s="138"/>
      <c r="X21" s="33"/>
      <c r="Y21" s="33"/>
      <c r="Z21" s="33"/>
      <c r="AA21" s="33"/>
      <c r="AB21" s="33"/>
      <c r="AC21" s="33"/>
      <c r="AD21" s="33"/>
      <c r="AE21" s="20"/>
    </row>
    <row r="22" spans="1:31" ht="17.100000000000001" customHeight="1">
      <c r="A22" s="104" t="str">
        <f t="shared" si="0"/>
        <v>-</v>
      </c>
      <c r="B22" s="215"/>
      <c r="C22" s="218"/>
      <c r="D22" s="59"/>
      <c r="E22" s="60"/>
      <c r="F22" s="217"/>
      <c r="G22" s="217"/>
      <c r="H22" s="46"/>
      <c r="I22" s="217"/>
      <c r="J22" s="217"/>
      <c r="K22" s="46"/>
      <c r="L22" s="125"/>
      <c r="M22" s="125">
        <v>8</v>
      </c>
      <c r="N22" s="438"/>
      <c r="O22" s="436"/>
      <c r="P22" s="442"/>
      <c r="Q22" s="441"/>
      <c r="R22" s="8"/>
      <c r="S22" s="43" t="str">
        <f>IF(ISBLANK(Start!AM29),"",Start!AM29)</f>
        <v/>
      </c>
      <c r="T22" s="137"/>
      <c r="U22" s="136"/>
      <c r="V22" s="136"/>
      <c r="W22" s="138"/>
      <c r="X22" s="33"/>
      <c r="Y22" s="33"/>
      <c r="Z22" s="33"/>
      <c r="AA22" s="33"/>
      <c r="AB22" s="33"/>
      <c r="AC22" s="33"/>
      <c r="AD22" s="33"/>
      <c r="AE22" s="20"/>
    </row>
    <row r="23" spans="1:31" ht="17.100000000000001" customHeight="1">
      <c r="A23" s="104" t="str">
        <f t="shared" si="0"/>
        <v>-</v>
      </c>
      <c r="B23" s="215"/>
      <c r="C23" s="218"/>
      <c r="D23" s="59"/>
      <c r="E23" s="60"/>
      <c r="F23" s="217"/>
      <c r="G23" s="217"/>
      <c r="H23" s="46"/>
      <c r="I23" s="217"/>
      <c r="J23" s="217"/>
      <c r="K23" s="46"/>
      <c r="L23" s="125"/>
      <c r="M23" s="125">
        <v>9</v>
      </c>
      <c r="N23" s="438"/>
      <c r="O23" s="436"/>
      <c r="P23" s="442"/>
      <c r="Q23" s="441"/>
      <c r="R23" s="8"/>
      <c r="S23" s="43" t="str">
        <f>IF(ISBLANK(Start!AM30),"",Start!AM30)</f>
        <v/>
      </c>
      <c r="T23" s="137"/>
      <c r="U23" s="136"/>
      <c r="V23" s="136"/>
      <c r="W23" s="138"/>
      <c r="X23" s="33"/>
      <c r="Y23" s="33"/>
      <c r="Z23" s="33"/>
      <c r="AA23" s="33"/>
      <c r="AB23" s="33"/>
      <c r="AC23" s="33"/>
      <c r="AD23" s="33"/>
      <c r="AE23" s="20"/>
    </row>
    <row r="24" spans="1:31" ht="17.100000000000001" customHeight="1">
      <c r="A24" s="104" t="str">
        <f t="shared" si="0"/>
        <v>-</v>
      </c>
      <c r="B24" s="215"/>
      <c r="C24" s="218"/>
      <c r="D24" s="59"/>
      <c r="E24" s="60"/>
      <c r="F24" s="217"/>
      <c r="G24" s="217"/>
      <c r="H24" s="46"/>
      <c r="I24" s="217"/>
      <c r="J24" s="217"/>
      <c r="K24" s="46"/>
      <c r="L24" s="125"/>
      <c r="M24" s="125">
        <v>10</v>
      </c>
      <c r="N24" s="438"/>
      <c r="O24" s="436"/>
      <c r="P24" s="442"/>
      <c r="Q24" s="441"/>
      <c r="R24" s="8"/>
      <c r="S24" s="43" t="str">
        <f>IF(ISBLANK(Start!AM31),"",Start!AM31)</f>
        <v>Urban air</v>
      </c>
      <c r="T24" s="429">
        <v>0.73599999999999999</v>
      </c>
      <c r="U24" s="136"/>
      <c r="V24" s="430">
        <v>1</v>
      </c>
      <c r="W24" s="431">
        <v>1</v>
      </c>
      <c r="X24" s="33"/>
      <c r="Y24" s="33"/>
      <c r="Z24" s="33"/>
      <c r="AA24" s="33"/>
      <c r="AB24" s="33"/>
      <c r="AC24" s="33"/>
      <c r="AD24" s="33"/>
      <c r="AE24" s="20"/>
    </row>
    <row r="25" spans="1:31" ht="17.100000000000001" customHeight="1">
      <c r="A25" s="104" t="str">
        <f t="shared" si="0"/>
        <v>-</v>
      </c>
      <c r="B25" s="215"/>
      <c r="C25" s="218"/>
      <c r="D25" s="59"/>
      <c r="E25" s="60"/>
      <c r="F25" s="217"/>
      <c r="G25" s="217"/>
      <c r="H25" s="46"/>
      <c r="I25" s="217"/>
      <c r="J25" s="217"/>
      <c r="K25" s="46"/>
      <c r="L25" s="125"/>
      <c r="M25" s="125">
        <v>11</v>
      </c>
      <c r="N25" s="438"/>
      <c r="O25" s="436"/>
      <c r="P25" s="442"/>
      <c r="Q25" s="441"/>
      <c r="R25" s="8"/>
      <c r="S25" s="43" t="str">
        <f>IF(ISBLANK(Start!AM32),"",Start!AM32)</f>
        <v>Urban vegetation</v>
      </c>
      <c r="T25" s="137"/>
      <c r="U25" s="136"/>
      <c r="V25" s="136"/>
      <c r="W25" s="138"/>
      <c r="X25" s="33"/>
      <c r="Y25" s="33"/>
      <c r="Z25" s="33"/>
      <c r="AA25" s="33"/>
      <c r="AB25" s="33"/>
      <c r="AC25" s="33"/>
      <c r="AD25" s="33"/>
      <c r="AE25" s="20"/>
    </row>
    <row r="26" spans="1:31" ht="17.100000000000001" customHeight="1">
      <c r="A26" s="104" t="str">
        <f t="shared" si="0"/>
        <v>-</v>
      </c>
      <c r="B26" s="215"/>
      <c r="C26" s="218"/>
      <c r="D26" s="59"/>
      <c r="E26" s="60"/>
      <c r="F26" s="217"/>
      <c r="G26" s="217"/>
      <c r="H26" s="46"/>
      <c r="I26" s="217"/>
      <c r="J26" s="217"/>
      <c r="K26" s="46"/>
      <c r="L26" s="125"/>
      <c r="M26" s="125">
        <v>12</v>
      </c>
      <c r="N26" s="438"/>
      <c r="O26" s="436"/>
      <c r="P26" s="442"/>
      <c r="Q26" s="441"/>
      <c r="R26" s="8"/>
      <c r="S26" s="43" t="str">
        <f>IF(ISBLANK(Start!AM33),"",Start!AM33)</f>
        <v>Urban soil</v>
      </c>
      <c r="T26" s="137"/>
      <c r="U26" s="136"/>
      <c r="V26" s="136"/>
      <c r="W26" s="138"/>
      <c r="X26" s="33"/>
      <c r="Y26" s="33"/>
      <c r="Z26" s="33"/>
      <c r="AA26" s="33"/>
      <c r="AB26" s="33"/>
      <c r="AC26" s="33"/>
      <c r="AD26" s="33"/>
      <c r="AE26" s="20"/>
    </row>
    <row r="27" spans="1:31" ht="17.100000000000001" customHeight="1">
      <c r="A27" s="104" t="str">
        <f t="shared" si="0"/>
        <v>-</v>
      </c>
      <c r="B27" s="215"/>
      <c r="C27" s="218"/>
      <c r="D27" s="59"/>
      <c r="E27" s="60"/>
      <c r="F27" s="217"/>
      <c r="G27" s="217"/>
      <c r="H27" s="46"/>
      <c r="I27" s="217"/>
      <c r="J27" s="217"/>
      <c r="K27" s="46"/>
      <c r="L27" s="125"/>
      <c r="M27" s="125">
        <v>13</v>
      </c>
      <c r="N27" s="438"/>
      <c r="O27" s="436"/>
      <c r="P27" s="442"/>
      <c r="Q27" s="441"/>
      <c r="R27" s="8"/>
      <c r="S27" s="43" t="str">
        <f>IF(ISBLANK(Start!AM34),"",Start!AM34)</f>
        <v>Urban freshwater</v>
      </c>
      <c r="T27" s="429">
        <v>0.26400000000000001</v>
      </c>
      <c r="U27" s="136"/>
      <c r="V27" s="136"/>
      <c r="W27" s="138"/>
      <c r="X27" s="33"/>
      <c r="Y27" s="33"/>
      <c r="Z27" s="33"/>
      <c r="AA27" s="33"/>
      <c r="AB27" s="33"/>
      <c r="AC27" s="33"/>
      <c r="AD27" s="33"/>
      <c r="AE27" s="20"/>
    </row>
    <row r="28" spans="1:31" ht="17.100000000000001" customHeight="1">
      <c r="A28" s="104" t="str">
        <f t="shared" si="0"/>
        <v>-</v>
      </c>
      <c r="B28" s="215"/>
      <c r="C28" s="218"/>
      <c r="D28" s="59"/>
      <c r="E28" s="60"/>
      <c r="F28" s="217"/>
      <c r="G28" s="217"/>
      <c r="H28" s="46"/>
      <c r="I28" s="217"/>
      <c r="J28" s="217"/>
      <c r="K28" s="46"/>
      <c r="L28" s="125"/>
      <c r="M28" s="125">
        <v>14</v>
      </c>
      <c r="N28" s="438"/>
      <c r="O28" s="436"/>
      <c r="P28" s="442"/>
      <c r="Q28" s="441"/>
      <c r="R28" s="8"/>
      <c r="S28" s="43" t="str">
        <f>IF(ISBLANK(Start!AM35),"",Start!AM35)</f>
        <v>Urban freshwater sediment</v>
      </c>
      <c r="T28" s="137"/>
      <c r="U28" s="136"/>
      <c r="V28" s="136"/>
      <c r="W28" s="138"/>
      <c r="X28" s="33"/>
      <c r="Y28" s="33"/>
      <c r="Z28" s="33"/>
      <c r="AA28" s="33"/>
      <c r="AB28" s="33"/>
      <c r="AC28" s="33"/>
      <c r="AD28" s="33"/>
      <c r="AE28" s="20"/>
    </row>
    <row r="29" spans="1:31" ht="17.100000000000001" customHeight="1">
      <c r="A29" s="104" t="str">
        <f t="shared" si="0"/>
        <v>-</v>
      </c>
      <c r="B29" s="215"/>
      <c r="C29" s="218"/>
      <c r="D29" s="59"/>
      <c r="E29" s="60"/>
      <c r="F29" s="217"/>
      <c r="G29" s="217"/>
      <c r="H29" s="46"/>
      <c r="I29" s="217"/>
      <c r="J29" s="217"/>
      <c r="K29" s="46"/>
      <c r="L29" s="125"/>
      <c r="M29" s="125">
        <v>15</v>
      </c>
      <c r="N29" s="438"/>
      <c r="O29" s="436"/>
      <c r="P29" s="442"/>
      <c r="Q29" s="441"/>
      <c r="R29" s="8"/>
      <c r="S29" s="43" t="str">
        <f>IF(ISBLANK(Start!AM36),"",Start!AM36)</f>
        <v>Urban built-up surface</v>
      </c>
      <c r="T29" s="148"/>
      <c r="U29" s="136"/>
      <c r="V29" s="136"/>
      <c r="W29" s="138"/>
      <c r="X29" s="33"/>
      <c r="Y29" s="33"/>
      <c r="Z29" s="33"/>
      <c r="AA29" s="33"/>
      <c r="AB29" s="33"/>
      <c r="AC29" s="33"/>
      <c r="AD29" s="33"/>
      <c r="AE29" s="20"/>
    </row>
    <row r="30" spans="1:31" ht="17.100000000000001" customHeight="1">
      <c r="A30" s="104" t="str">
        <f t="shared" si="0"/>
        <v>-</v>
      </c>
      <c r="B30" s="215"/>
      <c r="C30" s="218"/>
      <c r="D30" s="59"/>
      <c r="E30" s="60"/>
      <c r="F30" s="217"/>
      <c r="G30" s="217"/>
      <c r="H30" s="46"/>
      <c r="I30" s="217"/>
      <c r="J30" s="217"/>
      <c r="K30" s="46"/>
      <c r="L30" s="125"/>
      <c r="M30" s="125">
        <v>16</v>
      </c>
      <c r="N30" s="438"/>
      <c r="O30" s="436"/>
      <c r="P30" s="442"/>
      <c r="Q30" s="441"/>
      <c r="R30" s="8"/>
      <c r="S30" s="43" t="str">
        <f>IF(ISBLANK(Start!AM37),"",Start!AM37)</f>
        <v>Urban shallow groundwater</v>
      </c>
      <c r="T30" s="137"/>
      <c r="U30" s="136"/>
      <c r="V30" s="136"/>
      <c r="W30" s="138"/>
      <c r="X30" s="33"/>
      <c r="Y30" s="33"/>
      <c r="Z30" s="33"/>
      <c r="AA30" s="33"/>
      <c r="AB30" s="33"/>
      <c r="AC30" s="33"/>
      <c r="AD30" s="33"/>
      <c r="AE30" s="20"/>
    </row>
    <row r="31" spans="1:31" ht="17.100000000000001" customHeight="1">
      <c r="A31" s="104" t="str">
        <f t="shared" si="0"/>
        <v>-</v>
      </c>
      <c r="B31" s="215"/>
      <c r="C31" s="218"/>
      <c r="D31" s="59"/>
      <c r="E31" s="60"/>
      <c r="F31" s="217"/>
      <c r="G31" s="217"/>
      <c r="H31" s="46"/>
      <c r="I31" s="217"/>
      <c r="J31" s="217"/>
      <c r="K31" s="46"/>
      <c r="L31" s="125"/>
      <c r="M31" s="125">
        <v>17</v>
      </c>
      <c r="N31" s="438"/>
      <c r="O31" s="436"/>
      <c r="P31" s="442"/>
      <c r="Q31" s="441"/>
      <c r="R31" s="8"/>
      <c r="S31" s="43" t="str">
        <f>IF(ISBLANK(Start!AM38),"",Start!AM38)</f>
        <v>Urban deep groundwater</v>
      </c>
      <c r="T31" s="137"/>
      <c r="U31" s="136"/>
      <c r="V31" s="136"/>
      <c r="W31" s="138"/>
      <c r="X31" s="33"/>
      <c r="Y31" s="33"/>
      <c r="Z31" s="33"/>
      <c r="AA31" s="33"/>
      <c r="AB31" s="33"/>
      <c r="AC31" s="33"/>
      <c r="AD31" s="33"/>
      <c r="AE31" s="20"/>
    </row>
    <row r="32" spans="1:31" ht="17.100000000000001" customHeight="1">
      <c r="A32" s="104" t="str">
        <f t="shared" si="0"/>
        <v>-</v>
      </c>
      <c r="B32" s="215"/>
      <c r="C32" s="218"/>
      <c r="D32" s="59"/>
      <c r="E32" s="60"/>
      <c r="F32" s="217"/>
      <c r="G32" s="217"/>
      <c r="H32" s="46"/>
      <c r="I32" s="217"/>
      <c r="J32" s="217"/>
      <c r="K32" s="46"/>
      <c r="L32" s="125"/>
      <c r="M32" s="125">
        <v>18</v>
      </c>
      <c r="N32" s="438"/>
      <c r="O32" s="436"/>
      <c r="P32" s="442"/>
      <c r="Q32" s="441"/>
      <c r="R32" s="8"/>
      <c r="S32" s="43" t="str">
        <f>IF(ISBLANK(Start!AM39),"",Start!AM39)</f>
        <v/>
      </c>
      <c r="T32" s="137"/>
      <c r="U32" s="136"/>
      <c r="V32" s="136"/>
      <c r="W32" s="138"/>
      <c r="X32" s="33"/>
      <c r="Y32" s="33"/>
      <c r="Z32" s="33"/>
      <c r="AA32" s="33"/>
      <c r="AB32" s="33"/>
      <c r="AC32" s="33"/>
      <c r="AD32" s="33"/>
      <c r="AE32" s="20"/>
    </row>
    <row r="33" spans="1:31" ht="17.100000000000001" customHeight="1">
      <c r="A33" s="104" t="str">
        <f t="shared" si="0"/>
        <v>-</v>
      </c>
      <c r="B33" s="215"/>
      <c r="C33" s="218"/>
      <c r="D33" s="59"/>
      <c r="E33" s="60"/>
      <c r="F33" s="217"/>
      <c r="G33" s="217"/>
      <c r="H33" s="46"/>
      <c r="I33" s="217"/>
      <c r="J33" s="217"/>
      <c r="K33" s="46"/>
      <c r="L33" s="125"/>
      <c r="M33" s="125">
        <v>19</v>
      </c>
      <c r="N33" s="438"/>
      <c r="O33" s="436"/>
      <c r="P33" s="442"/>
      <c r="Q33" s="441"/>
      <c r="R33" s="8"/>
      <c r="S33" s="43" t="str">
        <f>IF(ISBLANK(Start!AM40),"",Start!AM40)</f>
        <v/>
      </c>
      <c r="T33" s="137"/>
      <c r="U33" s="136"/>
      <c r="V33" s="136"/>
      <c r="W33" s="138"/>
      <c r="X33" s="33"/>
      <c r="Y33" s="33"/>
      <c r="Z33" s="33"/>
      <c r="AA33" s="33"/>
      <c r="AB33" s="33"/>
      <c r="AC33" s="33"/>
      <c r="AD33" s="33"/>
      <c r="AE33" s="20"/>
    </row>
    <row r="34" spans="1:31" ht="17.100000000000001" customHeight="1">
      <c r="A34" s="104" t="str">
        <f t="shared" si="0"/>
        <v>-</v>
      </c>
      <c r="B34" s="215"/>
      <c r="C34" s="218"/>
      <c r="D34" s="59"/>
      <c r="E34" s="60"/>
      <c r="F34" s="217"/>
      <c r="G34" s="217"/>
      <c r="H34" s="46"/>
      <c r="I34" s="217"/>
      <c r="J34" s="217"/>
      <c r="K34" s="46"/>
      <c r="L34" s="125"/>
      <c r="M34" s="125">
        <v>20</v>
      </c>
      <c r="N34" s="438"/>
      <c r="O34" s="436"/>
      <c r="P34" s="442"/>
      <c r="Q34" s="441"/>
      <c r="R34" s="8"/>
      <c r="S34" s="43" t="str">
        <f>IF(ISBLANK(Start!AM41),"",Start!AM41)</f>
        <v>Rural air</v>
      </c>
      <c r="T34" s="137"/>
      <c r="U34" s="136"/>
      <c r="V34" s="136"/>
      <c r="W34" s="138"/>
      <c r="X34" s="33"/>
      <c r="Y34" s="33"/>
      <c r="Z34" s="33"/>
      <c r="AA34" s="33"/>
      <c r="AB34" s="33"/>
      <c r="AC34" s="33"/>
      <c r="AD34" s="33"/>
      <c r="AE34" s="20"/>
    </row>
    <row r="35" spans="1:31" ht="17.100000000000001" customHeight="1">
      <c r="A35" s="104" t="str">
        <f t="shared" si="0"/>
        <v>-</v>
      </c>
      <c r="B35" s="215"/>
      <c r="C35" s="218"/>
      <c r="D35" s="59"/>
      <c r="E35" s="60"/>
      <c r="F35" s="217"/>
      <c r="G35" s="217"/>
      <c r="H35" s="46"/>
      <c r="I35" s="217"/>
      <c r="J35" s="217"/>
      <c r="K35" s="46"/>
      <c r="L35" s="125"/>
      <c r="M35" s="125">
        <v>21</v>
      </c>
      <c r="N35" s="438"/>
      <c r="O35" s="436"/>
      <c r="P35" s="442"/>
      <c r="Q35" s="441"/>
      <c r="R35" s="8"/>
      <c r="S35" s="43" t="str">
        <f>IF(ISBLANK(Start!AM42),"",Start!AM42)</f>
        <v>Rural vegetation</v>
      </c>
      <c r="T35" s="137"/>
      <c r="U35" s="136"/>
      <c r="V35" s="136"/>
      <c r="W35" s="138"/>
      <c r="X35" s="33"/>
      <c r="Y35" s="33"/>
      <c r="Z35" s="33"/>
      <c r="AA35" s="33"/>
      <c r="AB35" s="33"/>
      <c r="AC35" s="33"/>
      <c r="AD35" s="33"/>
      <c r="AE35" s="20"/>
    </row>
    <row r="36" spans="1:31" ht="17.100000000000001" customHeight="1">
      <c r="A36" s="104" t="str">
        <f t="shared" si="0"/>
        <v>-</v>
      </c>
      <c r="B36" s="215"/>
      <c r="C36" s="218"/>
      <c r="D36" s="59"/>
      <c r="E36" s="60"/>
      <c r="F36" s="217"/>
      <c r="G36" s="217"/>
      <c r="H36" s="46"/>
      <c r="I36" s="217"/>
      <c r="J36" s="217"/>
      <c r="K36" s="46"/>
      <c r="L36" s="125"/>
      <c r="M36" s="125">
        <v>22</v>
      </c>
      <c r="N36" s="438"/>
      <c r="O36" s="436"/>
      <c r="P36" s="442"/>
      <c r="Q36" s="441"/>
      <c r="R36" s="8"/>
      <c r="S36" s="43" t="str">
        <f>IF(ISBLANK(Start!AM43),"",Start!AM43)</f>
        <v>Rural soil</v>
      </c>
      <c r="T36" s="137"/>
      <c r="U36" s="136"/>
      <c r="V36" s="136"/>
      <c r="W36" s="138"/>
      <c r="X36" s="33"/>
      <c r="Y36" s="33"/>
      <c r="Z36" s="33"/>
      <c r="AA36" s="33"/>
      <c r="AB36" s="33"/>
      <c r="AC36" s="33"/>
      <c r="AD36" s="33"/>
      <c r="AE36" s="20"/>
    </row>
    <row r="37" spans="1:31" ht="17.100000000000001" customHeight="1">
      <c r="A37" s="104" t="str">
        <f t="shared" si="0"/>
        <v>-</v>
      </c>
      <c r="B37" s="215"/>
      <c r="C37" s="218"/>
      <c r="D37" s="59"/>
      <c r="E37" s="60"/>
      <c r="F37" s="217"/>
      <c r="G37" s="217"/>
      <c r="H37" s="46"/>
      <c r="I37" s="217"/>
      <c r="J37" s="217"/>
      <c r="K37" s="46"/>
      <c r="L37" s="125"/>
      <c r="M37" s="125">
        <v>23</v>
      </c>
      <c r="N37" s="438"/>
      <c r="O37" s="436"/>
      <c r="P37" s="442"/>
      <c r="Q37" s="441"/>
      <c r="R37" s="8"/>
      <c r="S37" s="43" t="str">
        <f>IF(ISBLANK(Start!AM44),"",Start!AM44)</f>
        <v>Rural freshwater</v>
      </c>
      <c r="T37" s="137"/>
      <c r="U37" s="136"/>
      <c r="V37" s="136"/>
      <c r="W37" s="138"/>
      <c r="X37" s="33"/>
      <c r="Y37" s="33"/>
      <c r="Z37" s="33"/>
      <c r="AA37" s="33"/>
      <c r="AB37" s="33"/>
      <c r="AC37" s="33"/>
      <c r="AD37" s="33"/>
      <c r="AE37" s="20"/>
    </row>
    <row r="38" spans="1:31" ht="17.100000000000001" customHeight="1">
      <c r="A38" s="104" t="str">
        <f t="shared" si="0"/>
        <v>-</v>
      </c>
      <c r="B38" s="215"/>
      <c r="C38" s="218"/>
      <c r="D38" s="59"/>
      <c r="E38" s="60"/>
      <c r="F38" s="217"/>
      <c r="G38" s="217"/>
      <c r="H38" s="46"/>
      <c r="I38" s="217"/>
      <c r="J38" s="217"/>
      <c r="K38" s="46"/>
      <c r="L38" s="125"/>
      <c r="M38" s="125">
        <v>24</v>
      </c>
      <c r="N38" s="438"/>
      <c r="O38" s="436"/>
      <c r="P38" s="442"/>
      <c r="Q38" s="441"/>
      <c r="R38" s="8"/>
      <c r="S38" s="43" t="str">
        <f>IF(ISBLANK(Start!AM45),"",Start!AM45)</f>
        <v>Rural freshwater sediment</v>
      </c>
      <c r="T38" s="133"/>
      <c r="U38" s="134"/>
      <c r="V38" s="134"/>
      <c r="W38" s="135"/>
      <c r="X38" s="33"/>
      <c r="Y38" s="33"/>
      <c r="Z38" s="33"/>
      <c r="AA38" s="33"/>
      <c r="AB38" s="33"/>
      <c r="AC38" s="33"/>
      <c r="AD38" s="33"/>
      <c r="AE38" s="20"/>
    </row>
    <row r="39" spans="1:31" ht="17.100000000000001" customHeight="1">
      <c r="A39" s="104" t="str">
        <f t="shared" si="0"/>
        <v>-</v>
      </c>
      <c r="B39" s="215"/>
      <c r="C39" s="218"/>
      <c r="D39" s="59"/>
      <c r="E39" s="60"/>
      <c r="F39" s="217"/>
      <c r="G39" s="217"/>
      <c r="H39" s="46"/>
      <c r="I39" s="217"/>
      <c r="J39" s="217"/>
      <c r="K39" s="46"/>
      <c r="L39" s="125"/>
      <c r="M39" s="125">
        <v>25</v>
      </c>
      <c r="N39" s="438"/>
      <c r="O39" s="436"/>
      <c r="P39" s="442"/>
      <c r="Q39" s="441"/>
      <c r="R39" s="8"/>
      <c r="S39" s="43" t="str">
        <f>IF(ISBLANK(Start!AM46),"",Start!AM46)</f>
        <v>Rural estuarine water</v>
      </c>
      <c r="T39" s="137"/>
      <c r="U39" s="134"/>
      <c r="V39" s="134"/>
      <c r="W39" s="135"/>
      <c r="X39" s="33"/>
      <c r="Y39" s="33"/>
      <c r="Z39" s="33"/>
      <c r="AA39" s="33"/>
      <c r="AB39" s="33"/>
      <c r="AC39" s="33"/>
      <c r="AD39" s="33"/>
      <c r="AE39" s="20"/>
    </row>
    <row r="40" spans="1:31" ht="17.100000000000001" customHeight="1">
      <c r="A40" s="104" t="str">
        <f t="shared" si="0"/>
        <v>-</v>
      </c>
      <c r="B40" s="215"/>
      <c r="C40" s="218"/>
      <c r="D40" s="59"/>
      <c r="E40" s="60"/>
      <c r="F40" s="217"/>
      <c r="G40" s="217"/>
      <c r="H40" s="46"/>
      <c r="I40" s="217"/>
      <c r="J40" s="217"/>
      <c r="K40" s="46"/>
      <c r="L40" s="125"/>
      <c r="M40" s="125">
        <v>26</v>
      </c>
      <c r="N40" s="438"/>
      <c r="O40" s="436"/>
      <c r="P40" s="442"/>
      <c r="Q40" s="441"/>
      <c r="R40" s="8"/>
      <c r="S40" s="43" t="str">
        <f>IF(ISBLANK(Start!AM47),"",Start!AM47)</f>
        <v>Rural estuarine sediment</v>
      </c>
      <c r="T40" s="137"/>
      <c r="U40" s="134"/>
      <c r="V40" s="134"/>
      <c r="W40" s="138"/>
      <c r="X40" s="33"/>
      <c r="Y40" s="33"/>
      <c r="Z40" s="33"/>
      <c r="AA40" s="33"/>
      <c r="AB40" s="33"/>
      <c r="AC40" s="33"/>
      <c r="AD40" s="33"/>
      <c r="AE40" s="20"/>
    </row>
    <row r="41" spans="1:31" ht="17.100000000000001" customHeight="1">
      <c r="A41" s="104" t="str">
        <f t="shared" si="0"/>
        <v>-</v>
      </c>
      <c r="B41" s="215"/>
      <c r="C41" s="218"/>
      <c r="D41" s="59"/>
      <c r="E41" s="60"/>
      <c r="F41" s="217"/>
      <c r="G41" s="217"/>
      <c r="H41" s="46"/>
      <c r="I41" s="217"/>
      <c r="J41" s="217"/>
      <c r="K41" s="46"/>
      <c r="L41" s="125"/>
      <c r="M41" s="125">
        <v>27</v>
      </c>
      <c r="N41" s="438"/>
      <c r="O41" s="436"/>
      <c r="P41" s="442"/>
      <c r="Q41" s="441"/>
      <c r="R41" s="8"/>
      <c r="S41" s="43" t="str">
        <f>IF(ISBLANK(Start!AM48),"",Start!AM48)</f>
        <v>Rural shallow groundwater</v>
      </c>
      <c r="T41" s="133"/>
      <c r="U41" s="134"/>
      <c r="V41" s="134"/>
      <c r="W41" s="135"/>
      <c r="X41" s="33"/>
      <c r="Y41" s="33"/>
      <c r="Z41" s="33"/>
      <c r="AA41" s="33"/>
      <c r="AB41" s="33"/>
      <c r="AC41" s="33"/>
      <c r="AD41" s="33"/>
      <c r="AE41" s="20"/>
    </row>
    <row r="42" spans="1:31" ht="17.100000000000001" customHeight="1">
      <c r="A42" s="104" t="str">
        <f t="shared" si="0"/>
        <v>-</v>
      </c>
      <c r="B42" s="215"/>
      <c r="C42" s="218"/>
      <c r="D42" s="59"/>
      <c r="E42" s="60"/>
      <c r="F42" s="217"/>
      <c r="G42" s="217"/>
      <c r="H42" s="46"/>
      <c r="I42" s="217"/>
      <c r="J42" s="217"/>
      <c r="K42" s="46"/>
      <c r="L42" s="125"/>
      <c r="M42" s="125">
        <v>28</v>
      </c>
      <c r="N42" s="438"/>
      <c r="O42" s="436"/>
      <c r="P42" s="442"/>
      <c r="Q42" s="441"/>
      <c r="R42" s="8"/>
      <c r="S42" s="43" t="str">
        <f>IF(ISBLANK(Start!AM49),"",Start!AM49)</f>
        <v>Rural deep groundwater</v>
      </c>
      <c r="T42" s="133"/>
      <c r="U42" s="134"/>
      <c r="V42" s="134"/>
      <c r="W42" s="135"/>
      <c r="X42" s="33"/>
      <c r="Y42" s="33"/>
      <c r="Z42" s="33"/>
      <c r="AA42" s="33"/>
      <c r="AB42" s="33"/>
      <c r="AC42" s="33"/>
      <c r="AD42" s="33"/>
      <c r="AE42" s="20"/>
    </row>
    <row r="43" spans="1:31" ht="17.100000000000001" customHeight="1" thickBot="1">
      <c r="A43" s="104" t="str">
        <f t="shared" si="0"/>
        <v>-</v>
      </c>
      <c r="B43" s="215"/>
      <c r="C43" s="218"/>
      <c r="D43" s="59"/>
      <c r="E43" s="60"/>
      <c r="F43" s="217"/>
      <c r="G43" s="217"/>
      <c r="H43" s="46"/>
      <c r="I43" s="217"/>
      <c r="J43" s="217"/>
      <c r="K43" s="46"/>
      <c r="L43" s="125"/>
      <c r="M43" s="125">
        <v>29</v>
      </c>
      <c r="N43" s="438"/>
      <c r="O43" s="436"/>
      <c r="P43" s="442"/>
      <c r="Q43" s="441"/>
      <c r="R43" s="8"/>
      <c r="S43" s="43" t="str">
        <f>IF(ISBLANK(Start!AM50),"",Start!AM50)</f>
        <v/>
      </c>
      <c r="T43" s="139"/>
      <c r="U43" s="140"/>
      <c r="V43" s="140"/>
      <c r="W43" s="141"/>
      <c r="X43" s="33"/>
      <c r="Y43" s="33"/>
      <c r="Z43" s="33"/>
      <c r="AA43" s="33"/>
      <c r="AB43" s="33"/>
      <c r="AC43" s="33"/>
      <c r="AD43" s="33"/>
      <c r="AE43" s="20"/>
    </row>
    <row r="44" spans="1:31" ht="17.100000000000001" customHeight="1">
      <c r="A44" s="104" t="str">
        <f t="shared" si="0"/>
        <v>-</v>
      </c>
      <c r="B44" s="215"/>
      <c r="C44" s="218"/>
      <c r="D44" s="59"/>
      <c r="E44" s="60"/>
      <c r="F44" s="217"/>
      <c r="G44" s="217"/>
      <c r="H44" s="46"/>
      <c r="I44" s="217"/>
      <c r="J44" s="217"/>
      <c r="K44" s="46"/>
      <c r="L44" s="125"/>
      <c r="M44" s="125">
        <v>30</v>
      </c>
      <c r="N44" s="438"/>
      <c r="O44" s="436"/>
      <c r="P44" s="442"/>
      <c r="Q44" s="441"/>
      <c r="R44" s="8"/>
      <c r="S44" s="8"/>
      <c r="T44" s="8"/>
      <c r="U44" s="8"/>
      <c r="V44" s="8"/>
      <c r="W44" s="8"/>
      <c r="X44" s="33"/>
      <c r="Y44" s="33"/>
      <c r="Z44" s="33"/>
      <c r="AA44" s="33"/>
      <c r="AB44" s="33"/>
      <c r="AC44" s="33"/>
      <c r="AD44" s="33"/>
      <c r="AE44" s="20"/>
    </row>
    <row r="45" spans="1:31" ht="17.100000000000001" customHeight="1">
      <c r="A45" s="104" t="str">
        <f t="shared" si="0"/>
        <v>-</v>
      </c>
      <c r="B45" s="215"/>
      <c r="C45" s="218"/>
      <c r="D45" s="59"/>
      <c r="E45" s="60"/>
      <c r="F45" s="217"/>
      <c r="G45" s="217"/>
      <c r="H45" s="46"/>
      <c r="I45" s="217"/>
      <c r="J45" s="217"/>
      <c r="K45" s="46"/>
      <c r="L45" s="125"/>
      <c r="M45" s="125">
        <v>31</v>
      </c>
      <c r="N45" s="438"/>
      <c r="O45" s="436"/>
      <c r="P45" s="442"/>
      <c r="Q45" s="441"/>
      <c r="R45" s="8"/>
      <c r="S45" s="8"/>
      <c r="T45" s="8"/>
      <c r="U45" s="8"/>
      <c r="V45" s="8"/>
      <c r="W45" s="8"/>
      <c r="X45" s="33"/>
      <c r="Y45" s="33"/>
      <c r="Z45" s="33"/>
      <c r="AA45" s="33"/>
      <c r="AB45" s="33"/>
      <c r="AC45" s="33"/>
      <c r="AD45" s="33"/>
      <c r="AE45" s="20"/>
    </row>
    <row r="46" spans="1:31" ht="17.100000000000001" customHeight="1">
      <c r="A46" s="104" t="str">
        <f t="shared" si="0"/>
        <v>-</v>
      </c>
      <c r="B46" s="215"/>
      <c r="C46" s="218"/>
      <c r="D46" s="59"/>
      <c r="E46" s="60"/>
      <c r="F46" s="217"/>
      <c r="G46" s="217"/>
      <c r="H46" s="46"/>
      <c r="I46" s="217"/>
      <c r="J46" s="217"/>
      <c r="K46" s="46"/>
      <c r="L46" s="125"/>
      <c r="M46" s="125">
        <v>32</v>
      </c>
      <c r="N46" s="438"/>
      <c r="O46" s="436"/>
      <c r="P46" s="442"/>
      <c r="Q46" s="441"/>
      <c r="R46" s="8"/>
      <c r="S46" s="8"/>
      <c r="T46" s="8"/>
      <c r="U46" s="8"/>
      <c r="V46" s="8"/>
      <c r="W46" s="8"/>
      <c r="X46" s="33"/>
      <c r="Y46" s="33"/>
      <c r="Z46" s="33"/>
      <c r="AA46" s="33"/>
      <c r="AB46" s="33"/>
      <c r="AC46" s="33"/>
      <c r="AD46" s="33"/>
      <c r="AE46" s="20"/>
    </row>
    <row r="47" spans="1:31" ht="17.100000000000001" customHeight="1">
      <c r="A47" s="104" t="str">
        <f t="shared" ref="A47:A78" si="1">IF(ROW(A47)-ROW($A$15)+EmissionStartYear&gt;=SimulationEnds,"-",ROW(A47)-ROW($A$15)+EmissionStartYear)</f>
        <v>-</v>
      </c>
      <c r="B47" s="215"/>
      <c r="C47" s="218"/>
      <c r="D47" s="59"/>
      <c r="E47" s="60"/>
      <c r="F47" s="217"/>
      <c r="G47" s="217"/>
      <c r="H47" s="46"/>
      <c r="I47" s="217"/>
      <c r="J47" s="217"/>
      <c r="K47" s="46"/>
      <c r="L47" s="125"/>
      <c r="M47" s="125">
        <v>33</v>
      </c>
      <c r="N47" s="438"/>
      <c r="O47" s="436"/>
      <c r="P47" s="442"/>
      <c r="Q47" s="441"/>
      <c r="R47" s="8"/>
      <c r="S47" s="22"/>
      <c r="T47" s="142"/>
      <c r="U47" s="142"/>
      <c r="V47" s="142"/>
      <c r="W47" s="142"/>
      <c r="X47" s="33"/>
      <c r="Y47" s="33"/>
      <c r="Z47" s="33"/>
      <c r="AA47" s="33"/>
      <c r="AB47" s="33"/>
      <c r="AC47" s="33"/>
      <c r="AD47" s="33"/>
      <c r="AE47" s="20"/>
    </row>
    <row r="48" spans="1:31" ht="17.100000000000001" customHeight="1">
      <c r="A48" s="104" t="str">
        <f t="shared" si="1"/>
        <v>-</v>
      </c>
      <c r="B48" s="215"/>
      <c r="C48" s="218"/>
      <c r="D48" s="59"/>
      <c r="E48" s="60"/>
      <c r="F48" s="217"/>
      <c r="G48" s="217"/>
      <c r="H48" s="46"/>
      <c r="I48" s="217"/>
      <c r="J48" s="217"/>
      <c r="K48" s="46"/>
      <c r="L48" s="125"/>
      <c r="M48" s="125">
        <v>34</v>
      </c>
      <c r="N48" s="438"/>
      <c r="O48" s="436"/>
      <c r="P48" s="442"/>
      <c r="Q48" s="441"/>
      <c r="R48" s="8"/>
      <c r="S48" s="22"/>
      <c r="T48" s="22"/>
      <c r="U48" s="22"/>
      <c r="V48" s="22"/>
      <c r="W48" s="22"/>
      <c r="X48" s="33"/>
      <c r="Y48" s="33"/>
      <c r="Z48" s="33"/>
      <c r="AA48" s="33"/>
      <c r="AB48" s="33"/>
      <c r="AC48" s="33"/>
      <c r="AD48" s="33"/>
      <c r="AE48" s="20"/>
    </row>
    <row r="49" spans="1:31" ht="17.100000000000001" customHeight="1">
      <c r="A49" s="104" t="str">
        <f t="shared" si="1"/>
        <v>-</v>
      </c>
      <c r="B49" s="215"/>
      <c r="C49" s="218"/>
      <c r="D49" s="59"/>
      <c r="E49" s="60"/>
      <c r="F49" s="217"/>
      <c r="G49" s="217"/>
      <c r="H49" s="46"/>
      <c r="I49" s="217"/>
      <c r="J49" s="217"/>
      <c r="K49" s="46"/>
      <c r="L49" s="125"/>
      <c r="M49" s="125">
        <v>35</v>
      </c>
      <c r="N49" s="438"/>
      <c r="O49" s="436"/>
      <c r="P49" s="442"/>
      <c r="Q49" s="441"/>
      <c r="R49" s="8"/>
      <c r="S49" s="22"/>
      <c r="T49" s="22"/>
      <c r="U49" s="22"/>
      <c r="V49" s="22"/>
      <c r="W49" s="22"/>
      <c r="X49" s="33"/>
      <c r="Y49" s="33"/>
      <c r="Z49" s="33"/>
      <c r="AA49" s="33"/>
      <c r="AB49" s="33"/>
      <c r="AC49" s="33"/>
      <c r="AD49" s="33"/>
      <c r="AE49" s="20"/>
    </row>
    <row r="50" spans="1:31" ht="17.100000000000001" customHeight="1">
      <c r="A50" s="104" t="str">
        <f t="shared" si="1"/>
        <v>-</v>
      </c>
      <c r="B50" s="215"/>
      <c r="C50" s="218"/>
      <c r="D50" s="59"/>
      <c r="E50" s="60"/>
      <c r="F50" s="217"/>
      <c r="G50" s="217"/>
      <c r="H50" s="46"/>
      <c r="I50" s="217"/>
      <c r="J50" s="217"/>
      <c r="K50" s="46"/>
      <c r="L50" s="125"/>
      <c r="M50" s="125">
        <v>36</v>
      </c>
      <c r="N50" s="438"/>
      <c r="O50" s="436"/>
      <c r="P50" s="442"/>
      <c r="Q50" s="441"/>
      <c r="R50" s="8"/>
      <c r="S50" s="39" t="s">
        <v>870</v>
      </c>
      <c r="T50" s="127"/>
      <c r="U50" s="127"/>
      <c r="V50" s="127"/>
      <c r="W50" s="128"/>
      <c r="X50" s="33"/>
      <c r="Y50" s="33"/>
      <c r="Z50" s="33"/>
      <c r="AA50" s="33"/>
      <c r="AB50" s="33"/>
      <c r="AC50" s="33"/>
      <c r="AD50" s="33"/>
      <c r="AE50" s="20"/>
    </row>
    <row r="51" spans="1:31" ht="17.100000000000001" customHeight="1">
      <c r="A51" s="104" t="str">
        <f t="shared" si="1"/>
        <v>-</v>
      </c>
      <c r="B51" s="215"/>
      <c r="C51" s="218"/>
      <c r="D51" s="59"/>
      <c r="E51" s="60"/>
      <c r="F51" s="217"/>
      <c r="G51" s="217"/>
      <c r="H51" s="46"/>
      <c r="I51" s="217"/>
      <c r="J51" s="217"/>
      <c r="K51" s="46"/>
      <c r="L51" s="125"/>
      <c r="M51" s="125">
        <v>37</v>
      </c>
      <c r="N51" s="438"/>
      <c r="O51" s="436"/>
      <c r="P51" s="442"/>
      <c r="Q51" s="441"/>
      <c r="R51" s="8"/>
      <c r="S51" s="41"/>
      <c r="T51" s="143" t="s">
        <v>172</v>
      </c>
      <c r="U51" s="143" t="s">
        <v>174</v>
      </c>
      <c r="V51" s="143" t="s">
        <v>175</v>
      </c>
      <c r="W51" s="143" t="s">
        <v>176</v>
      </c>
      <c r="X51" s="33"/>
      <c r="Y51" s="33"/>
      <c r="Z51" s="33"/>
      <c r="AA51" s="33"/>
      <c r="AB51" s="33"/>
      <c r="AC51" s="33"/>
      <c r="AD51" s="33"/>
      <c r="AE51" s="20"/>
    </row>
    <row r="52" spans="1:31" ht="17.100000000000001" customHeight="1" thickBot="1">
      <c r="A52" s="104" t="str">
        <f t="shared" si="1"/>
        <v>-</v>
      </c>
      <c r="B52" s="215"/>
      <c r="C52" s="218"/>
      <c r="D52" s="59"/>
      <c r="E52" s="60"/>
      <c r="F52" s="217"/>
      <c r="G52" s="217"/>
      <c r="H52" s="46"/>
      <c r="I52" s="217"/>
      <c r="J52" s="217"/>
      <c r="K52" s="46"/>
      <c r="L52" s="125"/>
      <c r="M52" s="125">
        <v>38</v>
      </c>
      <c r="N52" s="438"/>
      <c r="O52" s="436"/>
      <c r="P52" s="442"/>
      <c r="Q52" s="441"/>
      <c r="R52" s="8"/>
      <c r="S52" s="79" t="s">
        <v>869</v>
      </c>
      <c r="T52" s="45" t="s">
        <v>868</v>
      </c>
      <c r="U52" s="45" t="s">
        <v>868</v>
      </c>
      <c r="V52" s="45" t="s">
        <v>868</v>
      </c>
      <c r="W52" s="45" t="s">
        <v>868</v>
      </c>
      <c r="X52" s="33"/>
      <c r="Y52" s="33"/>
      <c r="Z52" s="33"/>
      <c r="AA52" s="33"/>
      <c r="AB52" s="33"/>
      <c r="AC52" s="33"/>
      <c r="AD52" s="33"/>
      <c r="AE52" s="20"/>
    </row>
    <row r="53" spans="1:31" ht="17.100000000000001" customHeight="1">
      <c r="A53" s="104" t="str">
        <f t="shared" si="1"/>
        <v>-</v>
      </c>
      <c r="B53" s="215"/>
      <c r="C53" s="218"/>
      <c r="D53" s="59"/>
      <c r="E53" s="60"/>
      <c r="F53" s="217"/>
      <c r="G53" s="217"/>
      <c r="H53" s="46"/>
      <c r="I53" s="217"/>
      <c r="J53" s="217"/>
      <c r="K53" s="46"/>
      <c r="L53" s="125"/>
      <c r="M53" s="125">
        <v>39</v>
      </c>
      <c r="N53" s="438"/>
      <c r="O53" s="436"/>
      <c r="P53" s="442"/>
      <c r="Q53" s="441"/>
      <c r="R53" s="8"/>
      <c r="S53" s="79" t="s">
        <v>871</v>
      </c>
      <c r="T53" s="129"/>
      <c r="U53" s="131"/>
      <c r="V53" s="131"/>
      <c r="W53" s="132"/>
      <c r="X53" s="33"/>
      <c r="Y53" s="33"/>
      <c r="Z53" s="33"/>
      <c r="AA53" s="33"/>
      <c r="AB53" s="33"/>
      <c r="AC53" s="33"/>
      <c r="AD53" s="33"/>
      <c r="AE53" s="20"/>
    </row>
    <row r="54" spans="1:31" ht="17.100000000000001" customHeight="1">
      <c r="A54" s="104" t="str">
        <f t="shared" si="1"/>
        <v>-</v>
      </c>
      <c r="B54" s="215"/>
      <c r="C54" s="218"/>
      <c r="D54" s="59"/>
      <c r="E54" s="60"/>
      <c r="F54" s="217"/>
      <c r="G54" s="217"/>
      <c r="H54" s="46"/>
      <c r="I54" s="217"/>
      <c r="J54" s="217"/>
      <c r="K54" s="46"/>
      <c r="L54" s="125"/>
      <c r="M54" s="125">
        <v>40</v>
      </c>
      <c r="N54" s="438"/>
      <c r="O54" s="436"/>
      <c r="P54" s="442"/>
      <c r="Q54" s="441"/>
      <c r="R54" s="8"/>
      <c r="S54" s="79" t="s">
        <v>872</v>
      </c>
      <c r="T54" s="133"/>
      <c r="U54" s="134"/>
      <c r="V54" s="134"/>
      <c r="W54" s="135"/>
      <c r="X54" s="33"/>
      <c r="Y54" s="33"/>
      <c r="Z54" s="33"/>
      <c r="AA54" s="33"/>
      <c r="AB54" s="33"/>
      <c r="AC54" s="33"/>
      <c r="AD54" s="33"/>
      <c r="AE54" s="20"/>
    </row>
    <row r="55" spans="1:31" ht="17.100000000000001" customHeight="1">
      <c r="A55" s="104" t="str">
        <f t="shared" si="1"/>
        <v>-</v>
      </c>
      <c r="B55" s="215"/>
      <c r="C55" s="218"/>
      <c r="D55" s="59"/>
      <c r="E55" s="60"/>
      <c r="F55" s="217"/>
      <c r="G55" s="217"/>
      <c r="H55" s="46"/>
      <c r="I55" s="217"/>
      <c r="J55" s="217"/>
      <c r="K55" s="46"/>
      <c r="L55" s="125"/>
      <c r="M55" s="125">
        <v>41</v>
      </c>
      <c r="N55" s="438"/>
      <c r="O55" s="436"/>
      <c r="P55" s="442"/>
      <c r="Q55" s="441"/>
      <c r="R55" s="8"/>
      <c r="S55" s="79" t="s">
        <v>873</v>
      </c>
      <c r="T55" s="133"/>
      <c r="U55" s="134"/>
      <c r="V55" s="134"/>
      <c r="W55" s="135"/>
      <c r="X55" s="33"/>
      <c r="Y55" s="33"/>
      <c r="Z55" s="33"/>
      <c r="AA55" s="33"/>
      <c r="AB55" s="33"/>
      <c r="AC55" s="33"/>
      <c r="AD55" s="33"/>
      <c r="AE55" s="20"/>
    </row>
    <row r="56" spans="1:31" ht="17.100000000000001" customHeight="1">
      <c r="A56" s="104" t="str">
        <f t="shared" si="1"/>
        <v>-</v>
      </c>
      <c r="B56" s="215"/>
      <c r="C56" s="218"/>
      <c r="D56" s="59"/>
      <c r="E56" s="60"/>
      <c r="F56" s="217"/>
      <c r="G56" s="217"/>
      <c r="H56" s="46"/>
      <c r="I56" s="217"/>
      <c r="J56" s="217"/>
      <c r="K56" s="46"/>
      <c r="L56" s="125"/>
      <c r="M56" s="125">
        <v>42</v>
      </c>
      <c r="N56" s="438"/>
      <c r="O56" s="436"/>
      <c r="P56" s="442"/>
      <c r="Q56" s="441"/>
      <c r="R56" s="8"/>
      <c r="S56" s="79" t="s">
        <v>874</v>
      </c>
      <c r="T56" s="133"/>
      <c r="U56" s="134"/>
      <c r="V56" s="134"/>
      <c r="W56" s="135"/>
      <c r="X56" s="33"/>
      <c r="Y56" s="33"/>
      <c r="Z56" s="33"/>
      <c r="AA56" s="33"/>
      <c r="AB56" s="33"/>
      <c r="AC56" s="33"/>
      <c r="AD56" s="33"/>
      <c r="AE56" s="20"/>
    </row>
    <row r="57" spans="1:31" ht="17.100000000000001" customHeight="1" thickBot="1">
      <c r="A57" s="104" t="str">
        <f t="shared" si="1"/>
        <v>-</v>
      </c>
      <c r="B57" s="215"/>
      <c r="C57" s="218"/>
      <c r="D57" s="59"/>
      <c r="E57" s="60"/>
      <c r="F57" s="217"/>
      <c r="G57" s="217"/>
      <c r="H57" s="46"/>
      <c r="I57" s="217"/>
      <c r="J57" s="217"/>
      <c r="K57" s="46"/>
      <c r="L57" s="125"/>
      <c r="M57" s="125">
        <v>43</v>
      </c>
      <c r="N57" s="438"/>
      <c r="O57" s="436"/>
      <c r="P57" s="442"/>
      <c r="Q57" s="441"/>
      <c r="R57" s="8"/>
      <c r="S57" s="79" t="s">
        <v>173</v>
      </c>
      <c r="T57" s="139"/>
      <c r="U57" s="220"/>
      <c r="V57" s="140"/>
      <c r="W57" s="141"/>
      <c r="X57" s="33"/>
      <c r="Y57" s="33"/>
      <c r="Z57" s="33"/>
      <c r="AA57" s="33"/>
      <c r="AB57" s="33"/>
      <c r="AC57" s="33"/>
      <c r="AD57" s="33"/>
      <c r="AE57" s="20"/>
    </row>
    <row r="58" spans="1:31" ht="17.100000000000001" customHeight="1">
      <c r="A58" s="104" t="str">
        <f t="shared" si="1"/>
        <v>-</v>
      </c>
      <c r="B58" s="215"/>
      <c r="C58" s="218"/>
      <c r="D58" s="59"/>
      <c r="E58" s="60"/>
      <c r="F58" s="217"/>
      <c r="G58" s="217"/>
      <c r="H58" s="46"/>
      <c r="I58" s="217"/>
      <c r="J58" s="217"/>
      <c r="K58" s="46"/>
      <c r="L58" s="125"/>
      <c r="M58" s="125">
        <v>44</v>
      </c>
      <c r="N58" s="438"/>
      <c r="O58" s="436"/>
      <c r="P58" s="442"/>
      <c r="Q58" s="441"/>
      <c r="R58" s="8"/>
      <c r="S58" s="22"/>
      <c r="T58" s="125"/>
      <c r="U58" s="125"/>
      <c r="V58" s="125"/>
      <c r="W58" s="125"/>
      <c r="X58" s="33"/>
      <c r="Y58" s="33"/>
      <c r="Z58" s="33"/>
      <c r="AA58" s="33"/>
      <c r="AB58" s="33"/>
      <c r="AC58" s="33"/>
      <c r="AD58" s="33"/>
      <c r="AE58" s="20"/>
    </row>
    <row r="59" spans="1:31" ht="17.100000000000001" customHeight="1">
      <c r="A59" s="104" t="str">
        <f t="shared" si="1"/>
        <v>-</v>
      </c>
      <c r="B59" s="215"/>
      <c r="C59" s="218"/>
      <c r="D59" s="59"/>
      <c r="E59" s="60"/>
      <c r="F59" s="217"/>
      <c r="G59" s="217"/>
      <c r="H59" s="46"/>
      <c r="I59" s="217"/>
      <c r="J59" s="217"/>
      <c r="K59" s="46"/>
      <c r="L59" s="125"/>
      <c r="M59" s="125">
        <v>45</v>
      </c>
      <c r="N59" s="438"/>
      <c r="O59" s="436"/>
      <c r="P59" s="442"/>
      <c r="Q59" s="441"/>
      <c r="R59" s="8"/>
      <c r="S59" s="125"/>
      <c r="T59" s="125"/>
      <c r="U59" s="125"/>
      <c r="V59" s="33"/>
      <c r="W59" s="33"/>
      <c r="X59" s="33"/>
      <c r="Y59" s="33"/>
      <c r="Z59" s="33"/>
      <c r="AA59" s="33"/>
      <c r="AB59" s="33"/>
      <c r="AC59" s="33"/>
      <c r="AD59" s="33"/>
      <c r="AE59" s="20"/>
    </row>
    <row r="60" spans="1:31" ht="17.100000000000001" customHeight="1">
      <c r="A60" s="104" t="str">
        <f t="shared" si="1"/>
        <v>-</v>
      </c>
      <c r="B60" s="215"/>
      <c r="C60" s="218"/>
      <c r="D60" s="59"/>
      <c r="E60" s="60"/>
      <c r="F60" s="217"/>
      <c r="G60" s="217"/>
      <c r="H60" s="46"/>
      <c r="I60" s="217"/>
      <c r="J60" s="217"/>
      <c r="K60" s="46"/>
      <c r="L60" s="125"/>
      <c r="M60" s="125">
        <v>46</v>
      </c>
      <c r="N60" s="438"/>
      <c r="O60" s="436"/>
      <c r="P60" s="442"/>
      <c r="Q60" s="441"/>
      <c r="R60" s="8"/>
      <c r="S60" s="44" t="s">
        <v>867</v>
      </c>
      <c r="T60" s="44"/>
      <c r="U60" s="44"/>
      <c r="V60" s="33"/>
      <c r="W60" s="33"/>
      <c r="X60" s="33"/>
      <c r="Y60" s="33"/>
      <c r="Z60" s="33"/>
      <c r="AA60" s="33"/>
      <c r="AB60" s="33"/>
      <c r="AC60" s="33"/>
      <c r="AD60" s="33"/>
      <c r="AE60" s="20"/>
    </row>
    <row r="61" spans="1:31" ht="17.100000000000001" customHeight="1" thickBot="1">
      <c r="A61" s="104" t="str">
        <f t="shared" si="1"/>
        <v>-</v>
      </c>
      <c r="B61" s="215"/>
      <c r="C61" s="218"/>
      <c r="D61" s="59"/>
      <c r="E61" s="60"/>
      <c r="F61" s="217"/>
      <c r="G61" s="217"/>
      <c r="H61" s="46"/>
      <c r="I61" s="217"/>
      <c r="J61" s="217"/>
      <c r="K61" s="46"/>
      <c r="L61" s="125"/>
      <c r="M61" s="125">
        <v>47</v>
      </c>
      <c r="N61" s="438"/>
      <c r="O61" s="436"/>
      <c r="P61" s="442"/>
      <c r="Q61" s="441"/>
      <c r="R61" s="8"/>
      <c r="S61" s="38"/>
      <c r="T61" s="346" t="s">
        <v>110</v>
      </c>
      <c r="U61" s="346" t="s">
        <v>109</v>
      </c>
      <c r="V61" s="33"/>
      <c r="W61" s="33"/>
      <c r="X61" s="33"/>
      <c r="Y61" s="33"/>
      <c r="Z61" s="33"/>
      <c r="AA61" s="33"/>
      <c r="AB61" s="33"/>
      <c r="AC61" s="33"/>
      <c r="AD61" s="33"/>
      <c r="AE61" s="20"/>
    </row>
    <row r="62" spans="1:31" ht="17.100000000000001" customHeight="1">
      <c r="A62" s="104" t="str">
        <f t="shared" si="1"/>
        <v>-</v>
      </c>
      <c r="B62" s="215"/>
      <c r="C62" s="218"/>
      <c r="D62" s="59"/>
      <c r="E62" s="60"/>
      <c r="F62" s="217"/>
      <c r="G62" s="217"/>
      <c r="H62" s="46"/>
      <c r="I62" s="217"/>
      <c r="J62" s="217"/>
      <c r="K62" s="46"/>
      <c r="L62" s="125"/>
      <c r="M62" s="125">
        <v>48</v>
      </c>
      <c r="N62" s="438"/>
      <c r="O62" s="436"/>
      <c r="P62" s="442"/>
      <c r="Q62" s="441"/>
      <c r="R62" s="8"/>
      <c r="S62" s="79" t="s">
        <v>869</v>
      </c>
      <c r="T62" s="348" t="s">
        <v>868</v>
      </c>
      <c r="U62" s="349" t="s">
        <v>868</v>
      </c>
      <c r="V62" s="33"/>
      <c r="W62" s="33"/>
      <c r="X62" s="33"/>
      <c r="Y62" s="33"/>
      <c r="Z62" s="33"/>
      <c r="AA62" s="33"/>
      <c r="AB62" s="33"/>
      <c r="AC62" s="33"/>
      <c r="AD62" s="33"/>
      <c r="AE62" s="20"/>
    </row>
    <row r="63" spans="1:31" ht="17.100000000000001" customHeight="1">
      <c r="A63" s="104" t="str">
        <f t="shared" si="1"/>
        <v>-</v>
      </c>
      <c r="B63" s="215"/>
      <c r="C63" s="218"/>
      <c r="D63" s="59"/>
      <c r="E63" s="60"/>
      <c r="F63" s="217"/>
      <c r="G63" s="217"/>
      <c r="H63" s="46"/>
      <c r="I63" s="217"/>
      <c r="J63" s="217"/>
      <c r="K63" s="46"/>
      <c r="L63" s="125"/>
      <c r="M63" s="125">
        <v>49</v>
      </c>
      <c r="N63" s="438"/>
      <c r="O63" s="436"/>
      <c r="P63" s="442"/>
      <c r="Q63" s="441"/>
      <c r="R63" s="8"/>
      <c r="S63" s="79" t="s">
        <v>875</v>
      </c>
      <c r="T63" s="350">
        <v>5.0000000000000001E-3</v>
      </c>
      <c r="U63" s="351">
        <v>5.0000000000000001E-3</v>
      </c>
      <c r="V63" s="33"/>
      <c r="W63" s="33"/>
      <c r="X63" s="33"/>
      <c r="Y63" s="33"/>
      <c r="Z63" s="33"/>
      <c r="AA63" s="33"/>
      <c r="AB63" s="33"/>
      <c r="AC63" s="33"/>
      <c r="AD63" s="33"/>
      <c r="AE63" s="20"/>
    </row>
    <row r="64" spans="1:31" ht="17.100000000000001" customHeight="1" thickBot="1">
      <c r="A64" s="104" t="str">
        <f t="shared" si="1"/>
        <v>-</v>
      </c>
      <c r="B64" s="215"/>
      <c r="C64" s="218"/>
      <c r="D64" s="59"/>
      <c r="E64" s="60"/>
      <c r="F64" s="217"/>
      <c r="G64" s="217"/>
      <c r="H64" s="46"/>
      <c r="I64" s="217"/>
      <c r="J64" s="217"/>
      <c r="K64" s="46"/>
      <c r="L64" s="125"/>
      <c r="M64" s="125">
        <v>50</v>
      </c>
      <c r="N64" s="438"/>
      <c r="O64" s="436"/>
      <c r="P64" s="442"/>
      <c r="Q64" s="441"/>
      <c r="R64" s="8"/>
      <c r="S64" s="79" t="s">
        <v>876</v>
      </c>
      <c r="T64" s="352">
        <v>1</v>
      </c>
      <c r="U64" s="353">
        <v>1</v>
      </c>
      <c r="V64" s="33"/>
      <c r="W64" s="33"/>
      <c r="X64" s="33"/>
      <c r="Y64" s="33"/>
      <c r="Z64" s="33"/>
      <c r="AA64" s="33"/>
      <c r="AB64" s="33"/>
      <c r="AC64" s="33"/>
      <c r="AD64" s="33"/>
      <c r="AE64" s="20"/>
    </row>
    <row r="65" spans="1:31" ht="17.100000000000001" customHeight="1">
      <c r="A65" s="104" t="str">
        <f t="shared" si="1"/>
        <v>-</v>
      </c>
      <c r="B65" s="215"/>
      <c r="C65" s="218"/>
      <c r="D65" s="59"/>
      <c r="E65" s="60"/>
      <c r="F65" s="217"/>
      <c r="G65" s="217"/>
      <c r="H65" s="46"/>
      <c r="I65" s="217"/>
      <c r="J65" s="217"/>
      <c r="K65" s="46"/>
      <c r="L65" s="125"/>
      <c r="M65" s="125">
        <v>51</v>
      </c>
      <c r="N65" s="438"/>
      <c r="O65" s="436"/>
      <c r="P65" s="442"/>
      <c r="Q65" s="441"/>
      <c r="R65" s="8"/>
      <c r="S65" s="125"/>
      <c r="T65" s="347"/>
      <c r="U65" s="347"/>
      <c r="V65" s="33"/>
      <c r="W65" s="33"/>
      <c r="X65" s="33"/>
      <c r="Y65" s="33"/>
      <c r="Z65" s="33"/>
      <c r="AA65" s="33"/>
      <c r="AB65" s="33"/>
      <c r="AC65" s="33"/>
      <c r="AD65" s="33"/>
      <c r="AE65" s="20"/>
    </row>
    <row r="66" spans="1:31" ht="17.100000000000001" customHeight="1">
      <c r="A66" s="104" t="str">
        <f t="shared" si="1"/>
        <v>-</v>
      </c>
      <c r="B66" s="215"/>
      <c r="C66" s="218"/>
      <c r="D66" s="59"/>
      <c r="E66" s="60"/>
      <c r="F66" s="217"/>
      <c r="G66" s="217"/>
      <c r="H66" s="46"/>
      <c r="I66" s="217"/>
      <c r="J66" s="217"/>
      <c r="K66" s="46"/>
      <c r="L66" s="125"/>
      <c r="M66" s="125">
        <v>52</v>
      </c>
      <c r="N66" s="438"/>
      <c r="O66" s="436"/>
      <c r="P66" s="442"/>
      <c r="Q66" s="441"/>
      <c r="R66" s="8"/>
      <c r="S66" s="125"/>
      <c r="T66" s="125"/>
      <c r="U66" s="125"/>
      <c r="V66" s="33"/>
      <c r="W66" s="33"/>
      <c r="X66" s="33"/>
      <c r="Y66" s="33"/>
      <c r="Z66" s="33"/>
      <c r="AA66" s="33"/>
      <c r="AB66" s="33"/>
      <c r="AC66" s="33"/>
      <c r="AD66" s="33"/>
      <c r="AE66" s="20"/>
    </row>
    <row r="67" spans="1:31" ht="17.100000000000001" customHeight="1">
      <c r="A67" s="104" t="str">
        <f t="shared" si="1"/>
        <v>-</v>
      </c>
      <c r="B67" s="215"/>
      <c r="C67" s="218"/>
      <c r="D67" s="59"/>
      <c r="E67" s="60"/>
      <c r="F67" s="217"/>
      <c r="G67" s="217"/>
      <c r="H67" s="46"/>
      <c r="I67" s="217"/>
      <c r="J67" s="217"/>
      <c r="K67" s="46"/>
      <c r="L67" s="125"/>
      <c r="M67" s="125">
        <v>53</v>
      </c>
      <c r="N67" s="438"/>
      <c r="O67" s="436"/>
      <c r="P67" s="442"/>
      <c r="Q67" s="441"/>
      <c r="R67" s="8"/>
      <c r="S67" s="125"/>
      <c r="T67" s="125"/>
      <c r="U67" s="125"/>
      <c r="V67" s="33"/>
      <c r="W67" s="33"/>
      <c r="X67" s="33"/>
      <c r="Y67" s="33"/>
      <c r="Z67" s="33"/>
      <c r="AA67" s="33"/>
      <c r="AB67" s="33"/>
      <c r="AC67" s="33"/>
      <c r="AD67" s="33"/>
      <c r="AE67" s="20"/>
    </row>
    <row r="68" spans="1:31" ht="17.100000000000001" customHeight="1">
      <c r="A68" s="104" t="str">
        <f t="shared" si="1"/>
        <v>-</v>
      </c>
      <c r="B68" s="215"/>
      <c r="C68" s="218"/>
      <c r="D68" s="59"/>
      <c r="E68" s="60"/>
      <c r="F68" s="217"/>
      <c r="G68" s="217"/>
      <c r="H68" s="46"/>
      <c r="I68" s="217"/>
      <c r="J68" s="217"/>
      <c r="K68" s="46"/>
      <c r="L68" s="125"/>
      <c r="M68" s="125">
        <v>54</v>
      </c>
      <c r="N68" s="438"/>
      <c r="O68" s="436"/>
      <c r="P68" s="442"/>
      <c r="Q68" s="441"/>
      <c r="R68" s="8"/>
      <c r="S68" s="125"/>
      <c r="T68" s="125"/>
      <c r="U68" s="125"/>
      <c r="V68" s="33"/>
      <c r="W68" s="33"/>
      <c r="X68" s="33"/>
      <c r="Y68" s="33"/>
      <c r="Z68" s="33"/>
      <c r="AA68" s="33"/>
      <c r="AB68" s="33"/>
      <c r="AC68" s="33"/>
      <c r="AD68" s="33"/>
      <c r="AE68" s="20"/>
    </row>
    <row r="69" spans="1:31" ht="17.100000000000001" customHeight="1">
      <c r="A69" s="104" t="str">
        <f t="shared" si="1"/>
        <v>-</v>
      </c>
      <c r="B69" s="215"/>
      <c r="C69" s="218"/>
      <c r="D69" s="59"/>
      <c r="E69" s="60"/>
      <c r="F69" s="217"/>
      <c r="G69" s="217"/>
      <c r="H69" s="46"/>
      <c r="I69" s="217"/>
      <c r="J69" s="217"/>
      <c r="K69" s="46"/>
      <c r="L69" s="125"/>
      <c r="M69" s="125">
        <v>55</v>
      </c>
      <c r="N69" s="438"/>
      <c r="O69" s="436"/>
      <c r="P69" s="442"/>
      <c r="Q69" s="441"/>
      <c r="R69" s="8"/>
      <c r="S69" s="125"/>
      <c r="T69" s="125"/>
      <c r="U69" s="125"/>
      <c r="V69" s="33"/>
      <c r="W69" s="33"/>
      <c r="X69" s="33"/>
      <c r="Y69" s="33"/>
      <c r="Z69" s="33"/>
      <c r="AA69" s="33"/>
      <c r="AB69" s="33"/>
      <c r="AC69" s="33"/>
      <c r="AD69" s="33"/>
      <c r="AE69" s="20"/>
    </row>
    <row r="70" spans="1:31" ht="17.100000000000001" customHeight="1">
      <c r="A70" s="104" t="str">
        <f t="shared" si="1"/>
        <v>-</v>
      </c>
      <c r="B70" s="215"/>
      <c r="C70" s="218"/>
      <c r="D70" s="59"/>
      <c r="E70" s="60"/>
      <c r="F70" s="217"/>
      <c r="G70" s="217"/>
      <c r="H70" s="46"/>
      <c r="I70" s="217"/>
      <c r="J70" s="217"/>
      <c r="K70" s="46"/>
      <c r="L70" s="125"/>
      <c r="M70" s="125">
        <v>56</v>
      </c>
      <c r="N70" s="438"/>
      <c r="O70" s="436"/>
      <c r="P70" s="442"/>
      <c r="Q70" s="441"/>
      <c r="R70" s="8"/>
      <c r="S70" s="125"/>
      <c r="T70" s="125"/>
      <c r="U70" s="125"/>
      <c r="V70" s="33"/>
      <c r="W70" s="33"/>
      <c r="X70" s="33"/>
      <c r="Y70" s="33"/>
      <c r="Z70" s="33"/>
      <c r="AA70" s="33"/>
      <c r="AB70" s="33"/>
      <c r="AC70" s="33"/>
      <c r="AD70" s="33"/>
      <c r="AE70" s="20"/>
    </row>
    <row r="71" spans="1:31" ht="17.100000000000001" customHeight="1">
      <c r="A71" s="104" t="str">
        <f t="shared" si="1"/>
        <v>-</v>
      </c>
      <c r="B71" s="215"/>
      <c r="C71" s="218"/>
      <c r="D71" s="59"/>
      <c r="E71" s="60"/>
      <c r="F71" s="217"/>
      <c r="G71" s="217"/>
      <c r="H71" s="46"/>
      <c r="I71" s="217"/>
      <c r="J71" s="217"/>
      <c r="K71" s="46"/>
      <c r="L71" s="125"/>
      <c r="M71" s="125">
        <v>57</v>
      </c>
      <c r="N71" s="438"/>
      <c r="O71" s="436"/>
      <c r="P71" s="442"/>
      <c r="Q71" s="441"/>
      <c r="R71" s="8"/>
      <c r="S71" s="125"/>
      <c r="T71" s="125"/>
      <c r="U71" s="125"/>
      <c r="V71" s="33"/>
      <c r="W71" s="33"/>
      <c r="X71" s="33"/>
      <c r="Y71" s="33"/>
      <c r="Z71" s="33"/>
      <c r="AA71" s="33"/>
      <c r="AB71" s="33"/>
      <c r="AC71" s="33"/>
      <c r="AD71" s="33"/>
      <c r="AE71" s="20"/>
    </row>
    <row r="72" spans="1:31" ht="17.100000000000001" customHeight="1">
      <c r="A72" s="104" t="str">
        <f t="shared" si="1"/>
        <v>-</v>
      </c>
      <c r="B72" s="215"/>
      <c r="C72" s="218"/>
      <c r="D72" s="59"/>
      <c r="E72" s="60"/>
      <c r="F72" s="217"/>
      <c r="G72" s="217"/>
      <c r="H72" s="46"/>
      <c r="I72" s="217"/>
      <c r="J72" s="217"/>
      <c r="K72" s="46"/>
      <c r="L72" s="125"/>
      <c r="M72" s="125">
        <v>58</v>
      </c>
      <c r="N72" s="438"/>
      <c r="O72" s="436"/>
      <c r="P72" s="442"/>
      <c r="Q72" s="441"/>
      <c r="R72" s="8"/>
      <c r="S72" s="125"/>
      <c r="T72" s="125"/>
      <c r="U72" s="125"/>
      <c r="V72" s="33"/>
      <c r="W72" s="33"/>
      <c r="X72" s="33"/>
      <c r="Y72" s="33"/>
      <c r="Z72" s="33"/>
      <c r="AA72" s="33"/>
      <c r="AB72" s="33"/>
      <c r="AC72" s="33"/>
      <c r="AD72" s="33"/>
      <c r="AE72" s="20"/>
    </row>
    <row r="73" spans="1:31" ht="17.100000000000001" customHeight="1">
      <c r="A73" s="104" t="str">
        <f t="shared" si="1"/>
        <v>-</v>
      </c>
      <c r="B73" s="215"/>
      <c r="C73" s="218"/>
      <c r="D73" s="59"/>
      <c r="E73" s="60"/>
      <c r="F73" s="217"/>
      <c r="G73" s="217"/>
      <c r="H73" s="46"/>
      <c r="I73" s="217"/>
      <c r="J73" s="217"/>
      <c r="K73" s="46"/>
      <c r="L73" s="125"/>
      <c r="M73" s="125">
        <v>59</v>
      </c>
      <c r="N73" s="438"/>
      <c r="O73" s="436"/>
      <c r="P73" s="442"/>
      <c r="Q73" s="441"/>
      <c r="R73" s="8"/>
      <c r="S73" s="125"/>
      <c r="T73" s="125"/>
      <c r="U73" s="125"/>
      <c r="V73" s="33"/>
      <c r="W73" s="33"/>
      <c r="X73" s="33"/>
      <c r="Y73" s="33"/>
      <c r="Z73" s="33"/>
      <c r="AA73" s="33"/>
      <c r="AB73" s="33"/>
      <c r="AC73" s="33"/>
      <c r="AD73" s="33"/>
      <c r="AE73" s="20"/>
    </row>
    <row r="74" spans="1:31" ht="17.100000000000001" customHeight="1">
      <c r="A74" s="104" t="str">
        <f t="shared" si="1"/>
        <v>-</v>
      </c>
      <c r="B74" s="215"/>
      <c r="C74" s="218"/>
      <c r="D74" s="59"/>
      <c r="E74" s="60"/>
      <c r="F74" s="217"/>
      <c r="G74" s="217"/>
      <c r="H74" s="46"/>
      <c r="I74" s="217"/>
      <c r="J74" s="217"/>
      <c r="K74" s="46"/>
      <c r="L74" s="125"/>
      <c r="M74" s="125">
        <v>60</v>
      </c>
      <c r="N74" s="438"/>
      <c r="O74" s="436"/>
      <c r="P74" s="442"/>
      <c r="Q74" s="441"/>
      <c r="R74" s="8"/>
      <c r="S74" s="125"/>
      <c r="T74" s="125"/>
      <c r="U74" s="125"/>
      <c r="V74" s="33"/>
      <c r="W74" s="33"/>
      <c r="X74" s="33"/>
      <c r="Y74" s="33"/>
      <c r="Z74" s="33"/>
      <c r="AA74" s="33"/>
      <c r="AB74" s="33"/>
      <c r="AC74" s="33"/>
      <c r="AD74" s="33"/>
      <c r="AE74" s="20"/>
    </row>
    <row r="75" spans="1:31" ht="17.100000000000001" customHeight="1">
      <c r="A75" s="104" t="str">
        <f t="shared" si="1"/>
        <v>-</v>
      </c>
      <c r="B75" s="215"/>
      <c r="C75" s="218"/>
      <c r="D75" s="59"/>
      <c r="E75" s="60"/>
      <c r="F75" s="217"/>
      <c r="G75" s="217"/>
      <c r="H75" s="46"/>
      <c r="I75" s="217"/>
      <c r="J75" s="217"/>
      <c r="K75" s="46"/>
      <c r="L75" s="125"/>
      <c r="M75" s="125">
        <v>61</v>
      </c>
      <c r="N75" s="438"/>
      <c r="O75" s="436"/>
      <c r="P75" s="442"/>
      <c r="Q75" s="441"/>
      <c r="R75" s="8"/>
      <c r="S75" s="125"/>
      <c r="T75" s="125"/>
      <c r="U75" s="125"/>
      <c r="V75" s="33"/>
      <c r="W75" s="33"/>
      <c r="X75" s="33"/>
      <c r="Y75" s="33"/>
      <c r="Z75" s="33"/>
      <c r="AA75" s="33"/>
      <c r="AB75" s="33"/>
      <c r="AC75" s="33"/>
      <c r="AD75" s="33"/>
      <c r="AE75" s="20"/>
    </row>
    <row r="76" spans="1:31" ht="17.100000000000001" customHeight="1">
      <c r="A76" s="104" t="str">
        <f t="shared" si="1"/>
        <v>-</v>
      </c>
      <c r="B76" s="215"/>
      <c r="C76" s="218"/>
      <c r="D76" s="59"/>
      <c r="E76" s="60"/>
      <c r="F76" s="217"/>
      <c r="G76" s="217"/>
      <c r="H76" s="46"/>
      <c r="I76" s="217"/>
      <c r="J76" s="217"/>
      <c r="K76" s="46"/>
      <c r="L76" s="125"/>
      <c r="M76" s="125">
        <v>62</v>
      </c>
      <c r="N76" s="438"/>
      <c r="O76" s="436"/>
      <c r="P76" s="442"/>
      <c r="Q76" s="441"/>
      <c r="R76" s="8"/>
      <c r="S76" s="125"/>
      <c r="T76" s="125"/>
      <c r="U76" s="125"/>
      <c r="V76" s="33"/>
      <c r="W76" s="33"/>
      <c r="X76" s="33"/>
      <c r="Y76" s="33"/>
      <c r="Z76" s="33"/>
      <c r="AA76" s="33"/>
      <c r="AB76" s="33"/>
      <c r="AC76" s="33"/>
      <c r="AD76" s="33"/>
      <c r="AE76" s="20"/>
    </row>
    <row r="77" spans="1:31" ht="17.100000000000001" customHeight="1">
      <c r="A77" s="104" t="str">
        <f t="shared" si="1"/>
        <v>-</v>
      </c>
      <c r="B77" s="215"/>
      <c r="C77" s="218"/>
      <c r="D77" s="59"/>
      <c r="E77" s="60"/>
      <c r="F77" s="217"/>
      <c r="G77" s="217"/>
      <c r="H77" s="46"/>
      <c r="I77" s="217"/>
      <c r="J77" s="217"/>
      <c r="K77" s="46"/>
      <c r="L77" s="125"/>
      <c r="M77" s="125">
        <v>63</v>
      </c>
      <c r="N77" s="438"/>
      <c r="O77" s="436"/>
      <c r="P77" s="442"/>
      <c r="Q77" s="441"/>
      <c r="R77" s="8"/>
      <c r="S77" s="125"/>
      <c r="T77" s="125"/>
      <c r="U77" s="125"/>
      <c r="V77" s="33"/>
      <c r="W77" s="33"/>
      <c r="X77" s="33"/>
      <c r="Y77" s="33"/>
      <c r="Z77" s="33"/>
      <c r="AA77" s="33"/>
      <c r="AB77" s="33"/>
      <c r="AC77" s="33"/>
      <c r="AD77" s="33"/>
      <c r="AE77" s="20"/>
    </row>
    <row r="78" spans="1:31" ht="17.100000000000001" customHeight="1">
      <c r="A78" s="104" t="str">
        <f t="shared" si="1"/>
        <v>-</v>
      </c>
      <c r="B78" s="215"/>
      <c r="C78" s="218"/>
      <c r="D78" s="59"/>
      <c r="E78" s="60"/>
      <c r="F78" s="217"/>
      <c r="G78" s="217"/>
      <c r="H78" s="46"/>
      <c r="I78" s="217"/>
      <c r="J78" s="217"/>
      <c r="K78" s="46"/>
      <c r="L78" s="125"/>
      <c r="M78" s="125">
        <v>64</v>
      </c>
      <c r="N78" s="438"/>
      <c r="O78" s="436"/>
      <c r="P78" s="442"/>
      <c r="Q78" s="441"/>
      <c r="R78" s="8"/>
      <c r="S78" s="125"/>
      <c r="T78" s="125"/>
      <c r="U78" s="125"/>
      <c r="V78" s="33"/>
      <c r="W78" s="33"/>
      <c r="X78" s="33"/>
      <c r="Y78" s="33"/>
      <c r="Z78" s="33"/>
      <c r="AA78" s="33"/>
      <c r="AB78" s="33"/>
      <c r="AC78" s="33"/>
      <c r="AD78" s="33"/>
      <c r="AE78" s="20"/>
    </row>
    <row r="79" spans="1:31" ht="17.100000000000001" customHeight="1">
      <c r="A79" s="104" t="str">
        <f t="shared" ref="A79:A110" si="2">IF(ROW(A79)-ROW($A$15)+EmissionStartYear&gt;=SimulationEnds,"-",ROW(A79)-ROW($A$15)+EmissionStartYear)</f>
        <v>-</v>
      </c>
      <c r="B79" s="215"/>
      <c r="C79" s="218"/>
      <c r="D79" s="59"/>
      <c r="E79" s="60"/>
      <c r="F79" s="217"/>
      <c r="G79" s="217"/>
      <c r="H79" s="46"/>
      <c r="I79" s="217"/>
      <c r="J79" s="217"/>
      <c r="K79" s="46"/>
      <c r="L79" s="125"/>
      <c r="M79" s="125">
        <v>65</v>
      </c>
      <c r="N79" s="438"/>
      <c r="O79" s="436"/>
      <c r="P79" s="442"/>
      <c r="Q79" s="441"/>
      <c r="R79" s="125"/>
      <c r="S79" s="125"/>
      <c r="T79" s="125"/>
      <c r="U79" s="125"/>
      <c r="V79" s="33"/>
      <c r="W79" s="33"/>
      <c r="X79" s="33"/>
      <c r="Y79" s="33"/>
      <c r="Z79" s="33"/>
      <c r="AA79" s="33"/>
      <c r="AB79" s="33"/>
      <c r="AC79" s="33"/>
      <c r="AD79" s="33"/>
      <c r="AE79" s="20"/>
    </row>
    <row r="80" spans="1:31" ht="17.100000000000001" customHeight="1">
      <c r="A80" s="104" t="str">
        <f t="shared" si="2"/>
        <v>-</v>
      </c>
      <c r="B80" s="215"/>
      <c r="C80" s="218"/>
      <c r="D80" s="59"/>
      <c r="E80" s="60"/>
      <c r="F80" s="217"/>
      <c r="G80" s="217"/>
      <c r="H80" s="46"/>
      <c r="I80" s="217"/>
      <c r="J80" s="217"/>
      <c r="K80" s="46"/>
      <c r="L80" s="125"/>
      <c r="M80" s="125">
        <v>66</v>
      </c>
      <c r="N80" s="438"/>
      <c r="O80" s="436"/>
      <c r="P80" s="442"/>
      <c r="Q80" s="441"/>
      <c r="R80" s="125"/>
      <c r="S80" s="125"/>
      <c r="T80" s="125"/>
      <c r="U80" s="125"/>
      <c r="V80" s="33"/>
      <c r="W80" s="33"/>
      <c r="X80" s="33"/>
      <c r="Y80" s="33"/>
      <c r="Z80" s="33"/>
      <c r="AA80" s="33"/>
      <c r="AB80" s="33"/>
      <c r="AC80" s="33"/>
      <c r="AD80" s="33"/>
      <c r="AE80" s="20"/>
    </row>
    <row r="81" spans="1:31" ht="17.100000000000001" customHeight="1">
      <c r="A81" s="104" t="str">
        <f t="shared" si="2"/>
        <v>-</v>
      </c>
      <c r="B81" s="215"/>
      <c r="C81" s="218"/>
      <c r="D81" s="59"/>
      <c r="E81" s="60"/>
      <c r="F81" s="217"/>
      <c r="G81" s="217"/>
      <c r="H81" s="46"/>
      <c r="I81" s="217"/>
      <c r="J81" s="217"/>
      <c r="K81" s="46"/>
      <c r="L81" s="125"/>
      <c r="M81" s="125">
        <v>67</v>
      </c>
      <c r="N81" s="438"/>
      <c r="O81" s="436"/>
      <c r="P81" s="442"/>
      <c r="Q81" s="441"/>
      <c r="R81" s="125"/>
      <c r="S81" s="125"/>
      <c r="T81" s="125"/>
      <c r="U81" s="125"/>
      <c r="V81" s="33"/>
      <c r="W81" s="33"/>
      <c r="X81" s="33"/>
      <c r="Y81" s="33"/>
      <c r="Z81" s="33"/>
      <c r="AA81" s="33"/>
      <c r="AB81" s="33"/>
      <c r="AC81" s="33"/>
      <c r="AD81" s="33"/>
      <c r="AE81" s="20"/>
    </row>
    <row r="82" spans="1:31" ht="17.100000000000001" customHeight="1">
      <c r="A82" s="104" t="str">
        <f t="shared" si="2"/>
        <v>-</v>
      </c>
      <c r="B82" s="215"/>
      <c r="C82" s="218"/>
      <c r="D82" s="59"/>
      <c r="E82" s="60"/>
      <c r="F82" s="217"/>
      <c r="G82" s="217"/>
      <c r="H82" s="46"/>
      <c r="I82" s="217"/>
      <c r="J82" s="217"/>
      <c r="K82" s="46"/>
      <c r="L82" s="125"/>
      <c r="M82" s="125">
        <v>68</v>
      </c>
      <c r="N82" s="438"/>
      <c r="O82" s="436"/>
      <c r="P82" s="442"/>
      <c r="Q82" s="441"/>
      <c r="R82" s="125"/>
      <c r="S82" s="125"/>
      <c r="T82" s="125"/>
      <c r="U82" s="125"/>
      <c r="V82" s="33"/>
      <c r="W82" s="33"/>
      <c r="X82" s="33"/>
      <c r="Y82" s="33"/>
      <c r="Z82" s="33"/>
      <c r="AA82" s="33"/>
      <c r="AB82" s="33"/>
      <c r="AC82" s="33"/>
      <c r="AD82" s="33"/>
      <c r="AE82" s="20"/>
    </row>
    <row r="83" spans="1:31" ht="17.100000000000001" customHeight="1">
      <c r="A83" s="104" t="str">
        <f t="shared" si="2"/>
        <v>-</v>
      </c>
      <c r="B83" s="215"/>
      <c r="C83" s="218"/>
      <c r="D83" s="59"/>
      <c r="E83" s="60"/>
      <c r="F83" s="217"/>
      <c r="G83" s="217"/>
      <c r="H83" s="46"/>
      <c r="I83" s="217"/>
      <c r="J83" s="217"/>
      <c r="K83" s="46"/>
      <c r="L83" s="125"/>
      <c r="M83" s="125">
        <v>69</v>
      </c>
      <c r="N83" s="438"/>
      <c r="O83" s="436"/>
      <c r="P83" s="442"/>
      <c r="Q83" s="441"/>
      <c r="R83" s="125"/>
      <c r="S83" s="125"/>
      <c r="T83" s="125"/>
      <c r="U83" s="125"/>
      <c r="V83" s="33"/>
      <c r="W83" s="33"/>
      <c r="X83" s="33"/>
      <c r="Y83" s="33"/>
      <c r="Z83" s="33"/>
      <c r="AA83" s="33"/>
      <c r="AB83" s="33"/>
      <c r="AC83" s="33"/>
      <c r="AD83" s="33"/>
      <c r="AE83" s="20"/>
    </row>
    <row r="84" spans="1:31" ht="17.100000000000001" customHeight="1">
      <c r="A84" s="104" t="str">
        <f t="shared" si="2"/>
        <v>-</v>
      </c>
      <c r="B84" s="215"/>
      <c r="C84" s="218"/>
      <c r="D84" s="59"/>
      <c r="E84" s="60"/>
      <c r="F84" s="217"/>
      <c r="G84" s="217"/>
      <c r="H84" s="46"/>
      <c r="I84" s="217"/>
      <c r="J84" s="217"/>
      <c r="K84" s="46"/>
      <c r="L84" s="125"/>
      <c r="M84" s="125">
        <v>70</v>
      </c>
      <c r="N84" s="438"/>
      <c r="O84" s="436"/>
      <c r="P84" s="442"/>
      <c r="Q84" s="441"/>
      <c r="R84" s="125"/>
      <c r="S84" s="125"/>
      <c r="T84" s="125"/>
      <c r="U84" s="125"/>
      <c r="V84" s="33"/>
      <c r="W84" s="33"/>
      <c r="X84" s="33"/>
      <c r="Y84" s="33"/>
      <c r="Z84" s="33"/>
      <c r="AA84" s="33"/>
      <c r="AB84" s="33"/>
      <c r="AC84" s="33"/>
      <c r="AD84" s="33"/>
      <c r="AE84" s="20"/>
    </row>
    <row r="85" spans="1:31" ht="17.100000000000001" customHeight="1">
      <c r="A85" s="104" t="str">
        <f t="shared" si="2"/>
        <v>-</v>
      </c>
      <c r="B85" s="215"/>
      <c r="C85" s="218"/>
      <c r="D85" s="59"/>
      <c r="E85" s="60"/>
      <c r="F85" s="217"/>
      <c r="G85" s="217"/>
      <c r="H85" s="46"/>
      <c r="I85" s="217"/>
      <c r="J85" s="217"/>
      <c r="K85" s="46"/>
      <c r="L85" s="125"/>
      <c r="M85" s="125">
        <v>71</v>
      </c>
      <c r="N85" s="438"/>
      <c r="O85" s="436"/>
      <c r="P85" s="442"/>
      <c r="Q85" s="441"/>
      <c r="R85" s="125"/>
      <c r="S85" s="125"/>
      <c r="T85" s="125"/>
      <c r="U85" s="125"/>
      <c r="V85" s="33"/>
      <c r="W85" s="33"/>
      <c r="X85" s="33"/>
      <c r="Y85" s="33"/>
      <c r="Z85" s="33"/>
      <c r="AA85" s="33"/>
      <c r="AB85" s="33"/>
      <c r="AC85" s="33"/>
      <c r="AD85" s="33"/>
      <c r="AE85" s="20"/>
    </row>
    <row r="86" spans="1:31" ht="17.100000000000001" customHeight="1">
      <c r="A86" s="104" t="str">
        <f t="shared" si="2"/>
        <v>-</v>
      </c>
      <c r="B86" s="215"/>
      <c r="C86" s="218"/>
      <c r="D86" s="59"/>
      <c r="E86" s="60"/>
      <c r="F86" s="217"/>
      <c r="G86" s="217"/>
      <c r="H86" s="46"/>
      <c r="I86" s="217"/>
      <c r="J86" s="217"/>
      <c r="K86" s="46"/>
      <c r="L86" s="125"/>
      <c r="M86" s="125">
        <v>72</v>
      </c>
      <c r="N86" s="438"/>
      <c r="O86" s="436"/>
      <c r="P86" s="442"/>
      <c r="Q86" s="441"/>
      <c r="R86" s="125"/>
      <c r="S86" s="125"/>
      <c r="T86" s="125"/>
      <c r="U86" s="125"/>
      <c r="V86" s="33"/>
      <c r="W86" s="33"/>
      <c r="X86" s="33"/>
      <c r="Y86" s="33"/>
      <c r="Z86" s="33"/>
      <c r="AA86" s="33"/>
      <c r="AB86" s="33"/>
      <c r="AC86" s="33"/>
      <c r="AD86" s="33"/>
      <c r="AE86" s="20"/>
    </row>
    <row r="87" spans="1:31" ht="17.100000000000001" customHeight="1">
      <c r="A87" s="104" t="str">
        <f t="shared" si="2"/>
        <v>-</v>
      </c>
      <c r="B87" s="215"/>
      <c r="C87" s="218"/>
      <c r="D87" s="59"/>
      <c r="E87" s="60"/>
      <c r="F87" s="217"/>
      <c r="G87" s="217"/>
      <c r="H87" s="46"/>
      <c r="I87" s="217"/>
      <c r="J87" s="217"/>
      <c r="K87" s="46"/>
      <c r="L87" s="125"/>
      <c r="M87" s="125">
        <v>73</v>
      </c>
      <c r="N87" s="438"/>
      <c r="O87" s="436"/>
      <c r="P87" s="442"/>
      <c r="Q87" s="441"/>
      <c r="R87" s="125"/>
      <c r="S87" s="125"/>
      <c r="T87" s="125"/>
      <c r="U87" s="125"/>
      <c r="V87" s="33"/>
      <c r="W87" s="33"/>
      <c r="X87" s="33"/>
      <c r="Y87" s="33"/>
      <c r="Z87" s="33"/>
      <c r="AA87" s="33"/>
      <c r="AB87" s="33"/>
      <c r="AC87" s="33"/>
      <c r="AD87" s="33"/>
      <c r="AE87" s="20"/>
    </row>
    <row r="88" spans="1:31" ht="17.100000000000001" customHeight="1">
      <c r="A88" s="104" t="str">
        <f t="shared" si="2"/>
        <v>-</v>
      </c>
      <c r="B88" s="215"/>
      <c r="C88" s="218"/>
      <c r="D88" s="59"/>
      <c r="E88" s="60"/>
      <c r="F88" s="217"/>
      <c r="G88" s="217"/>
      <c r="H88" s="46"/>
      <c r="I88" s="217"/>
      <c r="J88" s="217"/>
      <c r="K88" s="46"/>
      <c r="L88" s="125"/>
      <c r="M88" s="125">
        <v>74</v>
      </c>
      <c r="N88" s="438"/>
      <c r="O88" s="436"/>
      <c r="P88" s="442"/>
      <c r="Q88" s="441"/>
      <c r="R88" s="125"/>
      <c r="S88" s="125"/>
      <c r="T88" s="125"/>
      <c r="U88" s="125"/>
      <c r="V88" s="33"/>
      <c r="W88" s="33"/>
      <c r="X88" s="33"/>
      <c r="Y88" s="33"/>
      <c r="Z88" s="33"/>
      <c r="AA88" s="33"/>
      <c r="AB88" s="33"/>
      <c r="AC88" s="33"/>
      <c r="AD88" s="33"/>
      <c r="AE88" s="20"/>
    </row>
    <row r="89" spans="1:31" ht="17.100000000000001" customHeight="1">
      <c r="A89" s="104" t="str">
        <f t="shared" si="2"/>
        <v>-</v>
      </c>
      <c r="B89" s="215"/>
      <c r="C89" s="218"/>
      <c r="D89" s="59"/>
      <c r="E89" s="60"/>
      <c r="F89" s="217"/>
      <c r="G89" s="217"/>
      <c r="H89" s="46"/>
      <c r="I89" s="217"/>
      <c r="J89" s="217"/>
      <c r="K89" s="46"/>
      <c r="L89" s="125"/>
      <c r="M89" s="125">
        <v>75</v>
      </c>
      <c r="N89" s="438"/>
      <c r="O89" s="436"/>
      <c r="P89" s="442"/>
      <c r="Q89" s="441"/>
      <c r="R89" s="125"/>
      <c r="S89" s="125"/>
      <c r="T89" s="125"/>
      <c r="U89" s="125"/>
      <c r="V89" s="33"/>
      <c r="W89" s="33"/>
      <c r="X89" s="33"/>
      <c r="Y89" s="33"/>
      <c r="Z89" s="33"/>
      <c r="AA89" s="33"/>
      <c r="AB89" s="33"/>
      <c r="AC89" s="33"/>
      <c r="AD89" s="33"/>
      <c r="AE89" s="20"/>
    </row>
    <row r="90" spans="1:31" ht="17.100000000000001" customHeight="1">
      <c r="A90" s="104" t="str">
        <f t="shared" si="2"/>
        <v>-</v>
      </c>
      <c r="B90" s="215"/>
      <c r="C90" s="218"/>
      <c r="D90" s="59"/>
      <c r="E90" s="60"/>
      <c r="F90" s="217"/>
      <c r="G90" s="217"/>
      <c r="H90" s="46"/>
      <c r="I90" s="217"/>
      <c r="J90" s="217"/>
      <c r="K90" s="46"/>
      <c r="L90" s="125"/>
      <c r="M90" s="125">
        <v>76</v>
      </c>
      <c r="N90" s="438"/>
      <c r="O90" s="436"/>
      <c r="P90" s="442"/>
      <c r="Q90" s="441"/>
      <c r="R90" s="125"/>
      <c r="S90" s="125"/>
      <c r="T90" s="125"/>
      <c r="U90" s="125"/>
      <c r="V90" s="33"/>
      <c r="W90" s="33"/>
      <c r="X90" s="33"/>
      <c r="Y90" s="33"/>
      <c r="Z90" s="33"/>
      <c r="AA90" s="33"/>
      <c r="AB90" s="33"/>
      <c r="AC90" s="33"/>
      <c r="AD90" s="33"/>
      <c r="AE90" s="20"/>
    </row>
    <row r="91" spans="1:31" ht="17.100000000000001" customHeight="1">
      <c r="A91" s="104" t="str">
        <f t="shared" si="2"/>
        <v>-</v>
      </c>
      <c r="B91" s="215"/>
      <c r="C91" s="218"/>
      <c r="D91" s="59"/>
      <c r="E91" s="60"/>
      <c r="F91" s="217"/>
      <c r="G91" s="217"/>
      <c r="H91" s="46"/>
      <c r="I91" s="217"/>
      <c r="J91" s="217"/>
      <c r="K91" s="46"/>
      <c r="L91" s="125"/>
      <c r="M91" s="125">
        <v>77</v>
      </c>
      <c r="N91" s="438"/>
      <c r="O91" s="436"/>
      <c r="P91" s="442"/>
      <c r="Q91" s="441"/>
      <c r="R91" s="125"/>
      <c r="S91" s="125"/>
      <c r="T91" s="125"/>
      <c r="U91" s="125"/>
      <c r="V91" s="33"/>
      <c r="W91" s="33"/>
      <c r="X91" s="33"/>
      <c r="Y91" s="33"/>
      <c r="Z91" s="33"/>
      <c r="AA91" s="33"/>
      <c r="AB91" s="33"/>
      <c r="AC91" s="33"/>
      <c r="AD91" s="33"/>
      <c r="AE91" s="20"/>
    </row>
    <row r="92" spans="1:31" ht="17.100000000000001" customHeight="1">
      <c r="A92" s="104" t="str">
        <f t="shared" si="2"/>
        <v>-</v>
      </c>
      <c r="B92" s="215"/>
      <c r="C92" s="218"/>
      <c r="D92" s="59"/>
      <c r="E92" s="60"/>
      <c r="F92" s="217"/>
      <c r="G92" s="217"/>
      <c r="H92" s="46"/>
      <c r="I92" s="217"/>
      <c r="J92" s="217"/>
      <c r="K92" s="46"/>
      <c r="L92" s="125"/>
      <c r="M92" s="125">
        <v>78</v>
      </c>
      <c r="N92" s="438"/>
      <c r="O92" s="436"/>
      <c r="P92" s="442"/>
      <c r="Q92" s="441"/>
      <c r="R92" s="125"/>
      <c r="S92" s="125"/>
      <c r="T92" s="125"/>
      <c r="U92" s="125"/>
      <c r="V92" s="33"/>
      <c r="W92" s="33"/>
      <c r="X92" s="33"/>
      <c r="Y92" s="33"/>
      <c r="Z92" s="33"/>
      <c r="AA92" s="33"/>
      <c r="AB92" s="33"/>
      <c r="AC92" s="33"/>
      <c r="AD92" s="33"/>
      <c r="AE92" s="20"/>
    </row>
    <row r="93" spans="1:31" ht="17.100000000000001" customHeight="1">
      <c r="A93" s="104" t="str">
        <f t="shared" si="2"/>
        <v>-</v>
      </c>
      <c r="B93" s="215"/>
      <c r="C93" s="218"/>
      <c r="D93" s="59"/>
      <c r="E93" s="60"/>
      <c r="F93" s="217"/>
      <c r="G93" s="217"/>
      <c r="H93" s="46"/>
      <c r="I93" s="217"/>
      <c r="J93" s="217"/>
      <c r="K93" s="46"/>
      <c r="L93" s="125"/>
      <c r="M93" s="125">
        <v>79</v>
      </c>
      <c r="N93" s="438"/>
      <c r="O93" s="436"/>
      <c r="P93" s="442"/>
      <c r="Q93" s="441"/>
      <c r="R93" s="125"/>
      <c r="S93" s="125"/>
      <c r="T93" s="125"/>
      <c r="U93" s="125"/>
      <c r="V93" s="33"/>
      <c r="W93" s="33"/>
      <c r="X93" s="33"/>
      <c r="Y93" s="33"/>
      <c r="Z93" s="33"/>
      <c r="AA93" s="33"/>
      <c r="AB93" s="33"/>
      <c r="AC93" s="33"/>
      <c r="AD93" s="33"/>
      <c r="AE93" s="20"/>
    </row>
    <row r="94" spans="1:31" ht="17.100000000000001" customHeight="1">
      <c r="A94" s="104" t="str">
        <f t="shared" si="2"/>
        <v>-</v>
      </c>
      <c r="B94" s="215"/>
      <c r="C94" s="218"/>
      <c r="D94" s="59"/>
      <c r="E94" s="60"/>
      <c r="F94" s="217"/>
      <c r="G94" s="217"/>
      <c r="H94" s="46"/>
      <c r="I94" s="217"/>
      <c r="J94" s="217"/>
      <c r="K94" s="46"/>
      <c r="L94" s="125"/>
      <c r="M94" s="125">
        <v>80</v>
      </c>
      <c r="N94" s="438"/>
      <c r="O94" s="436"/>
      <c r="P94" s="442"/>
      <c r="Q94" s="441"/>
      <c r="R94" s="125"/>
      <c r="S94" s="125"/>
      <c r="T94" s="125"/>
      <c r="U94" s="125"/>
      <c r="V94" s="33"/>
      <c r="W94" s="33"/>
      <c r="X94" s="33"/>
      <c r="Y94" s="33"/>
      <c r="Z94" s="33"/>
      <c r="AA94" s="33"/>
      <c r="AB94" s="33"/>
      <c r="AC94" s="33"/>
      <c r="AD94" s="33"/>
      <c r="AE94" s="20"/>
    </row>
    <row r="95" spans="1:31" ht="17.100000000000001" customHeight="1">
      <c r="A95" s="104" t="str">
        <f t="shared" si="2"/>
        <v>-</v>
      </c>
      <c r="B95" s="215"/>
      <c r="C95" s="218"/>
      <c r="D95" s="59"/>
      <c r="E95" s="60"/>
      <c r="F95" s="217"/>
      <c r="G95" s="217"/>
      <c r="H95" s="46"/>
      <c r="I95" s="217"/>
      <c r="J95" s="217"/>
      <c r="K95" s="46"/>
      <c r="L95" s="125"/>
      <c r="M95" s="125">
        <v>81</v>
      </c>
      <c r="N95" s="438"/>
      <c r="O95" s="436"/>
      <c r="P95" s="442"/>
      <c r="Q95" s="441"/>
      <c r="R95" s="125"/>
      <c r="S95" s="125"/>
      <c r="T95" s="125"/>
      <c r="U95" s="125"/>
      <c r="V95" s="33"/>
      <c r="W95" s="33"/>
      <c r="X95" s="33"/>
      <c r="Y95" s="33"/>
      <c r="Z95" s="33"/>
      <c r="AA95" s="33"/>
      <c r="AB95" s="33"/>
      <c r="AC95" s="33"/>
      <c r="AD95" s="33"/>
      <c r="AE95" s="20"/>
    </row>
    <row r="96" spans="1:31" ht="17.100000000000001" customHeight="1">
      <c r="A96" s="104" t="str">
        <f t="shared" si="2"/>
        <v>-</v>
      </c>
      <c r="B96" s="215"/>
      <c r="C96" s="218"/>
      <c r="D96" s="59"/>
      <c r="E96" s="60"/>
      <c r="F96" s="217"/>
      <c r="G96" s="217"/>
      <c r="H96" s="46"/>
      <c r="I96" s="217"/>
      <c r="J96" s="217"/>
      <c r="K96" s="46"/>
      <c r="L96" s="125"/>
      <c r="M96" s="125">
        <v>82</v>
      </c>
      <c r="N96" s="438"/>
      <c r="O96" s="436"/>
      <c r="P96" s="442"/>
      <c r="Q96" s="441"/>
      <c r="R96" s="125"/>
      <c r="S96" s="125"/>
      <c r="T96" s="125"/>
      <c r="U96" s="125"/>
      <c r="V96" s="33"/>
      <c r="W96" s="33"/>
      <c r="X96" s="33"/>
      <c r="Y96" s="33"/>
      <c r="Z96" s="33"/>
      <c r="AA96" s="33"/>
      <c r="AB96" s="33"/>
      <c r="AC96" s="33"/>
      <c r="AD96" s="33"/>
      <c r="AE96" s="20"/>
    </row>
    <row r="97" spans="1:31" ht="17.100000000000001" customHeight="1">
      <c r="A97" s="104" t="str">
        <f t="shared" si="2"/>
        <v>-</v>
      </c>
      <c r="B97" s="215"/>
      <c r="C97" s="218"/>
      <c r="D97" s="59"/>
      <c r="E97" s="60"/>
      <c r="F97" s="217"/>
      <c r="G97" s="217"/>
      <c r="H97" s="46"/>
      <c r="I97" s="217"/>
      <c r="J97" s="217"/>
      <c r="K97" s="46"/>
      <c r="L97" s="125"/>
      <c r="M97" s="125">
        <v>83</v>
      </c>
      <c r="N97" s="438"/>
      <c r="O97" s="436"/>
      <c r="P97" s="442"/>
      <c r="Q97" s="441"/>
      <c r="R97" s="125"/>
      <c r="S97" s="125"/>
      <c r="T97" s="125"/>
      <c r="U97" s="125"/>
      <c r="V97" s="33"/>
      <c r="W97" s="33"/>
      <c r="X97" s="33"/>
      <c r="Y97" s="33"/>
      <c r="Z97" s="33"/>
      <c r="AA97" s="33"/>
      <c r="AB97" s="33"/>
      <c r="AC97" s="33"/>
      <c r="AD97" s="33"/>
      <c r="AE97" s="20"/>
    </row>
    <row r="98" spans="1:31" ht="17.100000000000001" customHeight="1">
      <c r="A98" s="104" t="str">
        <f t="shared" si="2"/>
        <v>-</v>
      </c>
      <c r="B98" s="215"/>
      <c r="C98" s="218"/>
      <c r="D98" s="59"/>
      <c r="E98" s="60"/>
      <c r="F98" s="217"/>
      <c r="G98" s="217"/>
      <c r="H98" s="46"/>
      <c r="I98" s="217"/>
      <c r="J98" s="217"/>
      <c r="K98" s="46"/>
      <c r="L98" s="125"/>
      <c r="M98" s="125">
        <v>84</v>
      </c>
      <c r="N98" s="438"/>
      <c r="O98" s="436"/>
      <c r="P98" s="442"/>
      <c r="Q98" s="441"/>
      <c r="R98" s="125"/>
      <c r="S98" s="125"/>
      <c r="T98" s="125"/>
      <c r="U98" s="125"/>
      <c r="V98" s="33"/>
      <c r="W98" s="33"/>
      <c r="X98" s="33"/>
      <c r="Y98" s="33"/>
      <c r="Z98" s="33"/>
      <c r="AA98" s="33"/>
      <c r="AB98" s="33"/>
      <c r="AC98" s="33"/>
      <c r="AD98" s="33"/>
      <c r="AE98" s="20"/>
    </row>
    <row r="99" spans="1:31" ht="17.100000000000001" customHeight="1">
      <c r="A99" s="104" t="str">
        <f t="shared" si="2"/>
        <v>-</v>
      </c>
      <c r="B99" s="215"/>
      <c r="C99" s="218"/>
      <c r="D99" s="59"/>
      <c r="E99" s="60"/>
      <c r="F99" s="217"/>
      <c r="G99" s="217"/>
      <c r="H99" s="46"/>
      <c r="I99" s="217"/>
      <c r="J99" s="217"/>
      <c r="K99" s="46"/>
      <c r="L99" s="125"/>
      <c r="M99" s="125">
        <v>85</v>
      </c>
      <c r="N99" s="438"/>
      <c r="O99" s="436"/>
      <c r="P99" s="442"/>
      <c r="Q99" s="441"/>
      <c r="R99" s="125"/>
      <c r="S99" s="125"/>
      <c r="T99" s="125"/>
      <c r="U99" s="125"/>
      <c r="V99" s="33"/>
      <c r="W99" s="33"/>
      <c r="X99" s="33"/>
      <c r="Y99" s="33"/>
      <c r="Z99" s="33"/>
      <c r="AA99" s="33"/>
      <c r="AB99" s="33"/>
      <c r="AC99" s="33"/>
      <c r="AD99" s="33"/>
      <c r="AE99" s="20"/>
    </row>
    <row r="100" spans="1:31" ht="17.100000000000001" customHeight="1">
      <c r="A100" s="104" t="str">
        <f t="shared" si="2"/>
        <v>-</v>
      </c>
      <c r="B100" s="215"/>
      <c r="C100" s="218"/>
      <c r="D100" s="59"/>
      <c r="E100" s="60"/>
      <c r="F100" s="217"/>
      <c r="G100" s="217"/>
      <c r="H100" s="46"/>
      <c r="I100" s="217"/>
      <c r="J100" s="217"/>
      <c r="K100" s="46"/>
      <c r="L100" s="125"/>
      <c r="M100" s="125">
        <v>86</v>
      </c>
      <c r="N100" s="438"/>
      <c r="O100" s="436"/>
      <c r="P100" s="442"/>
      <c r="Q100" s="441"/>
      <c r="R100" s="125"/>
      <c r="S100" s="125"/>
      <c r="T100" s="125"/>
      <c r="U100" s="125"/>
      <c r="V100" s="33"/>
      <c r="W100" s="33"/>
      <c r="X100" s="33"/>
      <c r="Y100" s="33"/>
      <c r="Z100" s="33"/>
      <c r="AA100" s="33"/>
      <c r="AB100" s="33"/>
      <c r="AC100" s="33"/>
      <c r="AD100" s="33"/>
      <c r="AE100" s="20"/>
    </row>
    <row r="101" spans="1:31" ht="17.100000000000001" customHeight="1">
      <c r="A101" s="104" t="str">
        <f t="shared" si="2"/>
        <v>-</v>
      </c>
      <c r="B101" s="215"/>
      <c r="C101" s="218"/>
      <c r="D101" s="59"/>
      <c r="E101" s="60"/>
      <c r="F101" s="217"/>
      <c r="G101" s="217"/>
      <c r="H101" s="46"/>
      <c r="I101" s="217"/>
      <c r="J101" s="217"/>
      <c r="K101" s="46"/>
      <c r="L101" s="125"/>
      <c r="M101" s="125">
        <v>87</v>
      </c>
      <c r="N101" s="438"/>
      <c r="O101" s="436"/>
      <c r="P101" s="442"/>
      <c r="Q101" s="441"/>
      <c r="R101" s="125"/>
      <c r="S101" s="125"/>
      <c r="T101" s="125"/>
      <c r="U101" s="125"/>
      <c r="V101" s="33"/>
      <c r="W101" s="33"/>
      <c r="X101" s="33"/>
      <c r="Y101" s="33"/>
      <c r="Z101" s="33"/>
      <c r="AA101" s="33"/>
      <c r="AB101" s="33"/>
      <c r="AC101" s="33"/>
      <c r="AD101" s="33"/>
      <c r="AE101" s="20"/>
    </row>
    <row r="102" spans="1:31" ht="17.100000000000001" customHeight="1">
      <c r="A102" s="104" t="str">
        <f t="shared" si="2"/>
        <v>-</v>
      </c>
      <c r="B102" s="215"/>
      <c r="C102" s="218"/>
      <c r="D102" s="59"/>
      <c r="E102" s="60"/>
      <c r="F102" s="217"/>
      <c r="G102" s="217"/>
      <c r="H102" s="46"/>
      <c r="I102" s="217"/>
      <c r="J102" s="217"/>
      <c r="K102" s="46"/>
      <c r="L102" s="125"/>
      <c r="M102" s="125">
        <v>88</v>
      </c>
      <c r="N102" s="438"/>
      <c r="O102" s="436"/>
      <c r="P102" s="442"/>
      <c r="Q102" s="441"/>
      <c r="R102" s="125"/>
      <c r="S102" s="125"/>
      <c r="T102" s="125"/>
      <c r="U102" s="125"/>
      <c r="V102" s="33"/>
      <c r="W102" s="33"/>
      <c r="X102" s="33"/>
      <c r="Y102" s="33"/>
      <c r="Z102" s="33"/>
      <c r="AA102" s="33"/>
      <c r="AB102" s="33"/>
      <c r="AC102" s="33"/>
      <c r="AD102" s="33"/>
      <c r="AE102" s="20"/>
    </row>
    <row r="103" spans="1:31" ht="17.100000000000001" customHeight="1">
      <c r="A103" s="104" t="str">
        <f t="shared" si="2"/>
        <v>-</v>
      </c>
      <c r="B103" s="215"/>
      <c r="C103" s="218"/>
      <c r="D103" s="59"/>
      <c r="E103" s="60"/>
      <c r="F103" s="217"/>
      <c r="G103" s="217"/>
      <c r="H103" s="46"/>
      <c r="I103" s="217"/>
      <c r="J103" s="217"/>
      <c r="K103" s="46"/>
      <c r="L103" s="125"/>
      <c r="M103" s="125">
        <v>89</v>
      </c>
      <c r="N103" s="438"/>
      <c r="O103" s="436"/>
      <c r="P103" s="442"/>
      <c r="Q103" s="441"/>
      <c r="R103" s="125"/>
      <c r="S103" s="125"/>
      <c r="T103" s="125"/>
      <c r="U103" s="125"/>
      <c r="V103" s="33"/>
      <c r="W103" s="33"/>
      <c r="X103" s="33"/>
      <c r="Y103" s="33"/>
      <c r="Z103" s="33"/>
      <c r="AA103" s="33"/>
      <c r="AB103" s="33"/>
      <c r="AC103" s="33"/>
      <c r="AD103" s="33"/>
      <c r="AE103" s="20"/>
    </row>
    <row r="104" spans="1:31" ht="17.100000000000001" customHeight="1">
      <c r="A104" s="104" t="str">
        <f t="shared" si="2"/>
        <v>-</v>
      </c>
      <c r="B104" s="215"/>
      <c r="C104" s="218"/>
      <c r="D104" s="59"/>
      <c r="E104" s="60"/>
      <c r="F104" s="217"/>
      <c r="G104" s="217"/>
      <c r="H104" s="46"/>
      <c r="I104" s="217"/>
      <c r="J104" s="217"/>
      <c r="K104" s="46"/>
      <c r="L104" s="125"/>
      <c r="M104" s="125">
        <v>90</v>
      </c>
      <c r="N104" s="438"/>
      <c r="O104" s="436"/>
      <c r="P104" s="442"/>
      <c r="Q104" s="441"/>
      <c r="R104" s="125"/>
      <c r="S104" s="125"/>
      <c r="T104" s="125"/>
      <c r="U104" s="125"/>
      <c r="V104" s="33"/>
      <c r="W104" s="33"/>
      <c r="X104" s="33"/>
      <c r="Y104" s="33"/>
      <c r="Z104" s="33"/>
      <c r="AA104" s="33"/>
      <c r="AB104" s="33"/>
      <c r="AC104" s="33"/>
      <c r="AD104" s="33"/>
      <c r="AE104" s="20"/>
    </row>
    <row r="105" spans="1:31" ht="17.100000000000001" customHeight="1">
      <c r="A105" s="104" t="str">
        <f t="shared" si="2"/>
        <v>-</v>
      </c>
      <c r="B105" s="215"/>
      <c r="C105" s="218"/>
      <c r="D105" s="59"/>
      <c r="E105" s="60"/>
      <c r="F105" s="217"/>
      <c r="G105" s="217"/>
      <c r="H105" s="46"/>
      <c r="I105" s="217"/>
      <c r="J105" s="217"/>
      <c r="K105" s="46"/>
      <c r="L105" s="125"/>
      <c r="M105" s="125">
        <v>91</v>
      </c>
      <c r="N105" s="438"/>
      <c r="O105" s="436"/>
      <c r="P105" s="442"/>
      <c r="Q105" s="441"/>
      <c r="R105" s="125"/>
      <c r="S105" s="125"/>
      <c r="T105" s="125"/>
      <c r="U105" s="125"/>
      <c r="V105" s="33"/>
      <c r="W105" s="33"/>
      <c r="X105" s="33"/>
      <c r="Y105" s="33"/>
      <c r="Z105" s="33"/>
      <c r="AA105" s="33"/>
      <c r="AB105" s="33"/>
      <c r="AC105" s="33"/>
      <c r="AD105" s="33"/>
      <c r="AE105" s="20"/>
    </row>
    <row r="106" spans="1:31" ht="17.100000000000001" customHeight="1">
      <c r="A106" s="104" t="str">
        <f t="shared" si="2"/>
        <v>-</v>
      </c>
      <c r="B106" s="215"/>
      <c r="C106" s="218"/>
      <c r="D106" s="59"/>
      <c r="E106" s="60"/>
      <c r="F106" s="217"/>
      <c r="G106" s="217"/>
      <c r="H106" s="46"/>
      <c r="I106" s="217"/>
      <c r="J106" s="217"/>
      <c r="K106" s="46"/>
      <c r="L106" s="125"/>
      <c r="M106" s="125">
        <v>92</v>
      </c>
      <c r="N106" s="438"/>
      <c r="O106" s="436"/>
      <c r="P106" s="442"/>
      <c r="Q106" s="441"/>
      <c r="R106" s="125"/>
      <c r="S106" s="125"/>
      <c r="T106" s="125"/>
      <c r="U106" s="125"/>
      <c r="V106" s="33"/>
      <c r="W106" s="33"/>
      <c r="X106" s="33"/>
      <c r="Y106" s="33"/>
      <c r="Z106" s="33"/>
      <c r="AA106" s="33"/>
      <c r="AB106" s="33"/>
      <c r="AC106" s="33"/>
      <c r="AD106" s="33"/>
      <c r="AE106" s="20"/>
    </row>
    <row r="107" spans="1:31" ht="17.100000000000001" customHeight="1">
      <c r="A107" s="104" t="str">
        <f t="shared" si="2"/>
        <v>-</v>
      </c>
      <c r="B107" s="215"/>
      <c r="C107" s="218"/>
      <c r="D107" s="59"/>
      <c r="E107" s="60"/>
      <c r="F107" s="217"/>
      <c r="G107" s="217"/>
      <c r="H107" s="46"/>
      <c r="I107" s="217"/>
      <c r="J107" s="217"/>
      <c r="K107" s="46"/>
      <c r="L107" s="125"/>
      <c r="M107" s="125">
        <v>93</v>
      </c>
      <c r="N107" s="438"/>
      <c r="O107" s="436"/>
      <c r="P107" s="442"/>
      <c r="Q107" s="441"/>
      <c r="R107" s="125"/>
      <c r="S107" s="125"/>
      <c r="T107" s="125"/>
      <c r="U107" s="125"/>
      <c r="V107" s="33"/>
      <c r="W107" s="33"/>
      <c r="X107" s="33"/>
      <c r="Y107" s="33"/>
      <c r="Z107" s="33"/>
      <c r="AA107" s="33"/>
      <c r="AB107" s="33"/>
      <c r="AC107" s="33"/>
      <c r="AD107" s="33"/>
      <c r="AE107" s="20"/>
    </row>
    <row r="108" spans="1:31" ht="17.100000000000001" customHeight="1">
      <c r="A108" s="104" t="str">
        <f t="shared" si="2"/>
        <v>-</v>
      </c>
      <c r="B108" s="215"/>
      <c r="C108" s="218"/>
      <c r="D108" s="59"/>
      <c r="E108" s="60"/>
      <c r="F108" s="217"/>
      <c r="G108" s="217"/>
      <c r="H108" s="46"/>
      <c r="I108" s="217"/>
      <c r="J108" s="217"/>
      <c r="K108" s="46"/>
      <c r="L108" s="125"/>
      <c r="M108" s="125">
        <v>94</v>
      </c>
      <c r="N108" s="438"/>
      <c r="O108" s="436"/>
      <c r="P108" s="442"/>
      <c r="Q108" s="441"/>
      <c r="R108" s="125"/>
      <c r="S108" s="125"/>
      <c r="T108" s="125"/>
      <c r="U108" s="125"/>
      <c r="V108" s="33"/>
      <c r="W108" s="33"/>
      <c r="X108" s="33"/>
      <c r="Y108" s="33"/>
      <c r="Z108" s="33"/>
      <c r="AA108" s="33"/>
      <c r="AB108" s="33"/>
      <c r="AC108" s="33"/>
      <c r="AD108" s="33"/>
      <c r="AE108" s="20"/>
    </row>
    <row r="109" spans="1:31" ht="17.100000000000001" customHeight="1">
      <c r="A109" s="104" t="str">
        <f t="shared" si="2"/>
        <v>-</v>
      </c>
      <c r="B109" s="215"/>
      <c r="C109" s="218"/>
      <c r="D109" s="59"/>
      <c r="E109" s="60"/>
      <c r="F109" s="217"/>
      <c r="G109" s="217"/>
      <c r="H109" s="46"/>
      <c r="I109" s="217"/>
      <c r="J109" s="217"/>
      <c r="K109" s="46"/>
      <c r="L109" s="125"/>
      <c r="M109" s="125">
        <v>95</v>
      </c>
      <c r="N109" s="438"/>
      <c r="O109" s="436"/>
      <c r="P109" s="442"/>
      <c r="Q109" s="441"/>
      <c r="R109" s="125"/>
      <c r="S109" s="125"/>
      <c r="T109" s="125"/>
      <c r="U109" s="125"/>
      <c r="V109" s="33"/>
      <c r="W109" s="33"/>
      <c r="X109" s="33"/>
      <c r="Y109" s="33"/>
      <c r="Z109" s="33"/>
      <c r="AA109" s="33"/>
      <c r="AB109" s="33"/>
      <c r="AC109" s="33"/>
      <c r="AD109" s="33"/>
      <c r="AE109" s="20"/>
    </row>
    <row r="110" spans="1:31" ht="17.100000000000001" customHeight="1">
      <c r="A110" s="104" t="str">
        <f t="shared" si="2"/>
        <v>-</v>
      </c>
      <c r="B110" s="215"/>
      <c r="C110" s="218"/>
      <c r="D110" s="59"/>
      <c r="E110" s="60"/>
      <c r="F110" s="217"/>
      <c r="G110" s="217"/>
      <c r="H110" s="46"/>
      <c r="I110" s="217"/>
      <c r="J110" s="217"/>
      <c r="K110" s="46"/>
      <c r="L110" s="125"/>
      <c r="M110" s="125">
        <v>96</v>
      </c>
      <c r="N110" s="438"/>
      <c r="O110" s="436"/>
      <c r="P110" s="442"/>
      <c r="Q110" s="441"/>
      <c r="R110" s="125"/>
      <c r="S110" s="125"/>
      <c r="T110" s="125"/>
      <c r="U110" s="125"/>
      <c r="V110" s="33"/>
      <c r="W110" s="33"/>
      <c r="X110" s="33"/>
      <c r="Y110" s="33"/>
      <c r="Z110" s="33"/>
      <c r="AA110" s="33"/>
      <c r="AB110" s="33"/>
      <c r="AC110" s="33"/>
      <c r="AD110" s="33"/>
      <c r="AE110" s="20"/>
    </row>
    <row r="111" spans="1:31" ht="17.100000000000001" customHeight="1">
      <c r="A111" s="104" t="str">
        <f t="shared" ref="A111:A142" si="3">IF(ROW(A111)-ROW($A$15)+EmissionStartYear&gt;=SimulationEnds,"-",ROW(A111)-ROW($A$15)+EmissionStartYear)</f>
        <v>-</v>
      </c>
      <c r="B111" s="215"/>
      <c r="C111" s="218"/>
      <c r="D111" s="59"/>
      <c r="E111" s="60"/>
      <c r="F111" s="217"/>
      <c r="G111" s="217"/>
      <c r="H111" s="46"/>
      <c r="I111" s="217"/>
      <c r="J111" s="217"/>
      <c r="K111" s="46"/>
      <c r="L111" s="125"/>
      <c r="M111" s="125">
        <v>97</v>
      </c>
      <c r="N111" s="438"/>
      <c r="O111" s="436"/>
      <c r="P111" s="442"/>
      <c r="Q111" s="441"/>
      <c r="R111" s="125"/>
      <c r="S111" s="125"/>
      <c r="T111" s="125"/>
      <c r="U111" s="125"/>
      <c r="V111" s="33"/>
      <c r="W111" s="33"/>
      <c r="X111" s="33"/>
      <c r="Y111" s="33"/>
      <c r="Z111" s="33"/>
      <c r="AA111" s="33"/>
      <c r="AB111" s="33"/>
      <c r="AC111" s="33"/>
      <c r="AD111" s="33"/>
      <c r="AE111" s="20"/>
    </row>
    <row r="112" spans="1:31" ht="17.100000000000001" customHeight="1">
      <c r="A112" s="104" t="str">
        <f t="shared" si="3"/>
        <v>-</v>
      </c>
      <c r="B112" s="215"/>
      <c r="C112" s="218"/>
      <c r="D112" s="59"/>
      <c r="E112" s="60"/>
      <c r="F112" s="217"/>
      <c r="G112" s="217"/>
      <c r="H112" s="46"/>
      <c r="I112" s="217"/>
      <c r="J112" s="217"/>
      <c r="K112" s="46"/>
      <c r="L112" s="125"/>
      <c r="M112" s="125">
        <v>98</v>
      </c>
      <c r="N112" s="438"/>
      <c r="O112" s="436"/>
      <c r="P112" s="442"/>
      <c r="Q112" s="441"/>
      <c r="R112" s="125"/>
      <c r="S112" s="125"/>
      <c r="T112" s="125"/>
      <c r="U112" s="125"/>
      <c r="V112" s="33"/>
      <c r="W112" s="33"/>
      <c r="X112" s="33"/>
      <c r="Y112" s="33"/>
      <c r="Z112" s="33"/>
      <c r="AA112" s="33"/>
      <c r="AB112" s="33"/>
      <c r="AC112" s="33"/>
      <c r="AD112" s="33"/>
      <c r="AE112" s="20"/>
    </row>
    <row r="113" spans="1:31" ht="17.100000000000001" customHeight="1">
      <c r="A113" s="104" t="str">
        <f t="shared" si="3"/>
        <v>-</v>
      </c>
      <c r="B113" s="215"/>
      <c r="C113" s="218"/>
      <c r="D113" s="59"/>
      <c r="E113" s="60"/>
      <c r="F113" s="217"/>
      <c r="G113" s="217"/>
      <c r="H113" s="46"/>
      <c r="I113" s="217"/>
      <c r="J113" s="217"/>
      <c r="K113" s="46"/>
      <c r="L113" s="125"/>
      <c r="M113" s="125">
        <v>99</v>
      </c>
      <c r="N113" s="438"/>
      <c r="O113" s="436"/>
      <c r="P113" s="442"/>
      <c r="Q113" s="441"/>
      <c r="R113" s="125"/>
      <c r="S113" s="125"/>
      <c r="T113" s="125"/>
      <c r="U113" s="125"/>
      <c r="V113" s="33"/>
      <c r="W113" s="33"/>
      <c r="X113" s="33"/>
      <c r="Y113" s="33"/>
      <c r="Z113" s="33"/>
      <c r="AA113" s="33"/>
      <c r="AB113" s="33"/>
      <c r="AC113" s="33"/>
      <c r="AD113" s="33"/>
      <c r="AE113" s="20"/>
    </row>
    <row r="114" spans="1:31" ht="17.100000000000001" customHeight="1" thickBot="1">
      <c r="A114" s="104" t="str">
        <f t="shared" si="3"/>
        <v>-</v>
      </c>
      <c r="B114" s="215"/>
      <c r="C114" s="218"/>
      <c r="D114" s="59"/>
      <c r="E114" s="60"/>
      <c r="F114" s="217"/>
      <c r="G114" s="217"/>
      <c r="H114" s="46"/>
      <c r="I114" s="217"/>
      <c r="J114" s="217"/>
      <c r="K114" s="46"/>
      <c r="L114" s="125"/>
      <c r="M114" s="125">
        <v>100</v>
      </c>
      <c r="N114" s="438"/>
      <c r="O114" s="439"/>
      <c r="P114" s="443"/>
      <c r="Q114" s="441"/>
      <c r="R114" s="125"/>
      <c r="S114" s="125"/>
      <c r="T114" s="125"/>
      <c r="U114" s="125"/>
      <c r="V114" s="33"/>
      <c r="W114" s="33"/>
      <c r="X114" s="33"/>
      <c r="Y114" s="33"/>
      <c r="Z114" s="33"/>
      <c r="AA114" s="33"/>
      <c r="AB114" s="33"/>
      <c r="AC114" s="33"/>
      <c r="AD114" s="33"/>
      <c r="AE114" s="20"/>
    </row>
    <row r="115" spans="1:31" ht="17.100000000000001" customHeight="1">
      <c r="A115" s="104" t="str">
        <f t="shared" si="3"/>
        <v>-</v>
      </c>
      <c r="B115" s="215"/>
      <c r="C115" s="218"/>
      <c r="D115" s="59"/>
      <c r="E115" s="60"/>
      <c r="F115" s="217"/>
      <c r="G115" s="217"/>
      <c r="H115" s="46"/>
      <c r="I115" s="217"/>
      <c r="J115" s="217"/>
      <c r="K115" s="46"/>
      <c r="L115" s="125"/>
      <c r="M115" s="125"/>
      <c r="N115" s="125"/>
      <c r="O115" s="347"/>
      <c r="P115" s="347"/>
      <c r="Q115" s="125"/>
      <c r="R115" s="125"/>
      <c r="S115" s="125"/>
      <c r="T115" s="125"/>
      <c r="U115" s="125"/>
      <c r="V115" s="33"/>
      <c r="W115" s="33"/>
      <c r="X115" s="33"/>
      <c r="Y115" s="33"/>
      <c r="Z115" s="33"/>
      <c r="AA115" s="33"/>
      <c r="AB115" s="33"/>
      <c r="AC115" s="33"/>
      <c r="AD115" s="33"/>
      <c r="AE115" s="20"/>
    </row>
    <row r="116" spans="1:31" ht="17.100000000000001" customHeight="1">
      <c r="A116" s="104" t="str">
        <f t="shared" si="3"/>
        <v>-</v>
      </c>
      <c r="B116" s="215"/>
      <c r="C116" s="218"/>
      <c r="D116" s="59"/>
      <c r="E116" s="60"/>
      <c r="F116" s="217"/>
      <c r="G116" s="217"/>
      <c r="H116" s="46"/>
      <c r="I116" s="217"/>
      <c r="J116" s="217"/>
      <c r="K116" s="46"/>
      <c r="L116" s="125"/>
      <c r="M116" s="125"/>
      <c r="N116" s="125"/>
      <c r="O116" s="125"/>
      <c r="P116" s="125"/>
      <c r="Q116" s="125"/>
      <c r="R116" s="125"/>
      <c r="S116" s="125"/>
      <c r="T116" s="125"/>
      <c r="U116" s="125"/>
      <c r="V116" s="33"/>
      <c r="W116" s="33"/>
      <c r="X116" s="33"/>
      <c r="Y116" s="33"/>
      <c r="Z116" s="33"/>
      <c r="AA116" s="33"/>
      <c r="AB116" s="33"/>
      <c r="AC116" s="33"/>
      <c r="AD116" s="33"/>
      <c r="AE116" s="20"/>
    </row>
    <row r="117" spans="1:31" ht="17.100000000000001" customHeight="1">
      <c r="A117" s="104" t="str">
        <f t="shared" si="3"/>
        <v>-</v>
      </c>
      <c r="B117" s="215"/>
      <c r="C117" s="218"/>
      <c r="D117" s="59"/>
      <c r="E117" s="60"/>
      <c r="F117" s="217"/>
      <c r="G117" s="217"/>
      <c r="H117" s="46"/>
      <c r="I117" s="217"/>
      <c r="J117" s="217"/>
      <c r="K117" s="46"/>
      <c r="L117" s="125"/>
      <c r="M117" s="125"/>
      <c r="N117" s="125"/>
      <c r="O117" s="125"/>
      <c r="P117" s="125"/>
      <c r="Q117" s="125"/>
      <c r="R117" s="125"/>
      <c r="S117" s="125"/>
      <c r="T117" s="125"/>
      <c r="U117" s="125"/>
      <c r="V117" s="33"/>
      <c r="W117" s="33"/>
      <c r="X117" s="33"/>
      <c r="Y117" s="33"/>
      <c r="Z117" s="33"/>
      <c r="AA117" s="33"/>
      <c r="AB117" s="33"/>
      <c r="AC117" s="33"/>
      <c r="AD117" s="33"/>
      <c r="AE117" s="20"/>
    </row>
    <row r="118" spans="1:31" ht="17.100000000000001" customHeight="1">
      <c r="A118" s="104" t="str">
        <f t="shared" si="3"/>
        <v>-</v>
      </c>
      <c r="B118" s="215"/>
      <c r="C118" s="218"/>
      <c r="D118" s="59"/>
      <c r="E118" s="60"/>
      <c r="F118" s="217"/>
      <c r="G118" s="217"/>
      <c r="H118" s="46"/>
      <c r="I118" s="217"/>
      <c r="J118" s="217"/>
      <c r="K118" s="46"/>
      <c r="L118" s="125"/>
      <c r="M118" s="125"/>
      <c r="N118" s="125"/>
      <c r="O118" s="125"/>
      <c r="P118" s="125"/>
      <c r="Q118" s="125"/>
      <c r="R118" s="125"/>
      <c r="S118" s="125"/>
      <c r="T118" s="125"/>
      <c r="U118" s="125"/>
      <c r="V118" s="33"/>
      <c r="W118" s="33"/>
      <c r="X118" s="33"/>
      <c r="Y118" s="33"/>
      <c r="Z118" s="33"/>
      <c r="AA118" s="33"/>
      <c r="AB118" s="33"/>
      <c r="AC118" s="33"/>
      <c r="AD118" s="33"/>
      <c r="AE118" s="20"/>
    </row>
    <row r="119" spans="1:31" ht="17.100000000000001" customHeight="1">
      <c r="A119" s="104" t="str">
        <f t="shared" si="3"/>
        <v>-</v>
      </c>
      <c r="B119" s="215"/>
      <c r="C119" s="218"/>
      <c r="D119" s="59"/>
      <c r="E119" s="60"/>
      <c r="F119" s="217"/>
      <c r="G119" s="217"/>
      <c r="H119" s="46"/>
      <c r="I119" s="217"/>
      <c r="J119" s="217"/>
      <c r="K119" s="46"/>
      <c r="L119" s="125"/>
      <c r="M119" s="125"/>
      <c r="N119" s="125"/>
      <c r="O119" s="125"/>
      <c r="P119" s="125"/>
      <c r="Q119" s="125"/>
      <c r="R119" s="125"/>
      <c r="S119" s="125"/>
      <c r="T119" s="125"/>
      <c r="U119" s="125"/>
      <c r="V119" s="33"/>
      <c r="W119" s="33"/>
      <c r="X119" s="33"/>
      <c r="Y119" s="33"/>
      <c r="Z119" s="33"/>
      <c r="AA119" s="33"/>
      <c r="AB119" s="33"/>
      <c r="AC119" s="33"/>
      <c r="AD119" s="33"/>
      <c r="AE119" s="20"/>
    </row>
    <row r="120" spans="1:31" ht="17.100000000000001" customHeight="1">
      <c r="A120" s="104" t="str">
        <f t="shared" si="3"/>
        <v>-</v>
      </c>
      <c r="B120" s="215"/>
      <c r="C120" s="218"/>
      <c r="D120" s="59"/>
      <c r="E120" s="60"/>
      <c r="F120" s="217"/>
      <c r="G120" s="217"/>
      <c r="H120" s="46"/>
      <c r="I120" s="217"/>
      <c r="J120" s="217"/>
      <c r="K120" s="46"/>
      <c r="L120" s="125"/>
      <c r="M120" s="125"/>
      <c r="N120" s="125"/>
      <c r="O120" s="125"/>
      <c r="P120" s="125"/>
      <c r="Q120" s="125"/>
      <c r="R120" s="125"/>
      <c r="S120" s="125"/>
      <c r="T120" s="125"/>
      <c r="U120" s="125"/>
      <c r="V120" s="33"/>
      <c r="W120" s="33"/>
      <c r="X120" s="33"/>
      <c r="Y120" s="33"/>
      <c r="Z120" s="33"/>
      <c r="AA120" s="33"/>
      <c r="AB120" s="33"/>
      <c r="AC120" s="33"/>
      <c r="AD120" s="33"/>
      <c r="AE120" s="20"/>
    </row>
    <row r="121" spans="1:31" ht="17.100000000000001" customHeight="1">
      <c r="A121" s="104" t="str">
        <f t="shared" si="3"/>
        <v>-</v>
      </c>
      <c r="B121" s="215"/>
      <c r="C121" s="218"/>
      <c r="D121" s="59"/>
      <c r="E121" s="60"/>
      <c r="F121" s="217"/>
      <c r="G121" s="217"/>
      <c r="H121" s="46"/>
      <c r="I121" s="217"/>
      <c r="J121" s="217"/>
      <c r="K121" s="46"/>
      <c r="L121" s="125"/>
      <c r="M121" s="125"/>
      <c r="N121" s="125"/>
      <c r="O121" s="125"/>
      <c r="P121" s="125"/>
      <c r="Q121" s="125"/>
      <c r="R121" s="125"/>
      <c r="S121" s="125"/>
      <c r="T121" s="125"/>
      <c r="U121" s="125"/>
      <c r="V121" s="33"/>
      <c r="W121" s="33"/>
      <c r="X121" s="33"/>
      <c r="Y121" s="33"/>
      <c r="Z121" s="33"/>
      <c r="AA121" s="33"/>
      <c r="AB121" s="33"/>
      <c r="AC121" s="33"/>
      <c r="AD121" s="33"/>
      <c r="AE121" s="20"/>
    </row>
    <row r="122" spans="1:31" ht="17.100000000000001" customHeight="1">
      <c r="A122" s="104" t="str">
        <f t="shared" si="3"/>
        <v>-</v>
      </c>
      <c r="B122" s="215"/>
      <c r="C122" s="218"/>
      <c r="D122" s="59"/>
      <c r="E122" s="60"/>
      <c r="F122" s="217"/>
      <c r="G122" s="217"/>
      <c r="H122" s="46"/>
      <c r="I122" s="217"/>
      <c r="J122" s="217"/>
      <c r="K122" s="46"/>
      <c r="L122" s="125"/>
      <c r="M122" s="125"/>
      <c r="N122" s="125"/>
      <c r="O122" s="125"/>
      <c r="P122" s="125"/>
      <c r="Q122" s="125"/>
      <c r="R122" s="125"/>
      <c r="S122" s="125"/>
      <c r="T122" s="125"/>
      <c r="U122" s="125"/>
      <c r="V122" s="33"/>
      <c r="W122" s="33"/>
      <c r="X122" s="33"/>
      <c r="Y122" s="33"/>
      <c r="Z122" s="33"/>
      <c r="AA122" s="33"/>
      <c r="AB122" s="33"/>
      <c r="AC122" s="33"/>
      <c r="AD122" s="33"/>
      <c r="AE122" s="20"/>
    </row>
    <row r="123" spans="1:31" ht="17.100000000000001" customHeight="1">
      <c r="A123" s="104" t="str">
        <f t="shared" si="3"/>
        <v>-</v>
      </c>
      <c r="B123" s="215"/>
      <c r="C123" s="218"/>
      <c r="D123" s="59"/>
      <c r="E123" s="60"/>
      <c r="F123" s="217"/>
      <c r="G123" s="217"/>
      <c r="H123" s="46"/>
      <c r="I123" s="217"/>
      <c r="J123" s="217"/>
      <c r="K123" s="46"/>
      <c r="L123" s="125"/>
      <c r="M123" s="125"/>
      <c r="N123" s="125"/>
      <c r="O123" s="125"/>
      <c r="P123" s="125"/>
      <c r="Q123" s="125"/>
      <c r="R123" s="125"/>
      <c r="S123" s="125"/>
      <c r="T123" s="125"/>
      <c r="U123" s="125"/>
      <c r="V123" s="33"/>
      <c r="W123" s="33"/>
      <c r="X123" s="33"/>
      <c r="Y123" s="33"/>
      <c r="Z123" s="33"/>
      <c r="AA123" s="33"/>
      <c r="AB123" s="33"/>
      <c r="AC123" s="33"/>
      <c r="AD123" s="33"/>
      <c r="AE123" s="20"/>
    </row>
    <row r="124" spans="1:31" ht="17.100000000000001" customHeight="1">
      <c r="A124" s="104" t="str">
        <f t="shared" si="3"/>
        <v>-</v>
      </c>
      <c r="B124" s="215"/>
      <c r="C124" s="218"/>
      <c r="D124" s="59"/>
      <c r="E124" s="60"/>
      <c r="F124" s="217"/>
      <c r="G124" s="217"/>
      <c r="H124" s="46"/>
      <c r="I124" s="217"/>
      <c r="J124" s="217"/>
      <c r="K124" s="46"/>
      <c r="L124" s="125"/>
      <c r="M124" s="125"/>
      <c r="N124" s="125"/>
      <c r="O124" s="125"/>
      <c r="P124" s="125"/>
      <c r="Q124" s="125"/>
      <c r="R124" s="125"/>
      <c r="S124" s="125"/>
      <c r="T124" s="125"/>
      <c r="U124" s="125"/>
      <c r="V124" s="33"/>
      <c r="W124" s="33"/>
      <c r="X124" s="33"/>
      <c r="Y124" s="33"/>
      <c r="Z124" s="33"/>
      <c r="AA124" s="33"/>
      <c r="AB124" s="33"/>
      <c r="AC124" s="33"/>
      <c r="AD124" s="33"/>
      <c r="AE124" s="20"/>
    </row>
    <row r="125" spans="1:31" ht="17.100000000000001" customHeight="1">
      <c r="A125" s="104" t="str">
        <f t="shared" si="3"/>
        <v>-</v>
      </c>
      <c r="B125" s="215"/>
      <c r="C125" s="218"/>
      <c r="D125" s="59"/>
      <c r="E125" s="60"/>
      <c r="F125" s="217"/>
      <c r="G125" s="217"/>
      <c r="H125" s="46"/>
      <c r="I125" s="217"/>
      <c r="J125" s="217"/>
      <c r="K125" s="46"/>
      <c r="L125" s="125"/>
      <c r="M125" s="125"/>
      <c r="N125" s="125"/>
      <c r="O125" s="125"/>
      <c r="P125" s="125"/>
      <c r="Q125" s="125"/>
      <c r="R125" s="125"/>
      <c r="S125" s="125"/>
      <c r="T125" s="125"/>
      <c r="U125" s="125"/>
      <c r="V125" s="33"/>
      <c r="W125" s="33"/>
      <c r="X125" s="33"/>
      <c r="Y125" s="33"/>
      <c r="Z125" s="33"/>
      <c r="AA125" s="33"/>
      <c r="AB125" s="33"/>
      <c r="AC125" s="33"/>
      <c r="AD125" s="33"/>
      <c r="AE125" s="20"/>
    </row>
    <row r="126" spans="1:31" ht="17.100000000000001" customHeight="1">
      <c r="A126" s="104" t="str">
        <f t="shared" si="3"/>
        <v>-</v>
      </c>
      <c r="B126" s="215"/>
      <c r="C126" s="218"/>
      <c r="D126" s="59"/>
      <c r="E126" s="60"/>
      <c r="F126" s="217"/>
      <c r="G126" s="217"/>
      <c r="H126" s="46"/>
      <c r="I126" s="217"/>
      <c r="J126" s="217"/>
      <c r="K126" s="46"/>
      <c r="L126" s="125"/>
      <c r="M126" s="125"/>
      <c r="N126" s="125"/>
      <c r="O126" s="125"/>
      <c r="P126" s="125"/>
      <c r="Q126" s="125"/>
      <c r="R126" s="125"/>
      <c r="S126" s="125"/>
      <c r="T126" s="125"/>
      <c r="U126" s="125"/>
      <c r="V126" s="33"/>
      <c r="W126" s="33"/>
      <c r="X126" s="33"/>
      <c r="Y126" s="33"/>
      <c r="Z126" s="33"/>
      <c r="AA126" s="33"/>
      <c r="AB126" s="33"/>
      <c r="AC126" s="33"/>
      <c r="AD126" s="33"/>
      <c r="AE126" s="20"/>
    </row>
    <row r="127" spans="1:31" ht="17.100000000000001" customHeight="1">
      <c r="A127" s="104" t="str">
        <f t="shared" si="3"/>
        <v>-</v>
      </c>
      <c r="B127" s="215"/>
      <c r="C127" s="218"/>
      <c r="D127" s="59"/>
      <c r="E127" s="60"/>
      <c r="F127" s="217"/>
      <c r="G127" s="217"/>
      <c r="H127" s="46"/>
      <c r="I127" s="217"/>
      <c r="J127" s="217"/>
      <c r="K127" s="46"/>
      <c r="L127" s="125"/>
      <c r="M127" s="125"/>
      <c r="N127" s="125"/>
      <c r="O127" s="125"/>
      <c r="P127" s="125"/>
      <c r="Q127" s="125"/>
      <c r="R127" s="125"/>
      <c r="S127" s="125"/>
      <c r="T127" s="125"/>
      <c r="U127" s="125"/>
      <c r="V127" s="33"/>
      <c r="W127" s="33"/>
      <c r="X127" s="33"/>
      <c r="Y127" s="33"/>
      <c r="Z127" s="33"/>
      <c r="AA127" s="33"/>
      <c r="AB127" s="33"/>
      <c r="AC127" s="33"/>
      <c r="AD127" s="33"/>
      <c r="AE127" s="20"/>
    </row>
    <row r="128" spans="1:31" ht="17.100000000000001" customHeight="1">
      <c r="A128" s="104" t="str">
        <f t="shared" si="3"/>
        <v>-</v>
      </c>
      <c r="B128" s="215"/>
      <c r="C128" s="218"/>
      <c r="D128" s="59"/>
      <c r="E128" s="60"/>
      <c r="F128" s="217"/>
      <c r="G128" s="217"/>
      <c r="H128" s="46"/>
      <c r="I128" s="217"/>
      <c r="J128" s="217"/>
      <c r="K128" s="46"/>
      <c r="L128" s="125"/>
      <c r="M128" s="125"/>
      <c r="N128" s="125"/>
      <c r="O128" s="125"/>
      <c r="P128" s="125"/>
      <c r="Q128" s="125"/>
      <c r="R128" s="125"/>
      <c r="S128" s="125"/>
      <c r="T128" s="125"/>
      <c r="U128" s="125"/>
      <c r="V128" s="33"/>
      <c r="W128" s="33"/>
      <c r="X128" s="33"/>
      <c r="Y128" s="33"/>
      <c r="Z128" s="33"/>
      <c r="AA128" s="33"/>
      <c r="AB128" s="33"/>
      <c r="AC128" s="33"/>
      <c r="AD128" s="33"/>
      <c r="AE128" s="20"/>
    </row>
    <row r="129" spans="1:31" ht="17.100000000000001" customHeight="1">
      <c r="A129" s="104" t="str">
        <f t="shared" si="3"/>
        <v>-</v>
      </c>
      <c r="B129" s="215"/>
      <c r="C129" s="218"/>
      <c r="D129" s="59"/>
      <c r="E129" s="60"/>
      <c r="F129" s="217"/>
      <c r="G129" s="217"/>
      <c r="H129" s="46"/>
      <c r="I129" s="217"/>
      <c r="J129" s="217"/>
      <c r="K129" s="46"/>
      <c r="L129" s="125"/>
      <c r="M129" s="125"/>
      <c r="N129" s="125"/>
      <c r="O129" s="125"/>
      <c r="P129" s="125"/>
      <c r="Q129" s="125"/>
      <c r="R129" s="125"/>
      <c r="S129" s="125"/>
      <c r="T129" s="125"/>
      <c r="U129" s="125"/>
      <c r="V129" s="33"/>
      <c r="W129" s="33"/>
      <c r="X129" s="33"/>
      <c r="Y129" s="33"/>
      <c r="Z129" s="33"/>
      <c r="AA129" s="33"/>
      <c r="AB129" s="33"/>
      <c r="AC129" s="33"/>
      <c r="AD129" s="33"/>
      <c r="AE129" s="20"/>
    </row>
    <row r="130" spans="1:31" ht="17.100000000000001" customHeight="1">
      <c r="A130" s="104" t="str">
        <f t="shared" si="3"/>
        <v>-</v>
      </c>
      <c r="B130" s="215"/>
      <c r="C130" s="218"/>
      <c r="D130" s="59"/>
      <c r="E130" s="60"/>
      <c r="F130" s="217"/>
      <c r="G130" s="217"/>
      <c r="H130" s="46"/>
      <c r="I130" s="217"/>
      <c r="J130" s="217"/>
      <c r="K130" s="46"/>
      <c r="L130" s="125"/>
      <c r="M130" s="125"/>
      <c r="N130" s="125"/>
      <c r="O130" s="125"/>
      <c r="P130" s="125"/>
      <c r="Q130" s="125"/>
      <c r="R130" s="125"/>
      <c r="S130" s="125"/>
      <c r="T130" s="125"/>
      <c r="U130" s="125"/>
      <c r="V130" s="33"/>
      <c r="W130" s="33"/>
      <c r="X130" s="33"/>
      <c r="Y130" s="33"/>
      <c r="Z130" s="33"/>
      <c r="AA130" s="33"/>
      <c r="AB130" s="33"/>
      <c r="AC130" s="33"/>
      <c r="AD130" s="33"/>
      <c r="AE130" s="20"/>
    </row>
    <row r="131" spans="1:31" ht="17.100000000000001" customHeight="1">
      <c r="A131" s="104" t="str">
        <f t="shared" si="3"/>
        <v>-</v>
      </c>
      <c r="B131" s="215"/>
      <c r="C131" s="218"/>
      <c r="D131" s="59"/>
      <c r="E131" s="60"/>
      <c r="F131" s="217"/>
      <c r="G131" s="217"/>
      <c r="H131" s="46"/>
      <c r="I131" s="217"/>
      <c r="J131" s="217"/>
      <c r="K131" s="46"/>
      <c r="L131" s="125"/>
      <c r="M131" s="125"/>
      <c r="N131" s="125"/>
      <c r="O131" s="125"/>
      <c r="P131" s="125"/>
      <c r="Q131" s="125"/>
      <c r="R131" s="125"/>
      <c r="S131" s="125"/>
      <c r="T131" s="125"/>
      <c r="U131" s="125"/>
      <c r="V131" s="33"/>
      <c r="W131" s="33"/>
      <c r="X131" s="33"/>
      <c r="Y131" s="33"/>
      <c r="Z131" s="33"/>
      <c r="AA131" s="33"/>
      <c r="AB131" s="33"/>
      <c r="AC131" s="33"/>
      <c r="AD131" s="33"/>
      <c r="AE131" s="20"/>
    </row>
    <row r="132" spans="1:31" ht="17.100000000000001" customHeight="1">
      <c r="A132" s="104" t="str">
        <f t="shared" si="3"/>
        <v>-</v>
      </c>
      <c r="B132" s="215"/>
      <c r="C132" s="218"/>
      <c r="D132" s="59"/>
      <c r="E132" s="60"/>
      <c r="F132" s="217"/>
      <c r="G132" s="217"/>
      <c r="H132" s="46"/>
      <c r="I132" s="217"/>
      <c r="J132" s="217"/>
      <c r="K132" s="46"/>
      <c r="L132" s="125"/>
      <c r="M132" s="125"/>
      <c r="N132" s="125"/>
      <c r="O132" s="125"/>
      <c r="P132" s="125"/>
      <c r="Q132" s="125"/>
      <c r="R132" s="125"/>
      <c r="S132" s="125"/>
      <c r="T132" s="125"/>
      <c r="U132" s="125"/>
      <c r="V132" s="33"/>
      <c r="W132" s="33"/>
      <c r="X132" s="33"/>
      <c r="Y132" s="33"/>
      <c r="Z132" s="33"/>
      <c r="AA132" s="33"/>
      <c r="AB132" s="33"/>
      <c r="AC132" s="33"/>
      <c r="AD132" s="33"/>
      <c r="AE132" s="20"/>
    </row>
    <row r="133" spans="1:31" ht="17.100000000000001" customHeight="1">
      <c r="A133" s="104" t="str">
        <f t="shared" si="3"/>
        <v>-</v>
      </c>
      <c r="B133" s="215"/>
      <c r="C133" s="218"/>
      <c r="D133" s="59"/>
      <c r="E133" s="60"/>
      <c r="F133" s="217"/>
      <c r="G133" s="217"/>
      <c r="H133" s="46"/>
      <c r="I133" s="217"/>
      <c r="J133" s="217"/>
      <c r="K133" s="46"/>
      <c r="L133" s="125"/>
      <c r="M133" s="125"/>
      <c r="N133" s="125"/>
      <c r="O133" s="125"/>
      <c r="P133" s="125"/>
      <c r="Q133" s="125"/>
      <c r="R133" s="125"/>
      <c r="S133" s="125"/>
      <c r="T133" s="125"/>
      <c r="U133" s="125"/>
      <c r="V133" s="33"/>
      <c r="W133" s="33"/>
      <c r="X133" s="33"/>
      <c r="Y133" s="33"/>
      <c r="Z133" s="33"/>
      <c r="AA133" s="33"/>
      <c r="AB133" s="33"/>
      <c r="AC133" s="33"/>
      <c r="AD133" s="33"/>
      <c r="AE133" s="20"/>
    </row>
    <row r="134" spans="1:31" ht="17.100000000000001" customHeight="1">
      <c r="A134" s="104" t="str">
        <f t="shared" si="3"/>
        <v>-</v>
      </c>
      <c r="B134" s="215"/>
      <c r="C134" s="218"/>
      <c r="D134" s="59"/>
      <c r="E134" s="60"/>
      <c r="F134" s="217"/>
      <c r="G134" s="217"/>
      <c r="H134" s="46"/>
      <c r="I134" s="217"/>
      <c r="J134" s="217"/>
      <c r="K134" s="46"/>
      <c r="L134" s="125"/>
      <c r="M134" s="125"/>
      <c r="N134" s="125"/>
      <c r="O134" s="125"/>
      <c r="P134" s="125"/>
      <c r="Q134" s="125"/>
      <c r="R134" s="125"/>
      <c r="S134" s="125"/>
      <c r="T134" s="125"/>
      <c r="U134" s="125"/>
      <c r="V134" s="33"/>
      <c r="W134" s="33"/>
      <c r="X134" s="33"/>
      <c r="Y134" s="33"/>
      <c r="Z134" s="33"/>
      <c r="AA134" s="33"/>
      <c r="AB134" s="33"/>
      <c r="AC134" s="33"/>
      <c r="AD134" s="33"/>
      <c r="AE134" s="20"/>
    </row>
    <row r="135" spans="1:31" ht="17.100000000000001" customHeight="1">
      <c r="A135" s="104" t="str">
        <f t="shared" si="3"/>
        <v>-</v>
      </c>
      <c r="B135" s="215"/>
      <c r="C135" s="218"/>
      <c r="D135" s="59"/>
      <c r="E135" s="60"/>
      <c r="F135" s="217"/>
      <c r="G135" s="217"/>
      <c r="H135" s="46"/>
      <c r="I135" s="217"/>
      <c r="J135" s="217"/>
      <c r="K135" s="46"/>
      <c r="L135" s="125"/>
      <c r="M135" s="125"/>
      <c r="N135" s="125"/>
      <c r="O135" s="125"/>
      <c r="P135" s="125"/>
      <c r="Q135" s="125"/>
      <c r="R135" s="125"/>
      <c r="S135" s="125"/>
      <c r="T135" s="125"/>
      <c r="U135" s="125"/>
      <c r="V135" s="33"/>
      <c r="W135" s="33"/>
      <c r="X135" s="33"/>
      <c r="Y135" s="33"/>
      <c r="Z135" s="33"/>
      <c r="AA135" s="33"/>
      <c r="AB135" s="33"/>
      <c r="AC135" s="33"/>
      <c r="AD135" s="33"/>
      <c r="AE135" s="20"/>
    </row>
    <row r="136" spans="1:31" ht="17.100000000000001" customHeight="1">
      <c r="A136" s="104" t="str">
        <f t="shared" si="3"/>
        <v>-</v>
      </c>
      <c r="B136" s="215"/>
      <c r="C136" s="218"/>
      <c r="D136" s="59"/>
      <c r="E136" s="60"/>
      <c r="F136" s="217"/>
      <c r="G136" s="217"/>
      <c r="H136" s="46"/>
      <c r="I136" s="217"/>
      <c r="J136" s="217"/>
      <c r="K136" s="46"/>
      <c r="L136" s="125"/>
      <c r="M136" s="125"/>
      <c r="N136" s="125"/>
      <c r="O136" s="125"/>
      <c r="P136" s="125"/>
      <c r="Q136" s="125"/>
      <c r="R136" s="125"/>
      <c r="S136" s="125"/>
      <c r="T136" s="125"/>
      <c r="U136" s="125"/>
      <c r="V136" s="33"/>
      <c r="W136" s="33"/>
      <c r="X136" s="33"/>
      <c r="Y136" s="33"/>
      <c r="Z136" s="33"/>
      <c r="AA136" s="33"/>
      <c r="AB136" s="33"/>
      <c r="AC136" s="33"/>
      <c r="AD136" s="33"/>
      <c r="AE136" s="20"/>
    </row>
    <row r="137" spans="1:31" ht="17.100000000000001" customHeight="1">
      <c r="A137" s="104" t="str">
        <f t="shared" si="3"/>
        <v>-</v>
      </c>
      <c r="B137" s="215"/>
      <c r="C137" s="218"/>
      <c r="D137" s="59"/>
      <c r="E137" s="60"/>
      <c r="F137" s="217"/>
      <c r="G137" s="217"/>
      <c r="H137" s="46"/>
      <c r="I137" s="217"/>
      <c r="J137" s="217"/>
      <c r="K137" s="46"/>
      <c r="L137" s="125"/>
      <c r="M137" s="125"/>
      <c r="N137" s="125"/>
      <c r="O137" s="125"/>
      <c r="P137" s="125"/>
      <c r="Q137" s="125"/>
      <c r="R137" s="125"/>
      <c r="S137" s="125"/>
      <c r="T137" s="125"/>
      <c r="U137" s="125"/>
      <c r="V137" s="33"/>
      <c r="W137" s="33"/>
      <c r="X137" s="33"/>
      <c r="Y137" s="33"/>
      <c r="Z137" s="33"/>
      <c r="AA137" s="33"/>
      <c r="AB137" s="33"/>
      <c r="AC137" s="33"/>
      <c r="AD137" s="33"/>
      <c r="AE137" s="20"/>
    </row>
    <row r="138" spans="1:31" ht="17.100000000000001" customHeight="1">
      <c r="A138" s="104" t="str">
        <f t="shared" si="3"/>
        <v>-</v>
      </c>
      <c r="B138" s="215"/>
      <c r="C138" s="218"/>
      <c r="D138" s="59"/>
      <c r="E138" s="60"/>
      <c r="F138" s="217"/>
      <c r="G138" s="217"/>
      <c r="H138" s="46"/>
      <c r="I138" s="217"/>
      <c r="J138" s="217"/>
      <c r="K138" s="46"/>
      <c r="L138" s="125"/>
      <c r="M138" s="125"/>
      <c r="N138" s="125"/>
      <c r="O138" s="125"/>
      <c r="P138" s="125"/>
      <c r="Q138" s="125"/>
      <c r="R138" s="125"/>
      <c r="S138" s="125"/>
      <c r="T138" s="125"/>
      <c r="U138" s="125"/>
      <c r="V138" s="33"/>
      <c r="W138" s="33"/>
      <c r="X138" s="33"/>
      <c r="Y138" s="33"/>
      <c r="Z138" s="33"/>
      <c r="AA138" s="33"/>
      <c r="AB138" s="33"/>
      <c r="AC138" s="33"/>
      <c r="AD138" s="33"/>
      <c r="AE138" s="20"/>
    </row>
    <row r="139" spans="1:31" ht="17.100000000000001" customHeight="1">
      <c r="A139" s="104" t="str">
        <f t="shared" si="3"/>
        <v>-</v>
      </c>
      <c r="B139" s="215"/>
      <c r="C139" s="218"/>
      <c r="D139" s="59"/>
      <c r="E139" s="60"/>
      <c r="F139" s="217"/>
      <c r="G139" s="217"/>
      <c r="H139" s="46"/>
      <c r="I139" s="217"/>
      <c r="J139" s="217"/>
      <c r="K139" s="46"/>
      <c r="L139" s="125"/>
      <c r="M139" s="125"/>
      <c r="N139" s="125"/>
      <c r="O139" s="125"/>
      <c r="P139" s="125"/>
      <c r="Q139" s="125"/>
      <c r="R139" s="125"/>
      <c r="S139" s="125"/>
      <c r="T139" s="125"/>
      <c r="U139" s="125"/>
      <c r="V139" s="33"/>
      <c r="W139" s="33"/>
      <c r="X139" s="33"/>
      <c r="Y139" s="33"/>
      <c r="Z139" s="33"/>
      <c r="AA139" s="33"/>
      <c r="AB139" s="33"/>
      <c r="AC139" s="33"/>
      <c r="AD139" s="33"/>
      <c r="AE139" s="20"/>
    </row>
    <row r="140" spans="1:31" ht="17.100000000000001" customHeight="1">
      <c r="A140" s="104" t="str">
        <f t="shared" si="3"/>
        <v>-</v>
      </c>
      <c r="B140" s="215"/>
      <c r="C140" s="218"/>
      <c r="D140" s="59"/>
      <c r="E140" s="60"/>
      <c r="F140" s="217"/>
      <c r="G140" s="217"/>
      <c r="H140" s="46"/>
      <c r="I140" s="217"/>
      <c r="J140" s="217"/>
      <c r="K140" s="46"/>
      <c r="L140" s="125"/>
      <c r="M140" s="125"/>
      <c r="N140" s="125"/>
      <c r="O140" s="125"/>
      <c r="P140" s="125"/>
      <c r="Q140" s="125"/>
      <c r="R140" s="125"/>
      <c r="S140" s="125"/>
      <c r="T140" s="125"/>
      <c r="U140" s="125"/>
      <c r="V140" s="33"/>
      <c r="W140" s="33"/>
      <c r="X140" s="33"/>
      <c r="Y140" s="33"/>
      <c r="Z140" s="33"/>
      <c r="AA140" s="33"/>
      <c r="AB140" s="33"/>
      <c r="AC140" s="33"/>
      <c r="AD140" s="33"/>
      <c r="AE140" s="20"/>
    </row>
    <row r="141" spans="1:31" ht="17.100000000000001" customHeight="1">
      <c r="A141" s="104" t="str">
        <f t="shared" si="3"/>
        <v>-</v>
      </c>
      <c r="B141" s="215"/>
      <c r="C141" s="218"/>
      <c r="D141" s="59"/>
      <c r="E141" s="60"/>
      <c r="F141" s="217"/>
      <c r="G141" s="217"/>
      <c r="H141" s="46"/>
      <c r="I141" s="217"/>
      <c r="J141" s="217"/>
      <c r="K141" s="46"/>
      <c r="L141" s="125"/>
      <c r="M141" s="125"/>
      <c r="N141" s="125"/>
      <c r="O141" s="125"/>
      <c r="P141" s="125"/>
      <c r="Q141" s="125"/>
      <c r="R141" s="125"/>
      <c r="S141" s="125"/>
      <c r="T141" s="125"/>
      <c r="U141" s="125"/>
      <c r="V141" s="33"/>
      <c r="W141" s="33"/>
      <c r="X141" s="33"/>
      <c r="Y141" s="33"/>
      <c r="Z141" s="33"/>
      <c r="AA141" s="33"/>
      <c r="AB141" s="33"/>
      <c r="AC141" s="33"/>
      <c r="AD141" s="33"/>
      <c r="AE141" s="20"/>
    </row>
    <row r="142" spans="1:31" ht="17.100000000000001" customHeight="1">
      <c r="A142" s="104" t="str">
        <f t="shared" si="3"/>
        <v>-</v>
      </c>
      <c r="B142" s="215"/>
      <c r="C142" s="218"/>
      <c r="D142" s="59"/>
      <c r="E142" s="60"/>
      <c r="F142" s="217"/>
      <c r="G142" s="217"/>
      <c r="H142" s="46"/>
      <c r="I142" s="217"/>
      <c r="J142" s="217"/>
      <c r="K142" s="46"/>
      <c r="L142" s="125"/>
      <c r="M142" s="125"/>
      <c r="N142" s="125"/>
      <c r="O142" s="125"/>
      <c r="P142" s="125"/>
      <c r="Q142" s="125"/>
      <c r="R142" s="125"/>
      <c r="S142" s="125"/>
      <c r="T142" s="125"/>
      <c r="U142" s="125"/>
      <c r="V142" s="33"/>
      <c r="W142" s="33"/>
      <c r="X142" s="33"/>
      <c r="Y142" s="33"/>
      <c r="Z142" s="33"/>
      <c r="AA142" s="33"/>
      <c r="AB142" s="33"/>
      <c r="AC142" s="33"/>
      <c r="AD142" s="33"/>
      <c r="AE142" s="20"/>
    </row>
    <row r="143" spans="1:31" ht="17.100000000000001" customHeight="1">
      <c r="A143" s="104" t="str">
        <f t="shared" ref="A143:A174" si="4">IF(ROW(A143)-ROW($A$15)+EmissionStartYear&gt;=SimulationEnds,"-",ROW(A143)-ROW($A$15)+EmissionStartYear)</f>
        <v>-</v>
      </c>
      <c r="B143" s="215"/>
      <c r="C143" s="218"/>
      <c r="D143" s="59"/>
      <c r="E143" s="60"/>
      <c r="F143" s="217"/>
      <c r="G143" s="217"/>
      <c r="H143" s="46"/>
      <c r="I143" s="217"/>
      <c r="J143" s="217"/>
      <c r="K143" s="46"/>
      <c r="L143" s="125"/>
      <c r="M143" s="125"/>
      <c r="N143" s="125"/>
      <c r="O143" s="125"/>
      <c r="P143" s="125"/>
      <c r="Q143" s="125"/>
      <c r="R143" s="125"/>
      <c r="S143" s="125"/>
      <c r="T143" s="125"/>
      <c r="U143" s="125"/>
      <c r="V143" s="33"/>
      <c r="W143" s="33"/>
      <c r="X143" s="33"/>
      <c r="Y143" s="33"/>
      <c r="Z143" s="33"/>
      <c r="AA143" s="33"/>
      <c r="AB143" s="33"/>
      <c r="AC143" s="33"/>
      <c r="AD143" s="33"/>
      <c r="AE143" s="20"/>
    </row>
    <row r="144" spans="1:31" ht="17.100000000000001" customHeight="1">
      <c r="A144" s="104" t="str">
        <f t="shared" si="4"/>
        <v>-</v>
      </c>
      <c r="B144" s="215"/>
      <c r="C144" s="218"/>
      <c r="D144" s="59"/>
      <c r="E144" s="60"/>
      <c r="F144" s="217"/>
      <c r="G144" s="217"/>
      <c r="H144" s="46"/>
      <c r="I144" s="217"/>
      <c r="J144" s="217"/>
      <c r="K144" s="46"/>
      <c r="L144" s="125"/>
      <c r="M144" s="125"/>
      <c r="N144" s="125"/>
      <c r="O144" s="125"/>
      <c r="P144" s="125"/>
      <c r="Q144" s="125"/>
      <c r="R144" s="125"/>
      <c r="S144" s="125"/>
      <c r="T144" s="125"/>
      <c r="U144" s="125"/>
      <c r="V144" s="33"/>
      <c r="W144" s="33"/>
      <c r="X144" s="33"/>
      <c r="Y144" s="33"/>
      <c r="Z144" s="33"/>
      <c r="AA144" s="33"/>
      <c r="AB144" s="33"/>
      <c r="AC144" s="33"/>
      <c r="AD144" s="33"/>
      <c r="AE144" s="20"/>
    </row>
    <row r="145" spans="1:31" ht="17.100000000000001" customHeight="1">
      <c r="A145" s="104" t="str">
        <f t="shared" si="4"/>
        <v>-</v>
      </c>
      <c r="B145" s="215"/>
      <c r="C145" s="218"/>
      <c r="D145" s="59"/>
      <c r="E145" s="60"/>
      <c r="F145" s="217"/>
      <c r="G145" s="217"/>
      <c r="H145" s="46"/>
      <c r="I145" s="217"/>
      <c r="J145" s="217"/>
      <c r="K145" s="46"/>
      <c r="L145" s="125"/>
      <c r="M145" s="125"/>
      <c r="N145" s="125"/>
      <c r="O145" s="125"/>
      <c r="P145" s="125"/>
      <c r="Q145" s="125"/>
      <c r="R145" s="125"/>
      <c r="S145" s="125"/>
      <c r="T145" s="125"/>
      <c r="U145" s="125"/>
      <c r="V145" s="33"/>
      <c r="W145" s="33"/>
      <c r="X145" s="33"/>
      <c r="Y145" s="33"/>
      <c r="Z145" s="33"/>
      <c r="AA145" s="33"/>
      <c r="AB145" s="33"/>
      <c r="AC145" s="33"/>
      <c r="AD145" s="33"/>
      <c r="AE145" s="20"/>
    </row>
    <row r="146" spans="1:31" ht="17.100000000000001" customHeight="1">
      <c r="A146" s="104" t="str">
        <f t="shared" si="4"/>
        <v>-</v>
      </c>
      <c r="B146" s="215"/>
      <c r="C146" s="218"/>
      <c r="D146" s="59"/>
      <c r="E146" s="60"/>
      <c r="F146" s="217"/>
      <c r="G146" s="217"/>
      <c r="H146" s="46"/>
      <c r="I146" s="217"/>
      <c r="J146" s="217"/>
      <c r="K146" s="46"/>
      <c r="L146" s="125"/>
      <c r="M146" s="125"/>
      <c r="N146" s="125"/>
      <c r="O146" s="125"/>
      <c r="P146" s="125"/>
      <c r="Q146" s="125"/>
      <c r="R146" s="125"/>
      <c r="S146" s="125"/>
      <c r="T146" s="125"/>
      <c r="U146" s="125"/>
      <c r="V146" s="33"/>
      <c r="W146" s="33"/>
      <c r="X146" s="33"/>
      <c r="Y146" s="33"/>
      <c r="Z146" s="33"/>
      <c r="AA146" s="33"/>
      <c r="AB146" s="33"/>
      <c r="AC146" s="33"/>
      <c r="AD146" s="33"/>
      <c r="AE146" s="20"/>
    </row>
    <row r="147" spans="1:31" ht="17.100000000000001" customHeight="1">
      <c r="A147" s="104" t="str">
        <f t="shared" si="4"/>
        <v>-</v>
      </c>
      <c r="B147" s="215"/>
      <c r="C147" s="218"/>
      <c r="D147" s="59"/>
      <c r="E147" s="60"/>
      <c r="F147" s="217"/>
      <c r="G147" s="217"/>
      <c r="H147" s="46"/>
      <c r="I147" s="217"/>
      <c r="J147" s="217"/>
      <c r="K147" s="46"/>
      <c r="L147" s="125"/>
      <c r="M147" s="125"/>
      <c r="N147" s="125"/>
      <c r="O147" s="125"/>
      <c r="P147" s="125"/>
      <c r="Q147" s="125"/>
      <c r="R147" s="125"/>
      <c r="S147" s="125"/>
      <c r="T147" s="125"/>
      <c r="U147" s="125"/>
      <c r="V147" s="33"/>
      <c r="W147" s="33"/>
      <c r="X147" s="33"/>
      <c r="Y147" s="33"/>
      <c r="Z147" s="33"/>
      <c r="AA147" s="33"/>
      <c r="AB147" s="33"/>
      <c r="AC147" s="33"/>
      <c r="AD147" s="33"/>
      <c r="AE147" s="20"/>
    </row>
    <row r="148" spans="1:31" ht="17.100000000000001" customHeight="1">
      <c r="A148" s="104" t="str">
        <f t="shared" si="4"/>
        <v>-</v>
      </c>
      <c r="B148" s="215"/>
      <c r="C148" s="218"/>
      <c r="D148" s="59"/>
      <c r="E148" s="60"/>
      <c r="F148" s="217"/>
      <c r="G148" s="217"/>
      <c r="H148" s="46"/>
      <c r="I148" s="217"/>
      <c r="J148" s="217"/>
      <c r="K148" s="46"/>
      <c r="L148" s="125"/>
      <c r="M148" s="125"/>
      <c r="N148" s="125"/>
      <c r="O148" s="125"/>
      <c r="P148" s="125"/>
      <c r="Q148" s="125"/>
      <c r="R148" s="125"/>
      <c r="S148" s="125"/>
      <c r="T148" s="125"/>
      <c r="U148" s="125"/>
      <c r="V148" s="33"/>
      <c r="W148" s="33"/>
      <c r="X148" s="33"/>
      <c r="Y148" s="33"/>
      <c r="Z148" s="33"/>
      <c r="AA148" s="33"/>
      <c r="AB148" s="33"/>
      <c r="AC148" s="33"/>
      <c r="AD148" s="33"/>
      <c r="AE148" s="20"/>
    </row>
    <row r="149" spans="1:31" ht="17.100000000000001" customHeight="1">
      <c r="A149" s="104" t="str">
        <f t="shared" si="4"/>
        <v>-</v>
      </c>
      <c r="B149" s="215"/>
      <c r="C149" s="218"/>
      <c r="D149" s="59"/>
      <c r="E149" s="60"/>
      <c r="F149" s="217"/>
      <c r="G149" s="217"/>
      <c r="H149" s="46"/>
      <c r="I149" s="217"/>
      <c r="J149" s="217"/>
      <c r="K149" s="46"/>
      <c r="L149" s="125"/>
      <c r="M149" s="125"/>
      <c r="N149" s="125"/>
      <c r="O149" s="125"/>
      <c r="P149" s="125"/>
      <c r="Q149" s="125"/>
      <c r="R149" s="125"/>
      <c r="S149" s="125"/>
      <c r="T149" s="125"/>
      <c r="U149" s="125"/>
      <c r="V149" s="33"/>
      <c r="W149" s="33"/>
      <c r="X149" s="33"/>
      <c r="Y149" s="33"/>
      <c r="Z149" s="33"/>
      <c r="AA149" s="33"/>
      <c r="AB149" s="33"/>
      <c r="AC149" s="33"/>
      <c r="AD149" s="33"/>
      <c r="AE149" s="20"/>
    </row>
    <row r="150" spans="1:31" ht="17.100000000000001" customHeight="1">
      <c r="A150" s="104" t="str">
        <f t="shared" si="4"/>
        <v>-</v>
      </c>
      <c r="B150" s="215"/>
      <c r="C150" s="218"/>
      <c r="D150" s="59"/>
      <c r="E150" s="60"/>
      <c r="F150" s="217"/>
      <c r="G150" s="217"/>
      <c r="H150" s="46"/>
      <c r="I150" s="217"/>
      <c r="J150" s="217"/>
      <c r="K150" s="46"/>
      <c r="L150" s="125"/>
      <c r="M150" s="125"/>
      <c r="N150" s="125"/>
      <c r="O150" s="125"/>
      <c r="P150" s="125"/>
      <c r="Q150" s="125"/>
      <c r="R150" s="125"/>
      <c r="S150" s="125"/>
      <c r="T150" s="125"/>
      <c r="U150" s="125"/>
      <c r="V150" s="33"/>
      <c r="W150" s="33"/>
      <c r="X150" s="33"/>
      <c r="Y150" s="33"/>
      <c r="Z150" s="33"/>
      <c r="AA150" s="33"/>
      <c r="AB150" s="33"/>
      <c r="AC150" s="33"/>
      <c r="AD150" s="33"/>
      <c r="AE150" s="20"/>
    </row>
    <row r="151" spans="1:31" ht="17.100000000000001" customHeight="1">
      <c r="A151" s="104" t="str">
        <f t="shared" si="4"/>
        <v>-</v>
      </c>
      <c r="B151" s="215"/>
      <c r="C151" s="218"/>
      <c r="D151" s="59"/>
      <c r="E151" s="60"/>
      <c r="F151" s="217"/>
      <c r="G151" s="217"/>
      <c r="H151" s="46"/>
      <c r="I151" s="217"/>
      <c r="J151" s="217"/>
      <c r="K151" s="46"/>
      <c r="L151" s="125"/>
      <c r="M151" s="125"/>
      <c r="N151" s="125"/>
      <c r="O151" s="125"/>
      <c r="P151" s="125"/>
      <c r="Q151" s="125"/>
      <c r="R151" s="125"/>
      <c r="S151" s="125"/>
      <c r="T151" s="125"/>
      <c r="U151" s="125"/>
      <c r="V151" s="33"/>
      <c r="W151" s="33"/>
      <c r="X151" s="33"/>
      <c r="Y151" s="33"/>
      <c r="Z151" s="33"/>
      <c r="AA151" s="33"/>
      <c r="AB151" s="33"/>
      <c r="AC151" s="33"/>
      <c r="AD151" s="33"/>
      <c r="AE151" s="20"/>
    </row>
    <row r="152" spans="1:31" ht="17.100000000000001" customHeight="1">
      <c r="A152" s="104" t="str">
        <f t="shared" si="4"/>
        <v>-</v>
      </c>
      <c r="B152" s="215"/>
      <c r="C152" s="218"/>
      <c r="D152" s="59"/>
      <c r="E152" s="60"/>
      <c r="F152" s="217"/>
      <c r="G152" s="217"/>
      <c r="H152" s="46"/>
      <c r="I152" s="217"/>
      <c r="J152" s="217"/>
      <c r="K152" s="46"/>
      <c r="L152" s="125"/>
      <c r="M152" s="125"/>
      <c r="N152" s="125"/>
      <c r="O152" s="125"/>
      <c r="P152" s="125"/>
      <c r="Q152" s="125"/>
      <c r="R152" s="125"/>
      <c r="S152" s="125"/>
      <c r="T152" s="125"/>
      <c r="U152" s="125"/>
      <c r="V152" s="33"/>
      <c r="W152" s="33"/>
      <c r="X152" s="33"/>
      <c r="Y152" s="33"/>
      <c r="Z152" s="33"/>
      <c r="AA152" s="33"/>
      <c r="AB152" s="33"/>
      <c r="AC152" s="33"/>
      <c r="AD152" s="33"/>
      <c r="AE152" s="20"/>
    </row>
    <row r="153" spans="1:31" ht="17.100000000000001" customHeight="1">
      <c r="A153" s="104" t="str">
        <f t="shared" si="4"/>
        <v>-</v>
      </c>
      <c r="B153" s="215"/>
      <c r="C153" s="218"/>
      <c r="D153" s="59"/>
      <c r="E153" s="60"/>
      <c r="F153" s="217"/>
      <c r="G153" s="217"/>
      <c r="H153" s="46"/>
      <c r="I153" s="217"/>
      <c r="J153" s="217"/>
      <c r="K153" s="46"/>
      <c r="L153" s="125"/>
      <c r="M153" s="125"/>
      <c r="N153" s="125"/>
      <c r="O153" s="125"/>
      <c r="P153" s="125"/>
      <c r="Q153" s="125"/>
      <c r="R153" s="125"/>
      <c r="S153" s="125"/>
      <c r="T153" s="125"/>
      <c r="U153" s="125"/>
      <c r="V153" s="33"/>
      <c r="W153" s="33"/>
      <c r="X153" s="33"/>
      <c r="Y153" s="33"/>
      <c r="Z153" s="33"/>
      <c r="AA153" s="33"/>
      <c r="AB153" s="33"/>
      <c r="AC153" s="33"/>
      <c r="AD153" s="33"/>
      <c r="AE153" s="20"/>
    </row>
    <row r="154" spans="1:31" ht="17.100000000000001" customHeight="1">
      <c r="A154" s="104" t="str">
        <f t="shared" si="4"/>
        <v>-</v>
      </c>
      <c r="B154" s="215"/>
      <c r="C154" s="218"/>
      <c r="D154" s="59"/>
      <c r="E154" s="60"/>
      <c r="F154" s="217"/>
      <c r="G154" s="217"/>
      <c r="H154" s="46"/>
      <c r="I154" s="217"/>
      <c r="J154" s="217"/>
      <c r="K154" s="46"/>
      <c r="L154" s="125"/>
      <c r="M154" s="125"/>
      <c r="N154" s="125"/>
      <c r="O154" s="125"/>
      <c r="P154" s="125"/>
      <c r="Q154" s="125"/>
      <c r="R154" s="125"/>
      <c r="S154" s="125"/>
      <c r="T154" s="125"/>
      <c r="U154" s="125"/>
      <c r="V154" s="33"/>
      <c r="W154" s="33"/>
      <c r="X154" s="33"/>
      <c r="Y154" s="33"/>
      <c r="Z154" s="33"/>
      <c r="AA154" s="33"/>
      <c r="AB154" s="33"/>
      <c r="AC154" s="33"/>
      <c r="AD154" s="33"/>
      <c r="AE154" s="20"/>
    </row>
    <row r="155" spans="1:31" ht="17.100000000000001" customHeight="1">
      <c r="A155" s="104" t="str">
        <f t="shared" si="4"/>
        <v>-</v>
      </c>
      <c r="B155" s="215"/>
      <c r="C155" s="218"/>
      <c r="D155" s="59"/>
      <c r="E155" s="60"/>
      <c r="F155" s="217"/>
      <c r="G155" s="217"/>
      <c r="H155" s="46"/>
      <c r="I155" s="217"/>
      <c r="J155" s="217"/>
      <c r="K155" s="46"/>
      <c r="L155" s="125"/>
      <c r="M155" s="125"/>
      <c r="N155" s="125"/>
      <c r="O155" s="125"/>
      <c r="P155" s="125"/>
      <c r="Q155" s="125"/>
      <c r="R155" s="125"/>
      <c r="S155" s="125"/>
      <c r="T155" s="125"/>
      <c r="U155" s="125"/>
      <c r="V155" s="33"/>
      <c r="W155" s="33"/>
      <c r="X155" s="33"/>
      <c r="Y155" s="33"/>
      <c r="Z155" s="33"/>
      <c r="AA155" s="33"/>
      <c r="AB155" s="33"/>
      <c r="AC155" s="33"/>
      <c r="AD155" s="33"/>
      <c r="AE155" s="20"/>
    </row>
    <row r="156" spans="1:31" ht="17.100000000000001" customHeight="1">
      <c r="A156" s="104" t="str">
        <f t="shared" si="4"/>
        <v>-</v>
      </c>
      <c r="B156" s="215"/>
      <c r="C156" s="218"/>
      <c r="D156" s="59"/>
      <c r="E156" s="60"/>
      <c r="F156" s="217"/>
      <c r="G156" s="217"/>
      <c r="H156" s="46"/>
      <c r="I156" s="217"/>
      <c r="J156" s="217"/>
      <c r="K156" s="46"/>
      <c r="L156" s="125"/>
      <c r="M156" s="125"/>
      <c r="N156" s="125"/>
      <c r="O156" s="125"/>
      <c r="P156" s="125"/>
      <c r="Q156" s="125"/>
      <c r="R156" s="125"/>
      <c r="S156" s="125"/>
      <c r="T156" s="125"/>
      <c r="U156" s="125"/>
      <c r="V156" s="33"/>
      <c r="W156" s="33"/>
      <c r="X156" s="33"/>
      <c r="Y156" s="33"/>
      <c r="Z156" s="33"/>
      <c r="AA156" s="33"/>
      <c r="AB156" s="33"/>
      <c r="AC156" s="33"/>
      <c r="AD156" s="33"/>
      <c r="AE156" s="20"/>
    </row>
    <row r="157" spans="1:31" ht="17.100000000000001" customHeight="1">
      <c r="A157" s="104" t="str">
        <f t="shared" si="4"/>
        <v>-</v>
      </c>
      <c r="B157" s="215"/>
      <c r="C157" s="218"/>
      <c r="D157" s="59"/>
      <c r="E157" s="60"/>
      <c r="F157" s="217"/>
      <c r="G157" s="217"/>
      <c r="H157" s="46"/>
      <c r="I157" s="217"/>
      <c r="J157" s="217"/>
      <c r="K157" s="46"/>
      <c r="L157" s="125"/>
      <c r="M157" s="125"/>
      <c r="N157" s="125"/>
      <c r="O157" s="125"/>
      <c r="P157" s="125"/>
      <c r="Q157" s="125"/>
      <c r="R157" s="125"/>
      <c r="S157" s="125"/>
      <c r="T157" s="125"/>
      <c r="U157" s="125"/>
      <c r="V157" s="33"/>
      <c r="W157" s="33"/>
      <c r="X157" s="33"/>
      <c r="Y157" s="33"/>
      <c r="Z157" s="33"/>
      <c r="AA157" s="33"/>
      <c r="AB157" s="33"/>
      <c r="AC157" s="33"/>
      <c r="AD157" s="33"/>
      <c r="AE157" s="20"/>
    </row>
    <row r="158" spans="1:31" ht="17.100000000000001" customHeight="1">
      <c r="A158" s="104" t="str">
        <f t="shared" si="4"/>
        <v>-</v>
      </c>
      <c r="B158" s="215"/>
      <c r="C158" s="218"/>
      <c r="D158" s="59"/>
      <c r="E158" s="60"/>
      <c r="F158" s="217"/>
      <c r="G158" s="217"/>
      <c r="H158" s="46"/>
      <c r="I158" s="217"/>
      <c r="J158" s="217"/>
      <c r="K158" s="46"/>
      <c r="L158" s="125"/>
      <c r="M158" s="125"/>
      <c r="N158" s="125"/>
      <c r="O158" s="125"/>
      <c r="P158" s="125"/>
      <c r="Q158" s="125"/>
      <c r="R158" s="125"/>
      <c r="S158" s="125"/>
      <c r="T158" s="125"/>
      <c r="U158" s="125"/>
      <c r="V158" s="33"/>
      <c r="W158" s="33"/>
      <c r="X158" s="33"/>
      <c r="Y158" s="33"/>
      <c r="Z158" s="33"/>
      <c r="AA158" s="33"/>
      <c r="AB158" s="33"/>
      <c r="AC158" s="33"/>
      <c r="AD158" s="33"/>
      <c r="AE158" s="20"/>
    </row>
    <row r="159" spans="1:31" ht="17.100000000000001" customHeight="1">
      <c r="A159" s="104" t="str">
        <f t="shared" si="4"/>
        <v>-</v>
      </c>
      <c r="B159" s="215"/>
      <c r="C159" s="218"/>
      <c r="D159" s="59"/>
      <c r="E159" s="60"/>
      <c r="F159" s="217"/>
      <c r="G159" s="217"/>
      <c r="H159" s="46"/>
      <c r="I159" s="217"/>
      <c r="J159" s="217"/>
      <c r="K159" s="46"/>
      <c r="L159" s="125"/>
      <c r="M159" s="125"/>
      <c r="N159" s="125"/>
      <c r="O159" s="125"/>
      <c r="P159" s="125"/>
      <c r="Q159" s="125"/>
      <c r="R159" s="125"/>
      <c r="S159" s="125"/>
      <c r="T159" s="125"/>
      <c r="U159" s="125"/>
      <c r="V159" s="33"/>
      <c r="W159" s="33"/>
      <c r="X159" s="33"/>
      <c r="Y159" s="33"/>
      <c r="Z159" s="33"/>
      <c r="AA159" s="33"/>
      <c r="AB159" s="33"/>
      <c r="AC159" s="33"/>
      <c r="AD159" s="33"/>
      <c r="AE159" s="20"/>
    </row>
    <row r="160" spans="1:31" ht="17.100000000000001" customHeight="1">
      <c r="A160" s="104" t="str">
        <f t="shared" si="4"/>
        <v>-</v>
      </c>
      <c r="B160" s="215"/>
      <c r="C160" s="218"/>
      <c r="D160" s="59"/>
      <c r="E160" s="60"/>
      <c r="F160" s="217"/>
      <c r="G160" s="217"/>
      <c r="H160" s="46"/>
      <c r="I160" s="217"/>
      <c r="J160" s="217"/>
      <c r="K160" s="46"/>
      <c r="L160" s="125"/>
      <c r="M160" s="125"/>
      <c r="N160" s="125"/>
      <c r="O160" s="125"/>
      <c r="P160" s="125"/>
      <c r="Q160" s="125"/>
      <c r="R160" s="125"/>
      <c r="S160" s="125"/>
      <c r="T160" s="125"/>
      <c r="U160" s="125"/>
      <c r="V160" s="33"/>
      <c r="W160" s="33"/>
      <c r="X160" s="33"/>
      <c r="Y160" s="33"/>
      <c r="Z160" s="33"/>
      <c r="AA160" s="33"/>
      <c r="AB160" s="33"/>
      <c r="AC160" s="33"/>
      <c r="AD160" s="33"/>
      <c r="AE160" s="20"/>
    </row>
    <row r="161" spans="1:31" ht="17.100000000000001" customHeight="1">
      <c r="A161" s="104" t="str">
        <f t="shared" si="4"/>
        <v>-</v>
      </c>
      <c r="B161" s="215"/>
      <c r="C161" s="218"/>
      <c r="D161" s="59"/>
      <c r="E161" s="60"/>
      <c r="F161" s="217"/>
      <c r="G161" s="217"/>
      <c r="H161" s="46"/>
      <c r="I161" s="217"/>
      <c r="J161" s="217"/>
      <c r="K161" s="46"/>
      <c r="L161" s="125"/>
      <c r="M161" s="125"/>
      <c r="N161" s="125"/>
      <c r="O161" s="125"/>
      <c r="P161" s="125"/>
      <c r="Q161" s="125"/>
      <c r="R161" s="125"/>
      <c r="S161" s="125"/>
      <c r="T161" s="125"/>
      <c r="U161" s="125"/>
      <c r="V161" s="33"/>
      <c r="W161" s="33"/>
      <c r="X161" s="33"/>
      <c r="Y161" s="33"/>
      <c r="Z161" s="33"/>
      <c r="AA161" s="33"/>
      <c r="AB161" s="33"/>
      <c r="AC161" s="33"/>
      <c r="AD161" s="33"/>
      <c r="AE161" s="20"/>
    </row>
    <row r="162" spans="1:31" ht="17.100000000000001" customHeight="1">
      <c r="A162" s="104" t="str">
        <f t="shared" si="4"/>
        <v>-</v>
      </c>
      <c r="B162" s="215"/>
      <c r="C162" s="218"/>
      <c r="D162" s="59"/>
      <c r="E162" s="60"/>
      <c r="F162" s="217"/>
      <c r="G162" s="217"/>
      <c r="H162" s="46"/>
      <c r="I162" s="217"/>
      <c r="J162" s="217"/>
      <c r="K162" s="46"/>
      <c r="L162" s="125"/>
      <c r="M162" s="125"/>
      <c r="N162" s="125"/>
      <c r="O162" s="125"/>
      <c r="P162" s="125"/>
      <c r="Q162" s="125"/>
      <c r="R162" s="125"/>
      <c r="S162" s="125"/>
      <c r="T162" s="125"/>
      <c r="U162" s="125"/>
      <c r="V162" s="33"/>
      <c r="W162" s="33"/>
      <c r="X162" s="33"/>
      <c r="Y162" s="33"/>
      <c r="Z162" s="33"/>
      <c r="AA162" s="33"/>
      <c r="AB162" s="33"/>
      <c r="AC162" s="33"/>
      <c r="AD162" s="33"/>
      <c r="AE162" s="20"/>
    </row>
    <row r="163" spans="1:31" ht="17.100000000000001" customHeight="1">
      <c r="A163" s="104" t="str">
        <f t="shared" si="4"/>
        <v>-</v>
      </c>
      <c r="B163" s="215"/>
      <c r="C163" s="218"/>
      <c r="D163" s="59"/>
      <c r="E163" s="60"/>
      <c r="F163" s="217"/>
      <c r="G163" s="217"/>
      <c r="H163" s="46"/>
      <c r="I163" s="217"/>
      <c r="J163" s="217"/>
      <c r="K163" s="46"/>
      <c r="L163" s="125"/>
      <c r="M163" s="125"/>
      <c r="N163" s="125"/>
      <c r="O163" s="125"/>
      <c r="P163" s="125"/>
      <c r="Q163" s="125"/>
      <c r="R163" s="125"/>
      <c r="S163" s="125"/>
      <c r="T163" s="125"/>
      <c r="U163" s="125"/>
      <c r="V163" s="33"/>
      <c r="W163" s="33"/>
      <c r="X163" s="33"/>
      <c r="Y163" s="33"/>
      <c r="Z163" s="33"/>
      <c r="AA163" s="33"/>
      <c r="AB163" s="33"/>
      <c r="AC163" s="33"/>
      <c r="AD163" s="33"/>
      <c r="AE163" s="20"/>
    </row>
    <row r="164" spans="1:31" ht="17.100000000000001" customHeight="1">
      <c r="A164" s="104" t="str">
        <f t="shared" si="4"/>
        <v>-</v>
      </c>
      <c r="B164" s="215"/>
      <c r="C164" s="218"/>
      <c r="D164" s="59"/>
      <c r="E164" s="60"/>
      <c r="F164" s="217"/>
      <c r="G164" s="217"/>
      <c r="H164" s="46"/>
      <c r="I164" s="217"/>
      <c r="J164" s="217"/>
      <c r="K164" s="46"/>
      <c r="L164" s="125"/>
      <c r="M164" s="125"/>
      <c r="N164" s="125"/>
      <c r="O164" s="125"/>
      <c r="P164" s="125"/>
      <c r="Q164" s="125"/>
      <c r="R164" s="125"/>
      <c r="S164" s="125"/>
      <c r="T164" s="125"/>
      <c r="U164" s="125"/>
      <c r="V164" s="33"/>
      <c r="W164" s="33"/>
      <c r="X164" s="33"/>
      <c r="Y164" s="33"/>
      <c r="Z164" s="33"/>
      <c r="AA164" s="33"/>
      <c r="AB164" s="33"/>
      <c r="AC164" s="33"/>
      <c r="AD164" s="33"/>
      <c r="AE164" s="20"/>
    </row>
    <row r="165" spans="1:31" ht="17.100000000000001" customHeight="1">
      <c r="A165" s="104" t="str">
        <f t="shared" si="4"/>
        <v>-</v>
      </c>
      <c r="B165" s="215"/>
      <c r="C165" s="218"/>
      <c r="D165" s="59"/>
      <c r="E165" s="60"/>
      <c r="F165" s="217"/>
      <c r="G165" s="217"/>
      <c r="H165" s="46"/>
      <c r="I165" s="217"/>
      <c r="J165" s="217"/>
      <c r="K165" s="46"/>
      <c r="L165" s="125"/>
      <c r="M165" s="125"/>
      <c r="N165" s="125"/>
      <c r="O165" s="125"/>
      <c r="P165" s="125"/>
      <c r="Q165" s="125"/>
      <c r="R165" s="125"/>
      <c r="S165" s="125"/>
      <c r="T165" s="125"/>
      <c r="U165" s="125"/>
      <c r="V165" s="33"/>
      <c r="W165" s="33"/>
      <c r="X165" s="33"/>
      <c r="Y165" s="33"/>
      <c r="Z165" s="33"/>
      <c r="AA165" s="33"/>
      <c r="AB165" s="33"/>
      <c r="AC165" s="33"/>
      <c r="AD165" s="33"/>
      <c r="AE165" s="20"/>
    </row>
    <row r="166" spans="1:31" ht="17.100000000000001" customHeight="1">
      <c r="A166" s="104" t="str">
        <f t="shared" si="4"/>
        <v>-</v>
      </c>
      <c r="B166" s="215"/>
      <c r="C166" s="218"/>
      <c r="D166" s="59"/>
      <c r="E166" s="60"/>
      <c r="F166" s="217"/>
      <c r="G166" s="217"/>
      <c r="H166" s="46"/>
      <c r="I166" s="217"/>
      <c r="J166" s="217"/>
      <c r="K166" s="46"/>
      <c r="L166" s="125"/>
      <c r="M166" s="125"/>
      <c r="N166" s="125"/>
      <c r="O166" s="125"/>
      <c r="P166" s="125"/>
      <c r="Q166" s="125"/>
      <c r="R166" s="125"/>
      <c r="S166" s="125"/>
      <c r="T166" s="125"/>
      <c r="U166" s="125"/>
      <c r="V166" s="33"/>
      <c r="W166" s="33"/>
      <c r="X166" s="33"/>
      <c r="Y166" s="33"/>
      <c r="Z166" s="33"/>
      <c r="AA166" s="33"/>
      <c r="AB166" s="33"/>
      <c r="AC166" s="33"/>
      <c r="AD166" s="33"/>
      <c r="AE166" s="20"/>
    </row>
    <row r="167" spans="1:31" ht="17.100000000000001" customHeight="1">
      <c r="A167" s="104" t="str">
        <f t="shared" si="4"/>
        <v>-</v>
      </c>
      <c r="B167" s="215"/>
      <c r="C167" s="218"/>
      <c r="D167" s="59"/>
      <c r="E167" s="60"/>
      <c r="F167" s="217"/>
      <c r="G167" s="217"/>
      <c r="H167" s="46"/>
      <c r="I167" s="217"/>
      <c r="J167" s="217"/>
      <c r="K167" s="46"/>
      <c r="L167" s="125"/>
      <c r="M167" s="125"/>
      <c r="N167" s="125"/>
      <c r="O167" s="125"/>
      <c r="P167" s="125"/>
      <c r="Q167" s="125"/>
      <c r="R167" s="125"/>
      <c r="S167" s="125"/>
      <c r="T167" s="125"/>
      <c r="U167" s="125"/>
      <c r="V167" s="33"/>
      <c r="W167" s="33"/>
      <c r="X167" s="33"/>
      <c r="Y167" s="33"/>
      <c r="Z167" s="33"/>
      <c r="AA167" s="33"/>
      <c r="AB167" s="33"/>
      <c r="AC167" s="33"/>
      <c r="AD167" s="33"/>
      <c r="AE167" s="20"/>
    </row>
    <row r="168" spans="1:31" ht="17.100000000000001" customHeight="1">
      <c r="A168" s="104" t="str">
        <f t="shared" si="4"/>
        <v>-</v>
      </c>
      <c r="B168" s="215"/>
      <c r="C168" s="218"/>
      <c r="D168" s="59"/>
      <c r="E168" s="60"/>
      <c r="F168" s="217"/>
      <c r="G168" s="217"/>
      <c r="H168" s="46"/>
      <c r="I168" s="217"/>
      <c r="J168" s="217"/>
      <c r="K168" s="46"/>
      <c r="L168" s="125"/>
      <c r="M168" s="125"/>
      <c r="N168" s="125"/>
      <c r="O168" s="125"/>
      <c r="P168" s="125"/>
      <c r="Q168" s="125"/>
      <c r="R168" s="125"/>
      <c r="S168" s="125"/>
      <c r="T168" s="125"/>
      <c r="U168" s="125"/>
      <c r="V168" s="33"/>
      <c r="W168" s="33"/>
      <c r="X168" s="33"/>
      <c r="Y168" s="33"/>
      <c r="Z168" s="33"/>
      <c r="AA168" s="33"/>
      <c r="AB168" s="33"/>
      <c r="AC168" s="33"/>
      <c r="AD168" s="33"/>
      <c r="AE168" s="20"/>
    </row>
    <row r="169" spans="1:31" ht="17.100000000000001" customHeight="1">
      <c r="A169" s="104" t="str">
        <f t="shared" si="4"/>
        <v>-</v>
      </c>
      <c r="B169" s="215"/>
      <c r="C169" s="218"/>
      <c r="D169" s="59"/>
      <c r="E169" s="60"/>
      <c r="F169" s="217"/>
      <c r="G169" s="217"/>
      <c r="H169" s="46"/>
      <c r="I169" s="217"/>
      <c r="J169" s="217"/>
      <c r="K169" s="46"/>
      <c r="L169" s="125"/>
      <c r="M169" s="125"/>
      <c r="N169" s="125"/>
      <c r="O169" s="125"/>
      <c r="P169" s="125"/>
      <c r="Q169" s="125"/>
      <c r="R169" s="125"/>
      <c r="S169" s="125"/>
      <c r="T169" s="125"/>
      <c r="U169" s="125"/>
      <c r="V169" s="33"/>
      <c r="W169" s="33"/>
      <c r="X169" s="33"/>
      <c r="Y169" s="33"/>
      <c r="Z169" s="33"/>
      <c r="AA169" s="33"/>
      <c r="AB169" s="33"/>
      <c r="AC169" s="33"/>
      <c r="AD169" s="33"/>
      <c r="AE169" s="20"/>
    </row>
    <row r="170" spans="1:31" ht="17.100000000000001" customHeight="1">
      <c r="A170" s="104" t="str">
        <f t="shared" si="4"/>
        <v>-</v>
      </c>
      <c r="B170" s="215"/>
      <c r="C170" s="218"/>
      <c r="D170" s="59"/>
      <c r="E170" s="60"/>
      <c r="F170" s="217"/>
      <c r="G170" s="217"/>
      <c r="H170" s="46"/>
      <c r="I170" s="217"/>
      <c r="J170" s="217"/>
      <c r="K170" s="46"/>
      <c r="L170" s="125"/>
      <c r="M170" s="125"/>
      <c r="N170" s="125"/>
      <c r="O170" s="125"/>
      <c r="P170" s="125"/>
      <c r="Q170" s="125"/>
      <c r="R170" s="125"/>
      <c r="S170" s="125"/>
      <c r="T170" s="125"/>
      <c r="U170" s="125"/>
      <c r="V170" s="33"/>
      <c r="W170" s="33"/>
      <c r="X170" s="33"/>
      <c r="Y170" s="33"/>
      <c r="Z170" s="33"/>
      <c r="AA170" s="33"/>
      <c r="AB170" s="33"/>
      <c r="AC170" s="33"/>
      <c r="AD170" s="33"/>
      <c r="AE170" s="20"/>
    </row>
    <row r="171" spans="1:31" ht="17.100000000000001" customHeight="1">
      <c r="A171" s="104" t="str">
        <f t="shared" si="4"/>
        <v>-</v>
      </c>
      <c r="B171" s="215"/>
      <c r="C171" s="218"/>
      <c r="D171" s="59"/>
      <c r="E171" s="60"/>
      <c r="F171" s="217"/>
      <c r="G171" s="217"/>
      <c r="H171" s="46"/>
      <c r="I171" s="217"/>
      <c r="J171" s="217"/>
      <c r="K171" s="46"/>
      <c r="L171" s="125"/>
      <c r="M171" s="125"/>
      <c r="N171" s="125"/>
      <c r="O171" s="125"/>
      <c r="P171" s="125"/>
      <c r="Q171" s="125"/>
      <c r="R171" s="125"/>
      <c r="S171" s="125"/>
      <c r="T171" s="125"/>
      <c r="U171" s="125"/>
      <c r="V171" s="33"/>
      <c r="W171" s="33"/>
      <c r="X171" s="33"/>
      <c r="Y171" s="33"/>
      <c r="Z171" s="33"/>
      <c r="AA171" s="33"/>
      <c r="AB171" s="33"/>
      <c r="AC171" s="33"/>
      <c r="AD171" s="33"/>
      <c r="AE171" s="20"/>
    </row>
    <row r="172" spans="1:31" ht="17.100000000000001" customHeight="1">
      <c r="A172" s="104" t="str">
        <f t="shared" si="4"/>
        <v>-</v>
      </c>
      <c r="B172" s="215"/>
      <c r="C172" s="218"/>
      <c r="D172" s="59"/>
      <c r="E172" s="60"/>
      <c r="F172" s="217"/>
      <c r="G172" s="217"/>
      <c r="H172" s="46"/>
      <c r="I172" s="217"/>
      <c r="J172" s="217"/>
      <c r="K172" s="46"/>
      <c r="L172" s="125"/>
      <c r="M172" s="125"/>
      <c r="N172" s="125"/>
      <c r="O172" s="125"/>
      <c r="P172" s="125"/>
      <c r="Q172" s="125"/>
      <c r="R172" s="125"/>
      <c r="S172" s="125"/>
      <c r="T172" s="125"/>
      <c r="U172" s="125"/>
      <c r="V172" s="33"/>
      <c r="W172" s="33"/>
      <c r="X172" s="33"/>
      <c r="Y172" s="33"/>
      <c r="Z172" s="33"/>
      <c r="AA172" s="33"/>
      <c r="AB172" s="33"/>
      <c r="AC172" s="33"/>
      <c r="AD172" s="33"/>
      <c r="AE172" s="20"/>
    </row>
    <row r="173" spans="1:31" ht="17.100000000000001" customHeight="1">
      <c r="A173" s="104" t="str">
        <f t="shared" si="4"/>
        <v>-</v>
      </c>
      <c r="B173" s="215"/>
      <c r="C173" s="218"/>
      <c r="D173" s="59"/>
      <c r="E173" s="60"/>
      <c r="F173" s="217"/>
      <c r="G173" s="217"/>
      <c r="H173" s="46"/>
      <c r="I173" s="217"/>
      <c r="J173" s="217"/>
      <c r="K173" s="46"/>
      <c r="L173" s="125"/>
      <c r="M173" s="125"/>
      <c r="N173" s="125"/>
      <c r="O173" s="125"/>
      <c r="P173" s="125"/>
      <c r="Q173" s="125"/>
      <c r="R173" s="125"/>
      <c r="S173" s="125"/>
      <c r="T173" s="125"/>
      <c r="U173" s="125"/>
      <c r="V173" s="33"/>
      <c r="W173" s="33"/>
      <c r="X173" s="33"/>
      <c r="Y173" s="33"/>
      <c r="Z173" s="33"/>
      <c r="AA173" s="33"/>
      <c r="AB173" s="33"/>
      <c r="AC173" s="33"/>
      <c r="AD173" s="33"/>
      <c r="AE173" s="20"/>
    </row>
    <row r="174" spans="1:31" ht="17.100000000000001" customHeight="1">
      <c r="A174" s="104" t="str">
        <f t="shared" si="4"/>
        <v>-</v>
      </c>
      <c r="B174" s="215"/>
      <c r="C174" s="218"/>
      <c r="D174" s="59"/>
      <c r="E174" s="60"/>
      <c r="F174" s="217"/>
      <c r="G174" s="217"/>
      <c r="H174" s="46"/>
      <c r="I174" s="217"/>
      <c r="J174" s="217"/>
      <c r="K174" s="46"/>
      <c r="L174" s="125"/>
      <c r="M174" s="125"/>
      <c r="N174" s="125"/>
      <c r="O174" s="125"/>
      <c r="P174" s="125"/>
      <c r="Q174" s="125"/>
      <c r="R174" s="125"/>
      <c r="S174" s="125"/>
      <c r="T174" s="125"/>
      <c r="U174" s="125"/>
      <c r="V174" s="33"/>
      <c r="W174" s="33"/>
      <c r="X174" s="33"/>
      <c r="Y174" s="33"/>
      <c r="Z174" s="33"/>
      <c r="AA174" s="33"/>
      <c r="AB174" s="33"/>
      <c r="AC174" s="33"/>
      <c r="AD174" s="33"/>
      <c r="AE174" s="20"/>
    </row>
    <row r="175" spans="1:31" ht="17.100000000000001" customHeight="1">
      <c r="A175" s="104" t="str">
        <f t="shared" ref="A175:A206" si="5">IF(ROW(A175)-ROW($A$15)+EmissionStartYear&gt;=SimulationEnds,"-",ROW(A175)-ROW($A$15)+EmissionStartYear)</f>
        <v>-</v>
      </c>
      <c r="B175" s="215"/>
      <c r="C175" s="218"/>
      <c r="D175" s="59"/>
      <c r="E175" s="60"/>
      <c r="F175" s="217"/>
      <c r="G175" s="217"/>
      <c r="H175" s="46"/>
      <c r="I175" s="217"/>
      <c r="J175" s="217"/>
      <c r="K175" s="46"/>
      <c r="L175" s="125"/>
      <c r="M175" s="125"/>
      <c r="N175" s="125"/>
      <c r="O175" s="125"/>
      <c r="P175" s="125"/>
      <c r="Q175" s="125"/>
      <c r="R175" s="125"/>
      <c r="S175" s="125"/>
      <c r="T175" s="125"/>
      <c r="U175" s="125"/>
      <c r="V175" s="33"/>
      <c r="W175" s="33"/>
      <c r="X175" s="33"/>
      <c r="Y175" s="33"/>
      <c r="Z175" s="33"/>
      <c r="AA175" s="33"/>
      <c r="AB175" s="33"/>
      <c r="AC175" s="33"/>
      <c r="AD175" s="33"/>
      <c r="AE175" s="20"/>
    </row>
    <row r="176" spans="1:31" ht="17.100000000000001" customHeight="1">
      <c r="A176" s="104" t="str">
        <f t="shared" si="5"/>
        <v>-</v>
      </c>
      <c r="B176" s="215"/>
      <c r="C176" s="218"/>
      <c r="D176" s="59"/>
      <c r="E176" s="60"/>
      <c r="F176" s="217"/>
      <c r="G176" s="217"/>
      <c r="H176" s="46"/>
      <c r="I176" s="217"/>
      <c r="J176" s="217"/>
      <c r="K176" s="46"/>
      <c r="L176" s="125"/>
      <c r="M176" s="125"/>
      <c r="N176" s="125"/>
      <c r="O176" s="125"/>
      <c r="P176" s="125"/>
      <c r="Q176" s="125"/>
      <c r="R176" s="125"/>
      <c r="S176" s="125"/>
      <c r="T176" s="125"/>
      <c r="U176" s="125"/>
      <c r="V176" s="33"/>
      <c r="W176" s="33"/>
      <c r="X176" s="33"/>
      <c r="Y176" s="33"/>
      <c r="Z176" s="33"/>
      <c r="AA176" s="33"/>
      <c r="AB176" s="33"/>
      <c r="AC176" s="33"/>
      <c r="AD176" s="33"/>
      <c r="AE176" s="20"/>
    </row>
    <row r="177" spans="1:31" ht="17.100000000000001" customHeight="1">
      <c r="A177" s="104" t="str">
        <f t="shared" si="5"/>
        <v>-</v>
      </c>
      <c r="B177" s="215"/>
      <c r="C177" s="218"/>
      <c r="D177" s="59"/>
      <c r="E177" s="60"/>
      <c r="F177" s="217"/>
      <c r="G177" s="217"/>
      <c r="H177" s="46"/>
      <c r="I177" s="217"/>
      <c r="J177" s="217"/>
      <c r="K177" s="46"/>
      <c r="L177" s="125"/>
      <c r="M177" s="125"/>
      <c r="N177" s="125"/>
      <c r="O177" s="125"/>
      <c r="P177" s="125"/>
      <c r="Q177" s="125"/>
      <c r="R177" s="125"/>
      <c r="S177" s="125"/>
      <c r="T177" s="125"/>
      <c r="U177" s="125"/>
      <c r="V177" s="33"/>
      <c r="W177" s="33"/>
      <c r="X177" s="33"/>
      <c r="Y177" s="33"/>
      <c r="Z177" s="33"/>
      <c r="AA177" s="33"/>
      <c r="AB177" s="33"/>
      <c r="AC177" s="33"/>
      <c r="AD177" s="33"/>
      <c r="AE177" s="20"/>
    </row>
    <row r="178" spans="1:31" ht="17.100000000000001" customHeight="1">
      <c r="A178" s="104" t="str">
        <f t="shared" si="5"/>
        <v>-</v>
      </c>
      <c r="B178" s="215"/>
      <c r="C178" s="218"/>
      <c r="D178" s="59"/>
      <c r="E178" s="60"/>
      <c r="F178" s="217"/>
      <c r="G178" s="217"/>
      <c r="H178" s="46"/>
      <c r="I178" s="217"/>
      <c r="J178" s="217"/>
      <c r="K178" s="46"/>
      <c r="L178" s="125"/>
      <c r="M178" s="125"/>
      <c r="N178" s="125"/>
      <c r="O178" s="125"/>
      <c r="P178" s="125"/>
      <c r="Q178" s="125"/>
      <c r="R178" s="125"/>
      <c r="S178" s="125"/>
      <c r="T178" s="125"/>
      <c r="U178" s="125"/>
      <c r="V178" s="33"/>
      <c r="W178" s="33"/>
      <c r="X178" s="33"/>
      <c r="Y178" s="33"/>
      <c r="Z178" s="33"/>
      <c r="AA178" s="33"/>
      <c r="AB178" s="33"/>
      <c r="AC178" s="33"/>
      <c r="AD178" s="33"/>
      <c r="AE178" s="20"/>
    </row>
    <row r="179" spans="1:31" ht="17.100000000000001" customHeight="1">
      <c r="A179" s="104" t="str">
        <f t="shared" si="5"/>
        <v>-</v>
      </c>
      <c r="B179" s="215"/>
      <c r="C179" s="218"/>
      <c r="D179" s="59"/>
      <c r="E179" s="60"/>
      <c r="F179" s="217"/>
      <c r="G179" s="217"/>
      <c r="H179" s="46"/>
      <c r="I179" s="217"/>
      <c r="J179" s="217"/>
      <c r="K179" s="46"/>
      <c r="L179" s="125"/>
      <c r="M179" s="125"/>
      <c r="N179" s="125"/>
      <c r="O179" s="125"/>
      <c r="P179" s="125"/>
      <c r="Q179" s="125"/>
      <c r="R179" s="125"/>
      <c r="S179" s="125"/>
      <c r="T179" s="125"/>
      <c r="U179" s="125"/>
      <c r="V179" s="33"/>
      <c r="W179" s="33"/>
      <c r="X179" s="33"/>
      <c r="Y179" s="33"/>
      <c r="Z179" s="33"/>
      <c r="AA179" s="33"/>
      <c r="AB179" s="33"/>
      <c r="AC179" s="33"/>
      <c r="AD179" s="33"/>
      <c r="AE179" s="20"/>
    </row>
    <row r="180" spans="1:31" ht="17.100000000000001" customHeight="1">
      <c r="A180" s="104" t="str">
        <f t="shared" si="5"/>
        <v>-</v>
      </c>
      <c r="B180" s="215"/>
      <c r="C180" s="218"/>
      <c r="D180" s="59"/>
      <c r="E180" s="60"/>
      <c r="F180" s="217"/>
      <c r="G180" s="217"/>
      <c r="H180" s="46"/>
      <c r="I180" s="217"/>
      <c r="J180" s="217"/>
      <c r="K180" s="46"/>
      <c r="L180" s="125"/>
      <c r="M180" s="125"/>
      <c r="N180" s="125"/>
      <c r="O180" s="125"/>
      <c r="P180" s="125"/>
      <c r="Q180" s="125"/>
      <c r="R180" s="125"/>
      <c r="S180" s="125"/>
      <c r="T180" s="125"/>
      <c r="U180" s="125"/>
      <c r="V180" s="33"/>
      <c r="W180" s="33"/>
      <c r="X180" s="33"/>
      <c r="Y180" s="33"/>
      <c r="Z180" s="33"/>
      <c r="AA180" s="33"/>
      <c r="AB180" s="33"/>
      <c r="AC180" s="33"/>
      <c r="AD180" s="33"/>
      <c r="AE180" s="20"/>
    </row>
    <row r="181" spans="1:31" ht="17.100000000000001" customHeight="1">
      <c r="A181" s="104" t="str">
        <f t="shared" si="5"/>
        <v>-</v>
      </c>
      <c r="B181" s="215"/>
      <c r="C181" s="218"/>
      <c r="D181" s="59"/>
      <c r="E181" s="60"/>
      <c r="F181" s="217"/>
      <c r="G181" s="217"/>
      <c r="H181" s="46"/>
      <c r="I181" s="217"/>
      <c r="J181" s="217"/>
      <c r="K181" s="46"/>
      <c r="L181" s="125"/>
      <c r="M181" s="125"/>
      <c r="N181" s="125"/>
      <c r="O181" s="125"/>
      <c r="P181" s="125"/>
      <c r="Q181" s="125"/>
      <c r="R181" s="125"/>
      <c r="S181" s="125"/>
      <c r="T181" s="125"/>
      <c r="U181" s="125"/>
      <c r="V181" s="33"/>
      <c r="W181" s="33"/>
      <c r="X181" s="33"/>
      <c r="Y181" s="33"/>
      <c r="Z181" s="33"/>
      <c r="AA181" s="33"/>
      <c r="AB181" s="33"/>
      <c r="AC181" s="33"/>
      <c r="AD181" s="33"/>
      <c r="AE181" s="20"/>
    </row>
    <row r="182" spans="1:31" ht="17.100000000000001" customHeight="1">
      <c r="A182" s="104" t="str">
        <f t="shared" si="5"/>
        <v>-</v>
      </c>
      <c r="B182" s="215"/>
      <c r="C182" s="218"/>
      <c r="D182" s="59"/>
      <c r="E182" s="60"/>
      <c r="F182" s="217"/>
      <c r="G182" s="217"/>
      <c r="H182" s="46"/>
      <c r="I182" s="217"/>
      <c r="J182" s="217"/>
      <c r="K182" s="46"/>
      <c r="L182" s="125"/>
      <c r="M182" s="125"/>
      <c r="N182" s="125"/>
      <c r="O182" s="125"/>
      <c r="P182" s="125"/>
      <c r="Q182" s="125"/>
      <c r="R182" s="125"/>
      <c r="S182" s="125"/>
      <c r="T182" s="125"/>
      <c r="U182" s="125"/>
      <c r="V182" s="33"/>
      <c r="W182" s="33"/>
      <c r="X182" s="33"/>
      <c r="Y182" s="33"/>
      <c r="Z182" s="33"/>
      <c r="AA182" s="33"/>
      <c r="AB182" s="33"/>
      <c r="AC182" s="33"/>
      <c r="AD182" s="33"/>
      <c r="AE182" s="20"/>
    </row>
    <row r="183" spans="1:31" ht="17.100000000000001" customHeight="1">
      <c r="A183" s="104" t="str">
        <f t="shared" si="5"/>
        <v>-</v>
      </c>
      <c r="B183" s="215"/>
      <c r="C183" s="218"/>
      <c r="D183" s="59"/>
      <c r="E183" s="60"/>
      <c r="F183" s="217"/>
      <c r="G183" s="217"/>
      <c r="H183" s="46"/>
      <c r="I183" s="217"/>
      <c r="J183" s="217"/>
      <c r="K183" s="46"/>
      <c r="L183" s="125"/>
      <c r="M183" s="125"/>
      <c r="N183" s="125"/>
      <c r="O183" s="125"/>
      <c r="P183" s="125"/>
      <c r="Q183" s="125"/>
      <c r="R183" s="125"/>
      <c r="S183" s="125"/>
      <c r="T183" s="125"/>
      <c r="U183" s="125"/>
      <c r="V183" s="33"/>
      <c r="W183" s="33"/>
      <c r="X183" s="33"/>
      <c r="Y183" s="33"/>
      <c r="Z183" s="33"/>
      <c r="AA183" s="33"/>
      <c r="AB183" s="33"/>
      <c r="AC183" s="33"/>
      <c r="AD183" s="33"/>
      <c r="AE183" s="20"/>
    </row>
    <row r="184" spans="1:31" ht="17.100000000000001" customHeight="1">
      <c r="A184" s="104" t="str">
        <f t="shared" si="5"/>
        <v>-</v>
      </c>
      <c r="B184" s="215"/>
      <c r="C184" s="218"/>
      <c r="D184" s="59"/>
      <c r="E184" s="60"/>
      <c r="F184" s="217"/>
      <c r="G184" s="217"/>
      <c r="H184" s="46"/>
      <c r="I184" s="217"/>
      <c r="J184" s="217"/>
      <c r="K184" s="46"/>
      <c r="L184" s="125"/>
      <c r="M184" s="125"/>
      <c r="N184" s="125"/>
      <c r="O184" s="125"/>
      <c r="P184" s="125"/>
      <c r="Q184" s="125"/>
      <c r="R184" s="125"/>
      <c r="S184" s="125"/>
      <c r="T184" s="125"/>
      <c r="U184" s="125"/>
      <c r="V184" s="33"/>
      <c r="W184" s="33"/>
      <c r="X184" s="33"/>
      <c r="Y184" s="33"/>
      <c r="Z184" s="33"/>
      <c r="AA184" s="33"/>
      <c r="AB184" s="33"/>
      <c r="AC184" s="33"/>
      <c r="AD184" s="33"/>
      <c r="AE184" s="20"/>
    </row>
    <row r="185" spans="1:31" ht="17.100000000000001" customHeight="1">
      <c r="A185" s="104" t="str">
        <f t="shared" si="5"/>
        <v>-</v>
      </c>
      <c r="B185" s="215"/>
      <c r="C185" s="218"/>
      <c r="D185" s="59"/>
      <c r="E185" s="60"/>
      <c r="F185" s="217"/>
      <c r="G185" s="217"/>
      <c r="H185" s="46"/>
      <c r="I185" s="217"/>
      <c r="J185" s="217"/>
      <c r="K185" s="46"/>
      <c r="L185" s="125"/>
      <c r="M185" s="125"/>
      <c r="N185" s="125"/>
      <c r="O185" s="125"/>
      <c r="P185" s="125"/>
      <c r="Q185" s="125"/>
      <c r="R185" s="125"/>
      <c r="S185" s="125"/>
      <c r="T185" s="125"/>
      <c r="U185" s="125"/>
      <c r="V185" s="33"/>
      <c r="W185" s="33"/>
      <c r="X185" s="33"/>
      <c r="Y185" s="33"/>
      <c r="Z185" s="33"/>
      <c r="AA185" s="33"/>
      <c r="AB185" s="33"/>
      <c r="AC185" s="33"/>
      <c r="AD185" s="33"/>
      <c r="AE185" s="20"/>
    </row>
    <row r="186" spans="1:31" ht="17.100000000000001" customHeight="1">
      <c r="A186" s="104" t="str">
        <f t="shared" si="5"/>
        <v>-</v>
      </c>
      <c r="B186" s="215"/>
      <c r="C186" s="218"/>
      <c r="D186" s="59"/>
      <c r="E186" s="60"/>
      <c r="F186" s="217"/>
      <c r="G186" s="217"/>
      <c r="H186" s="46"/>
      <c r="I186" s="217"/>
      <c r="J186" s="217"/>
      <c r="K186" s="46"/>
      <c r="L186" s="125"/>
      <c r="M186" s="125"/>
      <c r="N186" s="125"/>
      <c r="O186" s="125"/>
      <c r="P186" s="125"/>
      <c r="Q186" s="125"/>
      <c r="R186" s="125"/>
      <c r="S186" s="125"/>
      <c r="T186" s="125"/>
      <c r="U186" s="125"/>
      <c r="V186" s="33"/>
      <c r="W186" s="33"/>
      <c r="X186" s="33"/>
      <c r="Y186" s="33"/>
      <c r="Z186" s="33"/>
      <c r="AA186" s="33"/>
      <c r="AB186" s="33"/>
      <c r="AC186" s="33"/>
      <c r="AD186" s="33"/>
      <c r="AE186" s="20"/>
    </row>
    <row r="187" spans="1:31" ht="17.100000000000001" customHeight="1">
      <c r="A187" s="104" t="str">
        <f t="shared" si="5"/>
        <v>-</v>
      </c>
      <c r="B187" s="215"/>
      <c r="C187" s="218"/>
      <c r="D187" s="59"/>
      <c r="E187" s="60"/>
      <c r="F187" s="217"/>
      <c r="G187" s="217"/>
      <c r="H187" s="46"/>
      <c r="I187" s="217"/>
      <c r="J187" s="217"/>
      <c r="K187" s="46"/>
      <c r="L187" s="125"/>
      <c r="M187" s="125"/>
      <c r="N187" s="125"/>
      <c r="O187" s="125"/>
      <c r="P187" s="125"/>
      <c r="Q187" s="125"/>
      <c r="R187" s="125"/>
      <c r="S187" s="125"/>
      <c r="T187" s="125"/>
      <c r="U187" s="125"/>
      <c r="V187" s="33"/>
      <c r="W187" s="33"/>
      <c r="X187" s="33"/>
      <c r="Y187" s="33"/>
      <c r="Z187" s="33"/>
      <c r="AA187" s="33"/>
      <c r="AB187" s="33"/>
      <c r="AC187" s="33"/>
      <c r="AD187" s="33"/>
      <c r="AE187" s="20"/>
    </row>
    <row r="188" spans="1:31" ht="17.100000000000001" customHeight="1">
      <c r="A188" s="104" t="str">
        <f t="shared" si="5"/>
        <v>-</v>
      </c>
      <c r="B188" s="215"/>
      <c r="C188" s="218"/>
      <c r="D188" s="59"/>
      <c r="E188" s="60"/>
      <c r="F188" s="217"/>
      <c r="G188" s="217"/>
      <c r="H188" s="46"/>
      <c r="I188" s="217"/>
      <c r="J188" s="217"/>
      <c r="K188" s="46"/>
      <c r="L188" s="125"/>
      <c r="M188" s="125"/>
      <c r="N188" s="125"/>
      <c r="O188" s="125"/>
      <c r="P188" s="125"/>
      <c r="Q188" s="125"/>
      <c r="R188" s="125"/>
      <c r="S188" s="125"/>
      <c r="T188" s="125"/>
      <c r="U188" s="125"/>
      <c r="V188" s="33"/>
      <c r="W188" s="33"/>
      <c r="X188" s="33"/>
      <c r="Y188" s="33"/>
      <c r="Z188" s="33"/>
      <c r="AA188" s="33"/>
      <c r="AB188" s="33"/>
      <c r="AC188" s="33"/>
      <c r="AD188" s="33"/>
      <c r="AE188" s="20"/>
    </row>
    <row r="189" spans="1:31" ht="17.100000000000001" customHeight="1">
      <c r="A189" s="104" t="str">
        <f t="shared" si="5"/>
        <v>-</v>
      </c>
      <c r="B189" s="215"/>
      <c r="C189" s="218"/>
      <c r="D189" s="59"/>
      <c r="E189" s="60"/>
      <c r="F189" s="217"/>
      <c r="G189" s="217"/>
      <c r="H189" s="46"/>
      <c r="I189" s="217"/>
      <c r="J189" s="217"/>
      <c r="K189" s="46"/>
      <c r="L189" s="125"/>
      <c r="M189" s="125"/>
      <c r="N189" s="125"/>
      <c r="O189" s="125"/>
      <c r="P189" s="125"/>
      <c r="Q189" s="125"/>
      <c r="R189" s="125"/>
      <c r="S189" s="125"/>
      <c r="T189" s="125"/>
      <c r="U189" s="125"/>
      <c r="V189" s="33"/>
      <c r="W189" s="33"/>
      <c r="X189" s="33"/>
      <c r="Y189" s="33"/>
      <c r="Z189" s="33"/>
      <c r="AA189" s="33"/>
      <c r="AB189" s="33"/>
      <c r="AC189" s="33"/>
      <c r="AD189" s="33"/>
      <c r="AE189" s="20"/>
    </row>
    <row r="190" spans="1:31" ht="17.100000000000001" customHeight="1">
      <c r="A190" s="104" t="str">
        <f t="shared" si="5"/>
        <v>-</v>
      </c>
      <c r="B190" s="215"/>
      <c r="C190" s="218"/>
      <c r="D190" s="59"/>
      <c r="E190" s="60"/>
      <c r="F190" s="217"/>
      <c r="G190" s="217"/>
      <c r="H190" s="46"/>
      <c r="I190" s="217"/>
      <c r="J190" s="217"/>
      <c r="K190" s="46"/>
      <c r="L190" s="125"/>
      <c r="M190" s="125"/>
      <c r="N190" s="125"/>
      <c r="O190" s="125"/>
      <c r="P190" s="125"/>
      <c r="Q190" s="125"/>
      <c r="R190" s="125"/>
      <c r="S190" s="125"/>
      <c r="T190" s="125"/>
      <c r="U190" s="125"/>
      <c r="V190" s="33"/>
      <c r="W190" s="33"/>
      <c r="X190" s="33"/>
      <c r="Y190" s="33"/>
      <c r="Z190" s="33"/>
      <c r="AA190" s="33"/>
      <c r="AB190" s="33"/>
      <c r="AC190" s="33"/>
      <c r="AD190" s="33"/>
      <c r="AE190" s="20"/>
    </row>
    <row r="191" spans="1:31" ht="17.100000000000001" customHeight="1">
      <c r="A191" s="104" t="str">
        <f t="shared" si="5"/>
        <v>-</v>
      </c>
      <c r="B191" s="215"/>
      <c r="C191" s="218"/>
      <c r="D191" s="59"/>
      <c r="E191" s="60"/>
      <c r="F191" s="217"/>
      <c r="G191" s="217"/>
      <c r="H191" s="46"/>
      <c r="I191" s="217"/>
      <c r="J191" s="217"/>
      <c r="K191" s="46"/>
      <c r="L191" s="125"/>
      <c r="M191" s="125"/>
      <c r="N191" s="125"/>
      <c r="O191" s="125"/>
      <c r="P191" s="125"/>
      <c r="Q191" s="125"/>
      <c r="R191" s="125"/>
      <c r="S191" s="125"/>
      <c r="T191" s="125"/>
      <c r="U191" s="125"/>
      <c r="V191" s="33"/>
      <c r="W191" s="33"/>
      <c r="X191" s="33"/>
      <c r="Y191" s="33"/>
      <c r="Z191" s="33"/>
      <c r="AA191" s="33"/>
      <c r="AB191" s="33"/>
      <c r="AC191" s="33"/>
      <c r="AD191" s="33"/>
      <c r="AE191" s="20"/>
    </row>
    <row r="192" spans="1:31" ht="17.100000000000001" customHeight="1">
      <c r="A192" s="104" t="str">
        <f t="shared" si="5"/>
        <v>-</v>
      </c>
      <c r="B192" s="215"/>
      <c r="C192" s="218"/>
      <c r="D192" s="59"/>
      <c r="E192" s="60"/>
      <c r="F192" s="217"/>
      <c r="G192" s="217"/>
      <c r="H192" s="46"/>
      <c r="I192" s="217"/>
      <c r="J192" s="217"/>
      <c r="K192" s="46"/>
      <c r="L192" s="125"/>
      <c r="M192" s="125"/>
      <c r="N192" s="125"/>
      <c r="O192" s="125"/>
      <c r="P192" s="125"/>
      <c r="Q192" s="125"/>
      <c r="R192" s="125"/>
      <c r="S192" s="125"/>
      <c r="T192" s="125"/>
      <c r="U192" s="125"/>
      <c r="V192" s="33"/>
      <c r="W192" s="33"/>
      <c r="X192" s="33"/>
      <c r="Y192" s="33"/>
      <c r="Z192" s="33"/>
      <c r="AA192" s="33"/>
      <c r="AB192" s="33"/>
      <c r="AC192" s="33"/>
      <c r="AD192" s="33"/>
      <c r="AE192" s="20"/>
    </row>
    <row r="193" spans="1:31" ht="17.100000000000001" customHeight="1">
      <c r="A193" s="104" t="str">
        <f t="shared" si="5"/>
        <v>-</v>
      </c>
      <c r="B193" s="215"/>
      <c r="C193" s="218"/>
      <c r="D193" s="59"/>
      <c r="E193" s="60"/>
      <c r="F193" s="217"/>
      <c r="G193" s="217"/>
      <c r="H193" s="46"/>
      <c r="I193" s="217"/>
      <c r="J193" s="217"/>
      <c r="K193" s="46"/>
      <c r="L193" s="125"/>
      <c r="M193" s="125"/>
      <c r="N193" s="125"/>
      <c r="O193" s="125"/>
      <c r="P193" s="125"/>
      <c r="Q193" s="125"/>
      <c r="R193" s="125"/>
      <c r="S193" s="125"/>
      <c r="T193" s="125"/>
      <c r="U193" s="125"/>
      <c r="V193" s="33"/>
      <c r="W193" s="33"/>
      <c r="X193" s="33"/>
      <c r="Y193" s="33"/>
      <c r="Z193" s="33"/>
      <c r="AA193" s="33"/>
      <c r="AB193" s="33"/>
      <c r="AC193" s="33"/>
      <c r="AD193" s="33"/>
      <c r="AE193" s="20"/>
    </row>
    <row r="194" spans="1:31" ht="17.100000000000001" customHeight="1">
      <c r="A194" s="104" t="str">
        <f t="shared" si="5"/>
        <v>-</v>
      </c>
      <c r="B194" s="215"/>
      <c r="C194" s="218"/>
      <c r="D194" s="59"/>
      <c r="E194" s="60"/>
      <c r="F194" s="217"/>
      <c r="G194" s="217"/>
      <c r="H194" s="46"/>
      <c r="I194" s="217"/>
      <c r="J194" s="217"/>
      <c r="K194" s="46"/>
      <c r="L194" s="125"/>
      <c r="M194" s="125"/>
      <c r="N194" s="125"/>
      <c r="O194" s="125"/>
      <c r="P194" s="125"/>
      <c r="Q194" s="125"/>
      <c r="R194" s="125"/>
      <c r="S194" s="125"/>
      <c r="T194" s="125"/>
      <c r="U194" s="125"/>
      <c r="V194" s="33"/>
      <c r="W194" s="33"/>
      <c r="X194" s="33"/>
      <c r="Y194" s="33"/>
      <c r="Z194" s="33"/>
      <c r="AA194" s="33"/>
      <c r="AB194" s="33"/>
      <c r="AC194" s="33"/>
      <c r="AD194" s="33"/>
      <c r="AE194" s="20"/>
    </row>
    <row r="195" spans="1:31" ht="17.100000000000001" customHeight="1">
      <c r="A195" s="104" t="str">
        <f t="shared" si="5"/>
        <v>-</v>
      </c>
      <c r="B195" s="215"/>
      <c r="C195" s="218"/>
      <c r="D195" s="59"/>
      <c r="E195" s="60"/>
      <c r="F195" s="217"/>
      <c r="G195" s="217"/>
      <c r="H195" s="46"/>
      <c r="I195" s="217"/>
      <c r="J195" s="217"/>
      <c r="K195" s="46"/>
      <c r="L195" s="125"/>
      <c r="M195" s="125"/>
      <c r="N195" s="125"/>
      <c r="O195" s="125"/>
      <c r="P195" s="125"/>
      <c r="Q195" s="125"/>
      <c r="R195" s="125"/>
      <c r="S195" s="125"/>
      <c r="T195" s="125"/>
      <c r="U195" s="125"/>
      <c r="V195" s="33"/>
      <c r="W195" s="33"/>
      <c r="X195" s="33"/>
      <c r="Y195" s="33"/>
      <c r="Z195" s="33"/>
      <c r="AA195" s="33"/>
      <c r="AB195" s="33"/>
      <c r="AC195" s="33"/>
      <c r="AD195" s="33"/>
      <c r="AE195" s="20"/>
    </row>
    <row r="196" spans="1:31" ht="17.100000000000001" customHeight="1">
      <c r="A196" s="104" t="str">
        <f t="shared" si="5"/>
        <v>-</v>
      </c>
      <c r="B196" s="215"/>
      <c r="C196" s="218"/>
      <c r="D196" s="59"/>
      <c r="E196" s="60"/>
      <c r="F196" s="217"/>
      <c r="G196" s="217"/>
      <c r="H196" s="46"/>
      <c r="I196" s="217"/>
      <c r="J196" s="217"/>
      <c r="K196" s="46"/>
      <c r="L196" s="125"/>
      <c r="M196" s="125"/>
      <c r="N196" s="125"/>
      <c r="O196" s="125"/>
      <c r="P196" s="125"/>
      <c r="Q196" s="125"/>
      <c r="R196" s="125"/>
      <c r="S196" s="125"/>
      <c r="T196" s="125"/>
      <c r="U196" s="125"/>
      <c r="V196" s="33"/>
      <c r="W196" s="33"/>
      <c r="X196" s="33"/>
      <c r="Y196" s="33"/>
      <c r="Z196" s="33"/>
      <c r="AA196" s="33"/>
      <c r="AB196" s="33"/>
      <c r="AC196" s="33"/>
      <c r="AD196" s="33"/>
      <c r="AE196" s="20"/>
    </row>
    <row r="197" spans="1:31" ht="17.100000000000001" customHeight="1">
      <c r="A197" s="104" t="str">
        <f t="shared" si="5"/>
        <v>-</v>
      </c>
      <c r="B197" s="215"/>
      <c r="C197" s="218"/>
      <c r="D197" s="59"/>
      <c r="E197" s="60"/>
      <c r="F197" s="217"/>
      <c r="G197" s="217"/>
      <c r="H197" s="46"/>
      <c r="I197" s="217"/>
      <c r="J197" s="217"/>
      <c r="K197" s="46"/>
      <c r="L197" s="125"/>
      <c r="M197" s="125"/>
      <c r="N197" s="125"/>
      <c r="O197" s="125"/>
      <c r="P197" s="125"/>
      <c r="Q197" s="125"/>
      <c r="R197" s="125"/>
      <c r="S197" s="125"/>
      <c r="T197" s="125"/>
      <c r="U197" s="125"/>
      <c r="V197" s="33"/>
      <c r="W197" s="33"/>
      <c r="X197" s="33"/>
      <c r="Y197" s="33"/>
      <c r="Z197" s="33"/>
      <c r="AA197" s="33"/>
      <c r="AB197" s="33"/>
      <c r="AC197" s="33"/>
      <c r="AD197" s="33"/>
      <c r="AE197" s="20"/>
    </row>
    <row r="198" spans="1:31" ht="17.100000000000001" customHeight="1">
      <c r="A198" s="104" t="str">
        <f t="shared" si="5"/>
        <v>-</v>
      </c>
      <c r="B198" s="215"/>
      <c r="C198" s="218"/>
      <c r="D198" s="59"/>
      <c r="E198" s="60"/>
      <c r="F198" s="217"/>
      <c r="G198" s="217"/>
      <c r="H198" s="46"/>
      <c r="I198" s="217"/>
      <c r="J198" s="217"/>
      <c r="K198" s="46"/>
      <c r="L198" s="125"/>
      <c r="M198" s="125"/>
      <c r="N198" s="125"/>
      <c r="O198" s="125"/>
      <c r="P198" s="125"/>
      <c r="Q198" s="125"/>
      <c r="R198" s="125"/>
      <c r="S198" s="125"/>
      <c r="T198" s="125"/>
      <c r="U198" s="125"/>
      <c r="V198" s="33"/>
      <c r="W198" s="33"/>
      <c r="X198" s="33"/>
      <c r="Y198" s="33"/>
      <c r="Z198" s="33"/>
      <c r="AA198" s="33"/>
      <c r="AB198" s="33"/>
      <c r="AC198" s="33"/>
      <c r="AD198" s="33"/>
      <c r="AE198" s="20"/>
    </row>
    <row r="199" spans="1:31" ht="17.100000000000001" customHeight="1">
      <c r="A199" s="104" t="str">
        <f t="shared" si="5"/>
        <v>-</v>
      </c>
      <c r="B199" s="215"/>
      <c r="C199" s="218"/>
      <c r="D199" s="59"/>
      <c r="E199" s="60"/>
      <c r="F199" s="217"/>
      <c r="G199" s="217"/>
      <c r="H199" s="46"/>
      <c r="I199" s="217"/>
      <c r="J199" s="217"/>
      <c r="K199" s="46"/>
      <c r="L199" s="125"/>
      <c r="M199" s="125"/>
      <c r="N199" s="125"/>
      <c r="O199" s="125"/>
      <c r="P199" s="125"/>
      <c r="Q199" s="125"/>
      <c r="R199" s="125"/>
      <c r="S199" s="125"/>
      <c r="T199" s="125"/>
      <c r="U199" s="125"/>
      <c r="V199" s="33"/>
      <c r="W199" s="33"/>
      <c r="X199" s="33"/>
      <c r="Y199" s="33"/>
      <c r="Z199" s="33"/>
      <c r="AA199" s="33"/>
      <c r="AB199" s="33"/>
      <c r="AC199" s="33"/>
      <c r="AD199" s="33"/>
      <c r="AE199" s="20"/>
    </row>
    <row r="200" spans="1:31" ht="17.100000000000001" customHeight="1">
      <c r="A200" s="104" t="str">
        <f t="shared" si="5"/>
        <v>-</v>
      </c>
      <c r="B200" s="215"/>
      <c r="C200" s="218"/>
      <c r="D200" s="59"/>
      <c r="E200" s="60"/>
      <c r="F200" s="217"/>
      <c r="G200" s="217"/>
      <c r="H200" s="46"/>
      <c r="I200" s="217"/>
      <c r="J200" s="217"/>
      <c r="K200" s="46"/>
      <c r="L200" s="125"/>
      <c r="M200" s="125"/>
      <c r="N200" s="125"/>
      <c r="O200" s="125"/>
      <c r="P200" s="125"/>
      <c r="Q200" s="125"/>
      <c r="R200" s="125"/>
      <c r="S200" s="125"/>
      <c r="T200" s="125"/>
      <c r="U200" s="125"/>
      <c r="V200" s="33"/>
      <c r="W200" s="33"/>
      <c r="X200" s="33"/>
      <c r="Y200" s="33"/>
      <c r="Z200" s="33"/>
      <c r="AA200" s="33"/>
      <c r="AB200" s="33"/>
      <c r="AC200" s="33"/>
      <c r="AD200" s="33"/>
      <c r="AE200" s="20"/>
    </row>
    <row r="201" spans="1:31" ht="17.100000000000001" customHeight="1">
      <c r="A201" s="104" t="str">
        <f t="shared" si="5"/>
        <v>-</v>
      </c>
      <c r="B201" s="215"/>
      <c r="C201" s="218"/>
      <c r="D201" s="59"/>
      <c r="E201" s="60"/>
      <c r="F201" s="217"/>
      <c r="G201" s="217"/>
      <c r="H201" s="46"/>
      <c r="I201" s="217"/>
      <c r="J201" s="217"/>
      <c r="K201" s="46"/>
      <c r="L201" s="125"/>
      <c r="M201" s="125"/>
      <c r="N201" s="125"/>
      <c r="O201" s="125"/>
      <c r="P201" s="125"/>
      <c r="Q201" s="125"/>
      <c r="R201" s="125"/>
      <c r="S201" s="125"/>
      <c r="T201" s="125"/>
      <c r="U201" s="125"/>
      <c r="V201" s="33"/>
      <c r="W201" s="33"/>
      <c r="X201" s="33"/>
      <c r="Y201" s="33"/>
      <c r="Z201" s="33"/>
      <c r="AA201" s="33"/>
      <c r="AB201" s="33"/>
      <c r="AC201" s="33"/>
      <c r="AD201" s="33"/>
      <c r="AE201" s="20"/>
    </row>
    <row r="202" spans="1:31" ht="17.100000000000001" customHeight="1">
      <c r="A202" s="104" t="str">
        <f t="shared" si="5"/>
        <v>-</v>
      </c>
      <c r="B202" s="215"/>
      <c r="C202" s="218"/>
      <c r="D202" s="59"/>
      <c r="E202" s="60"/>
      <c r="F202" s="217"/>
      <c r="G202" s="217"/>
      <c r="H202" s="46"/>
      <c r="I202" s="217"/>
      <c r="J202" s="217"/>
      <c r="K202" s="46"/>
      <c r="L202" s="125"/>
      <c r="M202" s="125"/>
      <c r="N202" s="125"/>
      <c r="O202" s="125"/>
      <c r="P202" s="125"/>
      <c r="Q202" s="125"/>
      <c r="R202" s="125"/>
      <c r="S202" s="125"/>
      <c r="T202" s="125"/>
      <c r="U202" s="125"/>
      <c r="V202" s="33"/>
      <c r="W202" s="33"/>
      <c r="X202" s="33"/>
      <c r="Y202" s="33"/>
      <c r="Z202" s="33"/>
      <c r="AA202" s="33"/>
      <c r="AB202" s="33"/>
      <c r="AC202" s="33"/>
      <c r="AD202" s="33"/>
      <c r="AE202" s="20"/>
    </row>
    <row r="203" spans="1:31" ht="17.100000000000001" customHeight="1">
      <c r="A203" s="104" t="str">
        <f t="shared" si="5"/>
        <v>-</v>
      </c>
      <c r="B203" s="215"/>
      <c r="C203" s="218"/>
      <c r="D203" s="59"/>
      <c r="E203" s="60"/>
      <c r="F203" s="217"/>
      <c r="G203" s="217"/>
      <c r="H203" s="46"/>
      <c r="I203" s="217"/>
      <c r="J203" s="217"/>
      <c r="K203" s="46"/>
      <c r="L203" s="125"/>
      <c r="M203" s="125"/>
      <c r="N203" s="125"/>
      <c r="O203" s="125"/>
      <c r="P203" s="125"/>
      <c r="Q203" s="125"/>
      <c r="R203" s="125"/>
      <c r="S203" s="125"/>
      <c r="T203" s="125"/>
      <c r="U203" s="125"/>
      <c r="V203" s="33"/>
      <c r="W203" s="33"/>
      <c r="X203" s="33"/>
      <c r="Y203" s="33"/>
      <c r="Z203" s="33"/>
      <c r="AA203" s="33"/>
      <c r="AB203" s="33"/>
      <c r="AC203" s="33"/>
      <c r="AD203" s="33"/>
      <c r="AE203" s="20"/>
    </row>
    <row r="204" spans="1:31" ht="17.100000000000001" customHeight="1">
      <c r="A204" s="104" t="str">
        <f t="shared" si="5"/>
        <v>-</v>
      </c>
      <c r="B204" s="215"/>
      <c r="C204" s="218"/>
      <c r="D204" s="59"/>
      <c r="E204" s="60"/>
      <c r="F204" s="217"/>
      <c r="G204" s="217"/>
      <c r="H204" s="46"/>
      <c r="I204" s="217"/>
      <c r="J204" s="217"/>
      <c r="K204" s="46"/>
      <c r="L204" s="125"/>
      <c r="M204" s="125"/>
      <c r="N204" s="125"/>
      <c r="O204" s="125"/>
      <c r="P204" s="125"/>
      <c r="Q204" s="125"/>
      <c r="R204" s="125"/>
      <c r="S204" s="125"/>
      <c r="T204" s="125"/>
      <c r="U204" s="125"/>
      <c r="V204" s="33"/>
      <c r="W204" s="33"/>
      <c r="X204" s="33"/>
      <c r="Y204" s="33"/>
      <c r="Z204" s="33"/>
      <c r="AA204" s="33"/>
      <c r="AB204" s="33"/>
      <c r="AC204" s="33"/>
      <c r="AD204" s="33"/>
      <c r="AE204" s="20"/>
    </row>
    <row r="205" spans="1:31" ht="17.100000000000001" customHeight="1">
      <c r="A205" s="104" t="str">
        <f t="shared" si="5"/>
        <v>-</v>
      </c>
      <c r="B205" s="215"/>
      <c r="C205" s="218"/>
      <c r="D205" s="59"/>
      <c r="E205" s="60"/>
      <c r="F205" s="217"/>
      <c r="G205" s="217"/>
      <c r="H205" s="46"/>
      <c r="I205" s="217"/>
      <c r="J205" s="217"/>
      <c r="K205" s="46"/>
      <c r="L205" s="125"/>
      <c r="M205" s="125"/>
      <c r="N205" s="125"/>
      <c r="O205" s="125"/>
      <c r="P205" s="125"/>
      <c r="Q205" s="125"/>
      <c r="R205" s="125"/>
      <c r="S205" s="125"/>
      <c r="T205" s="125"/>
      <c r="U205" s="125"/>
      <c r="V205" s="33"/>
      <c r="W205" s="33"/>
      <c r="X205" s="33"/>
      <c r="Y205" s="33"/>
      <c r="Z205" s="33"/>
      <c r="AA205" s="33"/>
      <c r="AB205" s="33"/>
      <c r="AC205" s="33"/>
      <c r="AD205" s="33"/>
      <c r="AE205" s="20"/>
    </row>
    <row r="206" spans="1:31" ht="17.100000000000001" customHeight="1">
      <c r="A206" s="104" t="str">
        <f t="shared" si="5"/>
        <v>-</v>
      </c>
      <c r="B206" s="215"/>
      <c r="C206" s="218"/>
      <c r="D206" s="59"/>
      <c r="E206" s="60"/>
      <c r="F206" s="217"/>
      <c r="G206" s="217"/>
      <c r="H206" s="46"/>
      <c r="I206" s="217"/>
      <c r="J206" s="217"/>
      <c r="K206" s="46"/>
      <c r="L206" s="125"/>
      <c r="M206" s="125"/>
      <c r="N206" s="125"/>
      <c r="O206" s="125"/>
      <c r="P206" s="125"/>
      <c r="Q206" s="125"/>
      <c r="R206" s="125"/>
      <c r="S206" s="125"/>
      <c r="T206" s="125"/>
      <c r="U206" s="125"/>
      <c r="V206" s="33"/>
      <c r="W206" s="33"/>
      <c r="X206" s="33"/>
      <c r="Y206" s="33"/>
      <c r="Z206" s="33"/>
      <c r="AA206" s="33"/>
      <c r="AB206" s="33"/>
      <c r="AC206" s="33"/>
      <c r="AD206" s="33"/>
      <c r="AE206" s="20"/>
    </row>
    <row r="207" spans="1:31" ht="17.100000000000001" customHeight="1">
      <c r="A207" s="104" t="str">
        <f t="shared" ref="A207:A214" si="6">IF(ROW(A207)-ROW($A$15)+EmissionStartYear&gt;=SimulationEnds,"-",ROW(A207)-ROW($A$15)+EmissionStartYear)</f>
        <v>-</v>
      </c>
      <c r="B207" s="215"/>
      <c r="C207" s="218"/>
      <c r="D207" s="59"/>
      <c r="E207" s="60"/>
      <c r="F207" s="217"/>
      <c r="G207" s="217"/>
      <c r="H207" s="46"/>
      <c r="I207" s="217"/>
      <c r="J207" s="217"/>
      <c r="K207" s="46"/>
      <c r="L207" s="125"/>
      <c r="M207" s="125"/>
      <c r="N207" s="125"/>
      <c r="O207" s="125"/>
      <c r="P207" s="125"/>
      <c r="Q207" s="125"/>
      <c r="R207" s="125"/>
      <c r="S207" s="125"/>
      <c r="T207" s="125"/>
      <c r="U207" s="125"/>
      <c r="V207" s="33"/>
      <c r="W207" s="33"/>
      <c r="X207" s="33"/>
      <c r="Y207" s="33"/>
      <c r="Z207" s="33"/>
      <c r="AA207" s="33"/>
      <c r="AB207" s="33"/>
      <c r="AC207" s="33"/>
      <c r="AD207" s="33"/>
      <c r="AE207" s="20"/>
    </row>
    <row r="208" spans="1:31" ht="17.100000000000001" customHeight="1">
      <c r="A208" s="104" t="str">
        <f t="shared" si="6"/>
        <v>-</v>
      </c>
      <c r="B208" s="215"/>
      <c r="C208" s="218"/>
      <c r="D208" s="59"/>
      <c r="E208" s="60"/>
      <c r="F208" s="217"/>
      <c r="G208" s="217"/>
      <c r="H208" s="46"/>
      <c r="I208" s="217"/>
      <c r="J208" s="217"/>
      <c r="K208" s="46"/>
      <c r="L208" s="125"/>
      <c r="M208" s="125"/>
      <c r="N208" s="125"/>
      <c r="O208" s="125"/>
      <c r="P208" s="125"/>
      <c r="Q208" s="125"/>
      <c r="R208" s="125"/>
      <c r="S208" s="125"/>
      <c r="T208" s="125"/>
      <c r="U208" s="125"/>
      <c r="V208" s="33"/>
      <c r="W208" s="33"/>
      <c r="X208" s="33"/>
      <c r="Y208" s="33"/>
      <c r="Z208" s="33"/>
      <c r="AA208" s="33"/>
      <c r="AB208" s="33"/>
      <c r="AC208" s="33"/>
      <c r="AD208" s="33"/>
      <c r="AE208" s="20"/>
    </row>
    <row r="209" spans="1:31" ht="17.100000000000001" customHeight="1">
      <c r="A209" s="104" t="str">
        <f t="shared" si="6"/>
        <v>-</v>
      </c>
      <c r="B209" s="215"/>
      <c r="C209" s="218"/>
      <c r="D209" s="59"/>
      <c r="E209" s="60"/>
      <c r="F209" s="217"/>
      <c r="G209" s="217"/>
      <c r="H209" s="46"/>
      <c r="I209" s="217"/>
      <c r="J209" s="217"/>
      <c r="K209" s="46"/>
      <c r="L209" s="125"/>
      <c r="M209" s="125"/>
      <c r="N209" s="125"/>
      <c r="O209" s="125"/>
      <c r="P209" s="125"/>
      <c r="Q209" s="125"/>
      <c r="R209" s="125"/>
      <c r="S209" s="125"/>
      <c r="T209" s="125"/>
      <c r="U209" s="125"/>
      <c r="V209" s="33"/>
      <c r="W209" s="33"/>
      <c r="X209" s="33"/>
      <c r="Y209" s="33"/>
      <c r="Z209" s="33"/>
      <c r="AA209" s="33"/>
      <c r="AB209" s="33"/>
      <c r="AC209" s="33"/>
      <c r="AD209" s="33"/>
      <c r="AE209" s="20"/>
    </row>
    <row r="210" spans="1:31" ht="17.100000000000001" customHeight="1">
      <c r="A210" s="104" t="str">
        <f t="shared" si="6"/>
        <v>-</v>
      </c>
      <c r="B210" s="215"/>
      <c r="C210" s="218"/>
      <c r="D210" s="59"/>
      <c r="E210" s="60"/>
      <c r="F210" s="217"/>
      <c r="G210" s="217"/>
      <c r="H210" s="46"/>
      <c r="I210" s="217"/>
      <c r="J210" s="217"/>
      <c r="K210" s="46"/>
      <c r="L210" s="125"/>
      <c r="M210" s="125"/>
      <c r="N210" s="125"/>
      <c r="O210" s="125"/>
      <c r="P210" s="125"/>
      <c r="Q210" s="125"/>
      <c r="R210" s="125"/>
      <c r="S210" s="125"/>
      <c r="T210" s="125"/>
      <c r="U210" s="125"/>
      <c r="V210" s="33"/>
      <c r="W210" s="33"/>
      <c r="X210" s="33"/>
      <c r="Y210" s="33"/>
      <c r="Z210" s="33"/>
      <c r="AA210" s="33"/>
      <c r="AB210" s="33"/>
      <c r="AC210" s="33"/>
      <c r="AD210" s="33"/>
      <c r="AE210" s="20"/>
    </row>
    <row r="211" spans="1:31" ht="17.100000000000001" customHeight="1">
      <c r="A211" s="104" t="str">
        <f t="shared" si="6"/>
        <v>-</v>
      </c>
      <c r="B211" s="215"/>
      <c r="C211" s="218"/>
      <c r="D211" s="59"/>
      <c r="E211" s="60"/>
      <c r="F211" s="217"/>
      <c r="G211" s="217"/>
      <c r="H211" s="46"/>
      <c r="I211" s="217"/>
      <c r="J211" s="217"/>
      <c r="K211" s="46"/>
      <c r="L211" s="125"/>
      <c r="M211" s="125"/>
      <c r="N211" s="125"/>
      <c r="O211" s="125"/>
      <c r="P211" s="125"/>
      <c r="Q211" s="125"/>
      <c r="R211" s="125"/>
      <c r="S211" s="125"/>
      <c r="T211" s="125"/>
      <c r="U211" s="125"/>
      <c r="V211" s="33"/>
      <c r="W211" s="33"/>
      <c r="X211" s="33"/>
      <c r="Y211" s="33"/>
      <c r="Z211" s="33"/>
      <c r="AA211" s="33"/>
      <c r="AB211" s="33"/>
      <c r="AC211" s="33"/>
      <c r="AD211" s="33"/>
      <c r="AE211" s="20"/>
    </row>
    <row r="212" spans="1:31" ht="17.100000000000001" customHeight="1">
      <c r="A212" s="104" t="str">
        <f t="shared" si="6"/>
        <v>-</v>
      </c>
      <c r="B212" s="215"/>
      <c r="C212" s="218"/>
      <c r="D212" s="59"/>
      <c r="E212" s="60"/>
      <c r="F212" s="217"/>
      <c r="G212" s="217"/>
      <c r="H212" s="46"/>
      <c r="I212" s="217"/>
      <c r="J212" s="217"/>
      <c r="K212" s="46"/>
      <c r="L212" s="125"/>
      <c r="M212" s="125"/>
      <c r="N212" s="125"/>
      <c r="O212" s="125"/>
      <c r="P212" s="125"/>
      <c r="Q212" s="125"/>
      <c r="R212" s="125"/>
      <c r="S212" s="125"/>
      <c r="T212" s="125"/>
      <c r="U212" s="125"/>
      <c r="V212" s="33"/>
      <c r="W212" s="33"/>
      <c r="X212" s="33"/>
      <c r="Y212" s="33"/>
      <c r="Z212" s="33"/>
      <c r="AA212" s="33"/>
      <c r="AB212" s="33"/>
      <c r="AC212" s="33"/>
      <c r="AD212" s="33"/>
      <c r="AE212" s="20"/>
    </row>
    <row r="213" spans="1:31" ht="17.100000000000001" customHeight="1">
      <c r="A213" s="104" t="str">
        <f t="shared" si="6"/>
        <v>-</v>
      </c>
      <c r="B213" s="215"/>
      <c r="C213" s="218"/>
      <c r="D213" s="59"/>
      <c r="E213" s="60"/>
      <c r="F213" s="217"/>
      <c r="G213" s="217"/>
      <c r="H213" s="46"/>
      <c r="I213" s="217"/>
      <c r="J213" s="217"/>
      <c r="K213" s="46"/>
      <c r="L213" s="125"/>
      <c r="M213" s="125"/>
      <c r="N213" s="125"/>
      <c r="O213" s="125"/>
      <c r="P213" s="125"/>
      <c r="Q213" s="125"/>
      <c r="R213" s="125"/>
      <c r="S213" s="125"/>
      <c r="T213" s="125"/>
      <c r="U213" s="125"/>
      <c r="V213" s="33"/>
      <c r="W213" s="33"/>
      <c r="X213" s="33"/>
      <c r="Y213" s="33"/>
      <c r="Z213" s="33"/>
      <c r="AA213" s="33"/>
      <c r="AB213" s="33"/>
      <c r="AC213" s="33"/>
      <c r="AD213" s="33"/>
      <c r="AE213" s="20"/>
    </row>
    <row r="214" spans="1:31" ht="17.100000000000001" customHeight="1">
      <c r="A214" s="104" t="str">
        <f t="shared" si="6"/>
        <v>-</v>
      </c>
      <c r="B214" s="215"/>
      <c r="C214" s="218"/>
      <c r="D214" s="59"/>
      <c r="E214" s="60"/>
      <c r="F214" s="217"/>
      <c r="G214" s="217"/>
      <c r="H214" s="46"/>
      <c r="I214" s="217"/>
      <c r="J214" s="217"/>
      <c r="K214" s="46"/>
      <c r="L214" s="125"/>
      <c r="M214" s="125"/>
      <c r="N214" s="125"/>
      <c r="O214" s="125"/>
      <c r="P214" s="125"/>
      <c r="Q214" s="125"/>
      <c r="R214" s="125"/>
      <c r="S214" s="125"/>
      <c r="T214" s="125"/>
      <c r="U214" s="125"/>
      <c r="V214" s="33"/>
      <c r="W214" s="33"/>
      <c r="X214" s="33"/>
      <c r="Y214" s="33"/>
      <c r="Z214" s="33"/>
      <c r="AA214" s="33"/>
      <c r="AB214" s="33"/>
      <c r="AC214" s="33"/>
      <c r="AD214" s="33"/>
      <c r="AE214" s="20"/>
    </row>
    <row r="215" spans="1:31" ht="15.4">
      <c r="A215" s="9"/>
      <c r="B215" s="9"/>
      <c r="C215" s="9"/>
      <c r="D215" s="9"/>
      <c r="E215" s="9"/>
      <c r="F215" s="9"/>
      <c r="G215" s="9"/>
      <c r="H215" s="9"/>
      <c r="I215" s="9"/>
      <c r="J215" s="9"/>
      <c r="K215" s="9"/>
      <c r="L215" s="9"/>
      <c r="M215" s="9"/>
      <c r="N215" s="9"/>
      <c r="O215" s="10"/>
      <c r="Q215" s="2"/>
      <c r="R215" s="125"/>
      <c r="S215" s="125"/>
      <c r="T215" s="125"/>
      <c r="U215" s="125"/>
      <c r="V215" s="33"/>
      <c r="W215" s="33"/>
      <c r="X215" s="33"/>
      <c r="Y215" s="33"/>
      <c r="Z215" s="33"/>
      <c r="AA215" s="33"/>
      <c r="AB215" s="33"/>
      <c r="AC215" s="33"/>
      <c r="AD215" s="33"/>
      <c r="AE215" s="3"/>
    </row>
    <row r="216" spans="1:31" ht="15.4">
      <c r="A216" s="2"/>
      <c r="B216" s="2"/>
      <c r="C216" s="2"/>
      <c r="D216" s="2"/>
      <c r="E216" s="2"/>
      <c r="F216" s="2"/>
      <c r="G216" s="2"/>
      <c r="H216" s="2"/>
      <c r="I216" s="2"/>
      <c r="J216" s="2"/>
      <c r="K216" s="2"/>
      <c r="L216" s="2"/>
      <c r="M216" s="2"/>
      <c r="N216" s="2"/>
      <c r="O216" s="3"/>
      <c r="Q216" s="2"/>
      <c r="R216" s="125"/>
      <c r="S216" s="125"/>
      <c r="T216" s="125"/>
      <c r="U216" s="125"/>
      <c r="V216" s="33"/>
      <c r="W216" s="33"/>
      <c r="X216" s="33"/>
      <c r="Y216" s="33"/>
      <c r="Z216" s="33"/>
      <c r="AA216" s="33"/>
      <c r="AB216" s="33"/>
      <c r="AC216" s="33"/>
      <c r="AD216" s="33"/>
      <c r="AE216" s="3"/>
    </row>
    <row r="217" spans="1:31" ht="15.4">
      <c r="A217" s="2"/>
      <c r="B217" s="2"/>
      <c r="C217" s="2"/>
      <c r="D217" s="2"/>
      <c r="E217" s="2"/>
      <c r="F217" s="2"/>
      <c r="G217" s="2"/>
      <c r="H217" s="2"/>
      <c r="I217" s="2"/>
      <c r="J217" s="2"/>
      <c r="K217" s="2"/>
      <c r="L217" s="2"/>
      <c r="M217" s="2"/>
      <c r="N217" s="2"/>
      <c r="O217" s="3"/>
      <c r="Q217" s="2"/>
      <c r="R217" s="125"/>
      <c r="S217" s="125"/>
      <c r="T217" s="125"/>
      <c r="U217" s="125"/>
      <c r="V217" s="33"/>
      <c r="W217" s="33"/>
      <c r="X217" s="33"/>
      <c r="Y217" s="33"/>
      <c r="Z217" s="33"/>
      <c r="AA217" s="33"/>
      <c r="AB217" s="33"/>
      <c r="AC217" s="33"/>
      <c r="AD217" s="33"/>
      <c r="AE217" s="3"/>
    </row>
    <row r="218" spans="1:31" ht="15.4">
      <c r="A218" s="2"/>
      <c r="B218" s="2"/>
      <c r="C218" s="2"/>
      <c r="D218" s="2"/>
      <c r="E218" s="2"/>
      <c r="F218" s="2"/>
      <c r="G218" s="2"/>
      <c r="H218" s="2"/>
      <c r="I218" s="2"/>
      <c r="J218" s="2"/>
      <c r="K218" s="2"/>
      <c r="L218" s="2"/>
      <c r="M218" s="2"/>
      <c r="N218" s="2"/>
      <c r="O218" s="3"/>
      <c r="Q218" s="2"/>
      <c r="R218" s="125"/>
      <c r="S218" s="125"/>
      <c r="T218" s="125"/>
      <c r="U218" s="125"/>
      <c r="V218" s="33"/>
      <c r="W218" s="33"/>
      <c r="X218" s="2"/>
      <c r="Y218" s="2"/>
      <c r="Z218" s="2"/>
      <c r="AA218" s="2"/>
      <c r="AB218" s="2"/>
      <c r="AC218" s="2"/>
      <c r="AD218" s="2"/>
      <c r="AE218" s="3"/>
    </row>
    <row r="219" spans="1:31" ht="15.4">
      <c r="A219" s="2"/>
      <c r="B219" s="2"/>
      <c r="C219" s="2"/>
      <c r="D219" s="2"/>
      <c r="E219" s="2"/>
      <c r="F219" s="2"/>
      <c r="G219" s="2"/>
      <c r="H219" s="2"/>
      <c r="I219" s="2"/>
      <c r="J219" s="2"/>
      <c r="K219" s="2"/>
      <c r="L219" s="2"/>
      <c r="M219" s="2"/>
      <c r="N219" s="2"/>
      <c r="O219" s="3"/>
      <c r="Q219" s="2"/>
      <c r="R219" s="125"/>
      <c r="S219" s="125"/>
      <c r="T219" s="125"/>
      <c r="U219" s="125"/>
      <c r="V219" s="33"/>
      <c r="W219" s="33"/>
      <c r="X219" s="2"/>
      <c r="Y219" s="2"/>
      <c r="Z219" s="2"/>
      <c r="AA219" s="2"/>
      <c r="AB219" s="2"/>
      <c r="AC219" s="2"/>
      <c r="AD219" s="2"/>
      <c r="AE219" s="3"/>
    </row>
    <row r="220" spans="1:31" ht="15.4">
      <c r="A220" s="2"/>
      <c r="B220" s="2"/>
      <c r="C220" s="2"/>
      <c r="D220" s="2"/>
      <c r="E220" s="2"/>
      <c r="F220" s="2"/>
      <c r="G220" s="2"/>
      <c r="H220" s="2"/>
      <c r="I220" s="2"/>
      <c r="J220" s="2"/>
      <c r="K220" s="2"/>
      <c r="L220" s="2"/>
      <c r="M220" s="2"/>
      <c r="N220" s="2"/>
      <c r="O220" s="3"/>
      <c r="Q220" s="2"/>
      <c r="R220" s="125"/>
      <c r="S220" s="125"/>
      <c r="T220" s="125"/>
      <c r="U220" s="125"/>
      <c r="V220" s="33"/>
      <c r="W220" s="33"/>
      <c r="X220" s="2"/>
      <c r="Y220" s="2"/>
      <c r="Z220" s="2"/>
      <c r="AA220" s="2"/>
      <c r="AB220" s="2"/>
      <c r="AC220" s="2"/>
      <c r="AD220" s="2"/>
      <c r="AE220" s="3"/>
    </row>
    <row r="221" spans="1:31" ht="15.4">
      <c r="A221" s="2"/>
      <c r="B221" s="2"/>
      <c r="C221" s="2"/>
      <c r="D221" s="2"/>
      <c r="E221" s="2"/>
      <c r="F221" s="2"/>
      <c r="G221" s="2"/>
      <c r="H221" s="2"/>
      <c r="I221" s="2"/>
      <c r="J221" s="2"/>
      <c r="K221" s="2"/>
      <c r="L221" s="2"/>
      <c r="M221" s="2"/>
      <c r="N221" s="2"/>
      <c r="O221" s="3"/>
      <c r="Q221" s="2"/>
      <c r="R221" s="125"/>
      <c r="S221" s="125"/>
      <c r="T221" s="125"/>
      <c r="U221" s="125"/>
      <c r="V221" s="33"/>
      <c r="W221" s="33"/>
      <c r="X221" s="2"/>
      <c r="Y221" s="2"/>
      <c r="Z221" s="2"/>
      <c r="AA221" s="2"/>
      <c r="AB221" s="2"/>
      <c r="AC221" s="2"/>
      <c r="AD221" s="2"/>
      <c r="AE221" s="3"/>
    </row>
    <row r="222" spans="1:31">
      <c r="A222" s="2"/>
      <c r="B222" s="2"/>
      <c r="C222" s="2"/>
      <c r="D222" s="2"/>
      <c r="E222" s="2"/>
      <c r="F222" s="2"/>
      <c r="G222" s="2"/>
      <c r="H222" s="2"/>
      <c r="I222" s="2"/>
      <c r="J222" s="2"/>
      <c r="K222" s="2"/>
      <c r="L222" s="2"/>
      <c r="M222" s="2"/>
      <c r="N222" s="2"/>
      <c r="O222" s="3"/>
      <c r="Q222" s="2"/>
      <c r="R222" s="125"/>
      <c r="S222" s="125"/>
      <c r="T222" s="125"/>
      <c r="U222" s="125"/>
      <c r="W222" s="8"/>
      <c r="X222" s="2"/>
      <c r="Y222" s="2"/>
      <c r="Z222" s="2"/>
      <c r="AA222" s="2"/>
      <c r="AB222" s="2"/>
      <c r="AC222" s="2"/>
      <c r="AD222" s="2"/>
      <c r="AE222" s="3"/>
    </row>
    <row r="223" spans="1:31">
      <c r="A223" s="2"/>
      <c r="B223" s="2"/>
      <c r="C223" s="2"/>
      <c r="D223" s="2"/>
      <c r="E223" s="2"/>
      <c r="F223" s="2"/>
      <c r="G223" s="2"/>
      <c r="H223" s="2"/>
      <c r="I223" s="2"/>
      <c r="J223" s="2"/>
      <c r="K223" s="2"/>
      <c r="L223" s="2"/>
      <c r="M223" s="2"/>
      <c r="N223" s="2"/>
      <c r="O223" s="3"/>
      <c r="Q223" s="2"/>
      <c r="R223" s="125"/>
      <c r="S223" s="125"/>
      <c r="T223" s="125"/>
      <c r="U223" s="125"/>
      <c r="W223" s="8"/>
      <c r="X223" s="2"/>
      <c r="Y223" s="2"/>
      <c r="Z223" s="2"/>
      <c r="AA223" s="2"/>
      <c r="AB223" s="2"/>
      <c r="AC223" s="2"/>
      <c r="AD223" s="2"/>
      <c r="AE223" s="3"/>
    </row>
  </sheetData>
  <sheetProtection algorithmName="SHA-512" hashValue="JW8jNyRLjYeJP7z/DR7gHHqBoxOvS01GSwxdUbSyQMDl+RlaSZ0fmuFZmUc8jKlhweOuK3XFZPyXerDxB2Kyig==" saltValue="AXEO+aeJUKmDGFhAXqbLoQ==" spinCount="100000" sheet="1" objects="1" scenarios="1"/>
  <phoneticPr fontId="2" type="noConversion"/>
  <dataValidations count="2">
    <dataValidation type="list" allowBlank="1" showInputMessage="1" showErrorMessage="1" sqref="K14:K214 H14:H214" xr:uid="{00000000-0002-0000-0600-000000000000}">
      <formula1>"Weibull,Normal,LogNormal,Bathtub,Delta"</formula1>
    </dataValidation>
    <dataValidation type="list" allowBlank="1" showInputMessage="1" showErrorMessage="1" sqref="T62:U62 T52:W52" xr:uid="{E69BBD23-471B-4B38-B704-954979E06075}">
      <formula1>"Used,Not used"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GenNormPro">
                <anchor moveWithCells="1" sizeWithCells="1">
                  <from>
                    <xdr:col>0</xdr:col>
                    <xdr:colOff>200025</xdr:colOff>
                    <xdr:row>9</xdr:row>
                    <xdr:rowOff>38100</xdr:rowOff>
                  </from>
                  <to>
                    <xdr:col>3</xdr:col>
                    <xdr:colOff>866775</xdr:colOff>
                    <xdr:row>10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24419-3F22-42C6-9998-1049E030EF38}">
  <sheetPr codeName="Sheet23">
    <tabColor rgb="FF0070C0"/>
  </sheetPr>
  <dimension ref="A1:AZ140"/>
  <sheetViews>
    <sheetView topLeftCell="A8" workbookViewId="0">
      <selection activeCell="F26" sqref="F26"/>
    </sheetView>
  </sheetViews>
  <sheetFormatPr defaultColWidth="8.3984375" defaultRowHeight="12.75"/>
  <cols>
    <col min="1" max="1" width="2.3984375" style="77" customWidth="1"/>
    <col min="2" max="2" width="5.3984375" style="77" customWidth="1"/>
    <col min="3" max="3" width="52" style="77" customWidth="1"/>
    <col min="4" max="4" width="11" style="77" customWidth="1"/>
    <col min="5" max="5" width="13" style="77" customWidth="1"/>
    <col min="6" max="10" width="15.3984375" style="77" customWidth="1"/>
    <col min="11" max="15" width="20.3984375" style="77" hidden="1" customWidth="1"/>
    <col min="16" max="23" width="15.3984375" style="77" customWidth="1"/>
    <col min="24" max="25" width="20.3984375" style="77" hidden="1" customWidth="1"/>
    <col min="26" max="34" width="15.3984375" style="77" customWidth="1"/>
    <col min="35" max="35" width="13.3984375" style="77" hidden="1" customWidth="1"/>
    <col min="36" max="36" width="13.3984375" style="77" customWidth="1"/>
    <col min="37" max="37" width="8.3984375" style="77"/>
    <col min="38" max="38" width="11.86328125" style="77" bestFit="1" customWidth="1"/>
    <col min="39" max="16384" width="8.3984375" style="77"/>
  </cols>
  <sheetData>
    <row r="1" spans="1:52" ht="50.1" customHeight="1">
      <c r="B1" s="292" t="s">
        <v>177</v>
      </c>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row>
    <row r="2" spans="1:52" ht="47.1" hidden="1" customHeight="1">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row>
    <row r="3" spans="1:52" ht="16.5" hidden="1" customHeight="1">
      <c r="A3" s="49"/>
      <c r="B3" s="49"/>
      <c r="C3" s="49"/>
      <c r="D3" s="49"/>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c r="AP3" s="49"/>
      <c r="AQ3" s="49"/>
      <c r="AR3" s="49"/>
      <c r="AS3" s="49"/>
      <c r="AT3" s="49"/>
      <c r="AU3" s="49"/>
      <c r="AV3" s="49"/>
      <c r="AW3" s="49"/>
      <c r="AX3" s="49"/>
      <c r="AY3" s="49"/>
      <c r="AZ3" s="49"/>
    </row>
    <row r="4" spans="1:52" ht="16.5" hidden="1" customHeight="1">
      <c r="A4" s="49"/>
      <c r="B4" s="103"/>
      <c r="C4" s="103"/>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c r="AV4" s="49"/>
      <c r="AW4" s="49"/>
      <c r="AX4" s="49"/>
      <c r="AY4" s="49"/>
      <c r="AZ4" s="49"/>
    </row>
    <row r="5" spans="1:52" ht="17.100000000000001" customHeight="1">
      <c r="A5" s="181"/>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row>
    <row r="6" spans="1:52" ht="17.100000000000001" customHeight="1">
      <c r="A6" s="181"/>
      <c r="B6" s="49"/>
      <c r="C6" s="49"/>
      <c r="D6" s="49"/>
      <c r="E6" s="49"/>
      <c r="F6" s="49"/>
      <c r="G6" s="49"/>
      <c r="H6" s="49"/>
      <c r="I6" s="49"/>
      <c r="J6" s="49"/>
      <c r="K6" s="49"/>
      <c r="L6" s="49"/>
      <c r="M6" s="49"/>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c r="AV6" s="49"/>
      <c r="AW6" s="49"/>
      <c r="AX6" s="49"/>
      <c r="AY6" s="49"/>
      <c r="AZ6" s="49"/>
    </row>
    <row r="7" spans="1:52" ht="17.100000000000001" customHeight="1">
      <c r="A7" s="181"/>
      <c r="B7" s="49"/>
      <c r="C7" s="49"/>
      <c r="D7" s="49"/>
      <c r="E7" s="49"/>
      <c r="F7" s="49"/>
      <c r="G7" s="49"/>
      <c r="H7" s="49"/>
      <c r="I7" s="49"/>
      <c r="J7" s="49"/>
      <c r="K7" s="49"/>
      <c r="L7" s="49"/>
      <c r="M7" s="49"/>
      <c r="N7" s="49"/>
      <c r="O7" s="49"/>
      <c r="P7" s="49"/>
      <c r="Q7" s="49"/>
      <c r="R7" s="49"/>
      <c r="S7" s="49"/>
      <c r="T7" s="49"/>
      <c r="U7" s="49"/>
      <c r="V7" s="49"/>
      <c r="W7" s="49"/>
      <c r="X7" s="49"/>
      <c r="Y7" s="49"/>
      <c r="Z7" s="49"/>
      <c r="AA7" s="49"/>
      <c r="AB7" s="49"/>
      <c r="AC7" s="49"/>
      <c r="AD7" s="49"/>
      <c r="AE7" s="49"/>
      <c r="AF7" s="49"/>
      <c r="AG7" s="49"/>
      <c r="AH7" s="49"/>
      <c r="AI7" s="49"/>
      <c r="AJ7" s="49"/>
      <c r="AK7" s="49"/>
      <c r="AL7" s="49"/>
      <c r="AM7" s="49"/>
      <c r="AN7" s="49"/>
      <c r="AO7" s="49"/>
      <c r="AP7" s="49"/>
      <c r="AQ7" s="49"/>
      <c r="AR7" s="49"/>
      <c r="AS7" s="49"/>
      <c r="AT7" s="49"/>
      <c r="AU7" s="49"/>
      <c r="AV7" s="49"/>
      <c r="AW7" s="49"/>
      <c r="AX7" s="49"/>
      <c r="AY7" s="49"/>
      <c r="AZ7" s="49"/>
    </row>
    <row r="8" spans="1:52" ht="17.100000000000001" customHeight="1">
      <c r="A8" s="49"/>
      <c r="B8" s="49"/>
      <c r="C8" s="49"/>
      <c r="D8" s="49"/>
      <c r="E8" s="49"/>
      <c r="F8" s="49"/>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49"/>
    </row>
    <row r="9" spans="1:52" ht="17.100000000000001" customHeight="1">
      <c r="A9" s="49"/>
      <c r="B9" s="115" t="s">
        <v>835</v>
      </c>
      <c r="C9" s="115"/>
      <c r="D9" s="115" t="s">
        <v>464</v>
      </c>
      <c r="E9" s="257"/>
      <c r="F9" s="115" t="s">
        <v>82</v>
      </c>
      <c r="G9" s="115"/>
      <c r="H9" s="115"/>
      <c r="I9" s="115"/>
      <c r="J9" s="115"/>
      <c r="K9" s="115"/>
      <c r="L9" s="115"/>
      <c r="M9" s="115"/>
      <c r="N9" s="115"/>
      <c r="O9" s="115"/>
      <c r="P9" s="115" t="s">
        <v>81</v>
      </c>
      <c r="Q9" s="115"/>
      <c r="R9" s="115"/>
      <c r="S9" s="115"/>
      <c r="T9" s="115"/>
      <c r="U9" s="115"/>
      <c r="V9" s="115"/>
      <c r="W9" s="115"/>
      <c r="X9" s="115"/>
      <c r="Y9" s="115"/>
      <c r="Z9" s="115" t="s">
        <v>47</v>
      </c>
      <c r="AA9" s="115"/>
      <c r="AB9" s="115"/>
      <c r="AC9" s="115"/>
      <c r="AD9" s="115"/>
      <c r="AE9" s="115"/>
      <c r="AF9" s="115"/>
      <c r="AG9" s="115"/>
      <c r="AH9" s="115"/>
      <c r="AI9" s="115"/>
      <c r="AJ9" s="49"/>
      <c r="AK9" s="49"/>
      <c r="AL9" s="49"/>
      <c r="AM9" s="49"/>
      <c r="AN9" s="49"/>
      <c r="AO9" s="49"/>
      <c r="AP9" s="49"/>
      <c r="AQ9" s="49"/>
      <c r="AR9" s="49"/>
      <c r="AS9" s="49"/>
      <c r="AT9" s="49"/>
      <c r="AU9" s="49"/>
      <c r="AV9" s="49"/>
      <c r="AW9" s="49"/>
      <c r="AX9" s="49"/>
      <c r="AY9" s="49"/>
      <c r="AZ9" s="49"/>
    </row>
    <row r="10" spans="1:52" ht="17.100000000000001" customHeight="1">
      <c r="A10" s="49"/>
      <c r="B10" s="258" t="s">
        <v>784</v>
      </c>
      <c r="C10" s="203"/>
      <c r="D10" s="259"/>
      <c r="E10" s="318"/>
      <c r="F10" s="260" t="str">
        <f t="array" ref="F10:AI10">TRANSPOSE(Start!$AM$21:$AM$50)</f>
        <v>Indoor air</v>
      </c>
      <c r="G10" s="203" t="str">
        <v>Soft porous carpet</v>
      </c>
      <c r="H10" s="203" t="str">
        <v>Rigid impermeable floor</v>
      </c>
      <c r="I10" s="203" t="str">
        <v>Hard contact surfaces</v>
      </c>
      <c r="J10" s="203" t="str">
        <v>Walls and ceiling</v>
      </c>
      <c r="K10" s="203">
        <v>0</v>
      </c>
      <c r="L10" s="203">
        <v>0</v>
      </c>
      <c r="M10" s="203">
        <v>0</v>
      </c>
      <c r="N10" s="203">
        <v>0</v>
      </c>
      <c r="O10" s="203">
        <v>0</v>
      </c>
      <c r="P10" s="203" t="str">
        <v>Urban air</v>
      </c>
      <c r="Q10" s="203" t="str">
        <v>Urban vegetation</v>
      </c>
      <c r="R10" s="203" t="str">
        <v>Urban soil</v>
      </c>
      <c r="S10" s="203" t="str">
        <v>Urban freshwater</v>
      </c>
      <c r="T10" s="203" t="str">
        <v>Urban freshwater sediment</v>
      </c>
      <c r="U10" s="203" t="str">
        <v>Urban built-up surface</v>
      </c>
      <c r="V10" s="203" t="str">
        <v>Urban shallow groundwater</v>
      </c>
      <c r="W10" s="203" t="str">
        <v>Urban deep groundwater</v>
      </c>
      <c r="X10" s="203">
        <v>0</v>
      </c>
      <c r="Y10" s="203">
        <v>0</v>
      </c>
      <c r="Z10" s="203" t="str">
        <v>Rural air</v>
      </c>
      <c r="AA10" s="203" t="str">
        <v>Rural vegetation</v>
      </c>
      <c r="AB10" s="203" t="str">
        <v>Rural soil</v>
      </c>
      <c r="AC10" s="203" t="str">
        <v>Rural freshwater</v>
      </c>
      <c r="AD10" s="203" t="str">
        <v>Rural freshwater sediment</v>
      </c>
      <c r="AE10" s="203" t="str">
        <v>Rural estuarine water</v>
      </c>
      <c r="AF10" s="203" t="str">
        <v>Rural estuarine sediment</v>
      </c>
      <c r="AG10" s="203" t="str">
        <v>Rural shallow groundwater</v>
      </c>
      <c r="AH10" s="203" t="str">
        <v>Rural deep groundwater</v>
      </c>
      <c r="AI10" s="49">
        <v>0</v>
      </c>
      <c r="AJ10" s="49"/>
      <c r="AK10" s="49"/>
      <c r="AL10" s="49"/>
      <c r="AM10" s="49"/>
      <c r="AN10" s="49"/>
      <c r="AO10" s="49"/>
      <c r="AP10" s="49"/>
      <c r="AQ10" s="49"/>
      <c r="AR10" s="49"/>
      <c r="AS10" s="49"/>
      <c r="AT10" s="49"/>
      <c r="AU10" s="49"/>
      <c r="AV10" s="49"/>
      <c r="AW10" s="49"/>
      <c r="AX10" s="49"/>
      <c r="AY10" s="49"/>
      <c r="AZ10" s="49"/>
    </row>
    <row r="11" spans="1:52" ht="17.100000000000001" customHeight="1">
      <c r="A11" s="49"/>
      <c r="B11" s="52"/>
      <c r="C11" s="49" t="s">
        <v>220</v>
      </c>
      <c r="D11" s="181" t="s">
        <v>781</v>
      </c>
      <c r="E11" s="316"/>
      <c r="F11" s="309">
        <v>678000000</v>
      </c>
      <c r="G11" s="145">
        <v>406800000</v>
      </c>
      <c r="H11" s="145">
        <v>271200000</v>
      </c>
      <c r="I11" s="145">
        <v>162720000</v>
      </c>
      <c r="J11" s="145">
        <v>678312461.19759095</v>
      </c>
      <c r="K11" s="145"/>
      <c r="L11" s="145"/>
      <c r="M11" s="145"/>
      <c r="N11" s="145"/>
      <c r="O11" s="145"/>
      <c r="P11" s="145">
        <v>4840000000</v>
      </c>
      <c r="Q11" s="145">
        <v>1452000000</v>
      </c>
      <c r="R11" s="145">
        <v>836000000</v>
      </c>
      <c r="S11" s="145">
        <v>1210000000</v>
      </c>
      <c r="T11" s="145">
        <v>1210000000</v>
      </c>
      <c r="U11" s="145">
        <v>1342000000</v>
      </c>
      <c r="V11" s="145">
        <v>4840000000</v>
      </c>
      <c r="W11" s="145">
        <v>4840000000</v>
      </c>
      <c r="X11" s="145"/>
      <c r="Y11" s="145"/>
      <c r="Z11" s="145">
        <v>1094160000000</v>
      </c>
      <c r="AA11" s="145">
        <v>475339200000</v>
      </c>
      <c r="AB11" s="145">
        <v>266150720000</v>
      </c>
      <c r="AC11" s="145">
        <v>43270080000</v>
      </c>
      <c r="AD11" s="145">
        <v>43270080000</v>
      </c>
      <c r="AE11" s="145">
        <v>309400000000</v>
      </c>
      <c r="AF11" s="145">
        <v>309400000000</v>
      </c>
      <c r="AG11" s="145">
        <v>784760000000</v>
      </c>
      <c r="AH11" s="145">
        <v>784760000000</v>
      </c>
      <c r="AI11" s="191"/>
      <c r="AJ11" s="100"/>
      <c r="AK11" s="49"/>
      <c r="AL11" s="49"/>
      <c r="AM11" s="49"/>
      <c r="AN11" s="49"/>
      <c r="AO11" s="49"/>
      <c r="AP11" s="49"/>
      <c r="AQ11" s="49"/>
      <c r="AR11" s="49"/>
      <c r="AS11" s="49"/>
      <c r="AT11" s="49"/>
      <c r="AU11" s="49"/>
      <c r="AV11" s="49"/>
      <c r="AW11" s="49"/>
      <c r="AX11" s="49"/>
      <c r="AY11" s="49"/>
      <c r="AZ11" s="49"/>
    </row>
    <row r="12" spans="1:52" ht="17.100000000000001" customHeight="1">
      <c r="A12" s="49"/>
      <c r="B12" s="52"/>
      <c r="C12" s="49" t="s">
        <v>204</v>
      </c>
      <c r="D12" s="181" t="s">
        <v>2</v>
      </c>
      <c r="E12" s="317"/>
      <c r="F12" s="311">
        <v>3</v>
      </c>
      <c r="G12" s="46">
        <v>1.2699999999999999E-2</v>
      </c>
      <c r="H12" s="145">
        <v>5.0000000000000001E-4</v>
      </c>
      <c r="I12" s="145">
        <v>2E-8</v>
      </c>
      <c r="J12" s="145">
        <v>9.9999999999999995E-8</v>
      </c>
      <c r="K12" s="46"/>
      <c r="L12" s="46"/>
      <c r="M12" s="46"/>
      <c r="N12" s="46"/>
      <c r="O12" s="46"/>
      <c r="P12" s="46">
        <v>1200</v>
      </c>
      <c r="Q12" s="46">
        <v>0</v>
      </c>
      <c r="R12" s="199">
        <v>0.05</v>
      </c>
      <c r="S12" s="46">
        <v>0.38</v>
      </c>
      <c r="T12" s="199">
        <v>0.02</v>
      </c>
      <c r="U12" s="46">
        <v>0</v>
      </c>
      <c r="V12" s="46">
        <v>3</v>
      </c>
      <c r="W12" s="46">
        <v>10</v>
      </c>
      <c r="X12" s="46"/>
      <c r="Y12" s="46"/>
      <c r="Z12" s="46">
        <v>1080</v>
      </c>
      <c r="AA12" s="46">
        <v>0</v>
      </c>
      <c r="AB12" s="199">
        <v>0.14000000000000001</v>
      </c>
      <c r="AC12" s="199">
        <v>5</v>
      </c>
      <c r="AD12" s="199">
        <v>0.05</v>
      </c>
      <c r="AE12" s="46">
        <v>65</v>
      </c>
      <c r="AF12" s="46">
        <v>0.02</v>
      </c>
      <c r="AG12" s="46">
        <v>3</v>
      </c>
      <c r="AH12" s="46">
        <v>10</v>
      </c>
      <c r="AI12" s="192"/>
      <c r="AJ12" s="100"/>
      <c r="AK12" s="49"/>
      <c r="AL12" s="49"/>
      <c r="AM12" s="49"/>
      <c r="AN12" s="49"/>
      <c r="AO12" s="49"/>
      <c r="AP12" s="49"/>
      <c r="AQ12" s="49"/>
      <c r="AR12" s="49"/>
      <c r="AS12" s="49"/>
      <c r="AT12" s="49"/>
      <c r="AU12" s="49"/>
      <c r="AV12" s="49"/>
      <c r="AW12" s="49"/>
      <c r="AX12" s="49"/>
      <c r="AY12" s="49"/>
      <c r="AZ12" s="49"/>
    </row>
    <row r="13" spans="1:52" ht="17.100000000000001" customHeight="1">
      <c r="A13" s="49"/>
      <c r="B13" s="52"/>
      <c r="C13" s="49" t="s">
        <v>201</v>
      </c>
      <c r="D13" s="184" t="s">
        <v>429</v>
      </c>
      <c r="E13" s="317"/>
      <c r="F13" s="309">
        <f>1-F15</f>
        <v>0.99999999998374833</v>
      </c>
      <c r="G13" s="46">
        <v>0.89</v>
      </c>
      <c r="H13" s="46">
        <v>0</v>
      </c>
      <c r="I13" s="46">
        <v>0</v>
      </c>
      <c r="J13" s="46">
        <v>0</v>
      </c>
      <c r="K13" s="46"/>
      <c r="L13" s="46"/>
      <c r="M13" s="46"/>
      <c r="N13" s="46"/>
      <c r="O13" s="46"/>
      <c r="P13" s="46">
        <v>0.99999999998</v>
      </c>
      <c r="Q13" s="199">
        <v>0.18</v>
      </c>
      <c r="R13" s="46">
        <v>0.25</v>
      </c>
      <c r="S13" s="46">
        <v>0</v>
      </c>
      <c r="T13" s="46">
        <v>0</v>
      </c>
      <c r="U13" s="46">
        <v>0</v>
      </c>
      <c r="V13" s="46">
        <v>0</v>
      </c>
      <c r="W13" s="46">
        <v>0</v>
      </c>
      <c r="X13" s="46"/>
      <c r="Y13" s="46"/>
      <c r="Z13" s="46">
        <v>0.999999999985</v>
      </c>
      <c r="AA13" s="199">
        <v>0.18</v>
      </c>
      <c r="AB13" s="199">
        <v>0.25</v>
      </c>
      <c r="AC13" s="46">
        <v>0</v>
      </c>
      <c r="AD13" s="46">
        <v>0</v>
      </c>
      <c r="AE13" s="46">
        <v>0</v>
      </c>
      <c r="AF13" s="46">
        <v>0</v>
      </c>
      <c r="AG13" s="46">
        <v>0</v>
      </c>
      <c r="AH13" s="46">
        <v>0</v>
      </c>
      <c r="AI13" s="192"/>
      <c r="AJ13" s="100"/>
      <c r="AK13" s="49"/>
      <c r="AL13" s="49"/>
      <c r="AM13" s="49"/>
      <c r="AN13" s="49"/>
      <c r="AO13" s="49"/>
      <c r="AP13" s="49"/>
      <c r="AQ13" s="49"/>
      <c r="AR13" s="49"/>
      <c r="AS13" s="49"/>
      <c r="AT13" s="49"/>
      <c r="AU13" s="49"/>
      <c r="AV13" s="49"/>
      <c r="AW13" s="49"/>
      <c r="AX13" s="49"/>
      <c r="AY13" s="49"/>
      <c r="AZ13" s="49"/>
    </row>
    <row r="14" spans="1:52" ht="17.100000000000001" customHeight="1">
      <c r="A14" s="49"/>
      <c r="B14" s="52"/>
      <c r="C14" s="49" t="s">
        <v>203</v>
      </c>
      <c r="D14" s="184" t="s">
        <v>429</v>
      </c>
      <c r="E14" s="317"/>
      <c r="F14" s="180">
        <v>0</v>
      </c>
      <c r="G14" s="46">
        <v>0.03</v>
      </c>
      <c r="H14" s="46">
        <v>0</v>
      </c>
      <c r="I14" s="46">
        <v>0</v>
      </c>
      <c r="J14" s="46">
        <v>3.0000000000000001E-3</v>
      </c>
      <c r="K14" s="46"/>
      <c r="L14" s="46"/>
      <c r="M14" s="46"/>
      <c r="N14" s="46"/>
      <c r="O14" s="46"/>
      <c r="P14" s="46">
        <v>0</v>
      </c>
      <c r="Q14" s="199">
        <v>0.8</v>
      </c>
      <c r="R14" s="46">
        <v>0.25</v>
      </c>
      <c r="S14" s="46">
        <v>0.99990000000000001</v>
      </c>
      <c r="T14" s="46">
        <v>0.8</v>
      </c>
      <c r="U14" s="46">
        <v>0</v>
      </c>
      <c r="V14" s="46">
        <v>0.99999954499999999</v>
      </c>
      <c r="W14" s="46">
        <v>0.99999995450000001</v>
      </c>
      <c r="X14" s="46"/>
      <c r="Y14" s="46"/>
      <c r="Z14" s="46">
        <v>0</v>
      </c>
      <c r="AA14" s="46">
        <v>0.8</v>
      </c>
      <c r="AB14" s="46">
        <v>0.25</v>
      </c>
      <c r="AC14" s="46">
        <v>0.99999000000000005</v>
      </c>
      <c r="AD14" s="46">
        <v>0.8</v>
      </c>
      <c r="AE14" s="46">
        <v>0.99999830000000001</v>
      </c>
      <c r="AF14" s="46">
        <v>0.93</v>
      </c>
      <c r="AG14" s="46">
        <v>0.99999987999999995</v>
      </c>
      <c r="AH14" s="46">
        <v>0.99999998800000001</v>
      </c>
      <c r="AI14" s="192"/>
      <c r="AJ14" s="100"/>
      <c r="AK14" s="49"/>
      <c r="AL14" s="49"/>
      <c r="AM14" s="49"/>
      <c r="AN14" s="49"/>
      <c r="AO14" s="49"/>
      <c r="AP14" s="49"/>
      <c r="AQ14" s="49"/>
      <c r="AR14" s="49"/>
      <c r="AS14" s="49"/>
      <c r="AT14" s="49"/>
      <c r="AU14" s="49"/>
      <c r="AV14" s="49"/>
      <c r="AW14" s="49"/>
      <c r="AX14" s="49"/>
      <c r="AY14" s="49"/>
      <c r="AZ14" s="49"/>
    </row>
    <row r="15" spans="1:52" ht="17.100000000000001" customHeight="1">
      <c r="A15" s="49"/>
      <c r="B15" s="52"/>
      <c r="C15" s="49" t="s">
        <v>202</v>
      </c>
      <c r="D15" s="184" t="s">
        <v>429</v>
      </c>
      <c r="E15" s="317"/>
      <c r="F15" s="309">
        <f>SUM(DB_particles!S51:AB51)</f>
        <v>1.6251654930890357E-11</v>
      </c>
      <c r="G15" s="46">
        <v>0.08</v>
      </c>
      <c r="H15" s="46">
        <v>1</v>
      </c>
      <c r="I15" s="46">
        <v>1</v>
      </c>
      <c r="J15" s="46">
        <v>0.997</v>
      </c>
      <c r="K15" s="46"/>
      <c r="L15" s="46"/>
      <c r="M15" s="46"/>
      <c r="N15" s="46"/>
      <c r="O15" s="46"/>
      <c r="P15" s="145">
        <v>2.0000000000000002E-11</v>
      </c>
      <c r="Q15" s="199">
        <v>0.02</v>
      </c>
      <c r="R15" s="199">
        <v>0.5</v>
      </c>
      <c r="S15" s="46">
        <v>1E-4</v>
      </c>
      <c r="T15" s="46">
        <v>0.2</v>
      </c>
      <c r="U15" s="46">
        <v>1</v>
      </c>
      <c r="V15" s="145">
        <v>4.5499999999999998E-7</v>
      </c>
      <c r="W15" s="145">
        <v>4.5499999999999997E-8</v>
      </c>
      <c r="X15" s="46"/>
      <c r="Y15" s="46"/>
      <c r="Z15" s="145">
        <v>1.5E-11</v>
      </c>
      <c r="AA15" s="199">
        <v>0.02</v>
      </c>
      <c r="AB15" s="199">
        <v>0.5</v>
      </c>
      <c r="AC15" s="145">
        <v>1.0000000000000001E-5</v>
      </c>
      <c r="AD15" s="199">
        <v>0.2</v>
      </c>
      <c r="AE15" s="145">
        <v>1.7E-6</v>
      </c>
      <c r="AF15" s="199">
        <v>7.0000000000000007E-2</v>
      </c>
      <c r="AG15" s="145">
        <v>1.1999999999999999E-7</v>
      </c>
      <c r="AH15" s="145">
        <v>1.2E-8</v>
      </c>
      <c r="AI15" s="192"/>
      <c r="AJ15" s="100"/>
      <c r="AK15" s="49"/>
      <c r="AL15" s="49"/>
      <c r="AM15" s="49"/>
      <c r="AN15" s="49"/>
      <c r="AO15" s="49"/>
      <c r="AP15" s="49"/>
      <c r="AQ15" s="49"/>
      <c r="AR15" s="49"/>
      <c r="AS15" s="49"/>
      <c r="AT15" s="49"/>
      <c r="AU15" s="49"/>
      <c r="AV15" s="49"/>
      <c r="AW15" s="49"/>
      <c r="AX15" s="49"/>
      <c r="AY15" s="49"/>
      <c r="AZ15" s="49"/>
    </row>
    <row r="16" spans="1:52" ht="17.100000000000001" customHeight="1">
      <c r="A16" s="49"/>
      <c r="B16" s="52"/>
      <c r="C16" s="49" t="s">
        <v>555</v>
      </c>
      <c r="D16" s="184" t="s">
        <v>429</v>
      </c>
      <c r="E16" s="317"/>
      <c r="F16" s="312">
        <v>0</v>
      </c>
      <c r="G16" s="313">
        <v>0</v>
      </c>
      <c r="H16" s="313">
        <v>0</v>
      </c>
      <c r="I16" s="313">
        <v>0</v>
      </c>
      <c r="J16" s="313">
        <v>0</v>
      </c>
      <c r="K16" s="313"/>
      <c r="L16" s="313"/>
      <c r="M16" s="313"/>
      <c r="N16" s="313"/>
      <c r="O16" s="313"/>
      <c r="P16" s="313">
        <v>0</v>
      </c>
      <c r="Q16" s="313">
        <v>0</v>
      </c>
      <c r="R16" s="313">
        <v>2.52E-2</v>
      </c>
      <c r="S16" s="313">
        <v>0.02</v>
      </c>
      <c r="T16" s="313">
        <v>0.05</v>
      </c>
      <c r="U16" s="313">
        <v>0</v>
      </c>
      <c r="V16" s="313">
        <v>0.01</v>
      </c>
      <c r="W16" s="313">
        <v>0.01</v>
      </c>
      <c r="X16" s="313"/>
      <c r="Y16" s="313"/>
      <c r="Z16" s="313">
        <v>0</v>
      </c>
      <c r="AA16" s="313">
        <v>0</v>
      </c>
      <c r="AB16" s="313">
        <v>6.3700000000000007E-2</v>
      </c>
      <c r="AC16" s="313">
        <v>0.02</v>
      </c>
      <c r="AD16" s="313">
        <v>0.05</v>
      </c>
      <c r="AE16" s="313">
        <v>0.05</v>
      </c>
      <c r="AF16" s="313">
        <v>0.05</v>
      </c>
      <c r="AG16" s="313">
        <v>0.01</v>
      </c>
      <c r="AH16" s="313">
        <v>0.01</v>
      </c>
      <c r="AI16" s="192"/>
      <c r="AJ16" s="100"/>
      <c r="AK16" s="49"/>
      <c r="AL16" s="49"/>
      <c r="AM16" s="49"/>
      <c r="AN16" s="49"/>
      <c r="AO16" s="49"/>
      <c r="AP16" s="49"/>
      <c r="AQ16" s="49"/>
      <c r="AR16" s="49"/>
      <c r="AS16" s="49"/>
      <c r="AT16" s="49"/>
      <c r="AU16" s="49"/>
      <c r="AV16" s="49"/>
      <c r="AW16" s="49"/>
      <c r="AX16" s="49"/>
      <c r="AY16" s="49"/>
      <c r="AZ16" s="49"/>
    </row>
    <row r="17" spans="1:52" ht="17.100000000000001" customHeight="1">
      <c r="A17" s="49"/>
      <c r="B17" s="52"/>
      <c r="C17" s="49" t="s">
        <v>554</v>
      </c>
      <c r="D17" s="184" t="s">
        <v>429</v>
      </c>
      <c r="E17" s="317"/>
      <c r="F17" s="312">
        <v>0.1</v>
      </c>
      <c r="G17" s="313">
        <v>0</v>
      </c>
      <c r="H17" s="313">
        <v>0</v>
      </c>
      <c r="I17" s="313">
        <v>0</v>
      </c>
      <c r="J17" s="313">
        <v>0</v>
      </c>
      <c r="K17" s="313"/>
      <c r="L17" s="313"/>
      <c r="M17" s="313"/>
      <c r="N17" s="313"/>
      <c r="O17" s="313"/>
      <c r="P17" s="313">
        <v>0.1</v>
      </c>
      <c r="Q17" s="313">
        <v>0</v>
      </c>
      <c r="R17" s="313">
        <v>0</v>
      </c>
      <c r="S17" s="313">
        <v>0</v>
      </c>
      <c r="T17" s="313">
        <v>0</v>
      </c>
      <c r="U17" s="313">
        <v>0</v>
      </c>
      <c r="V17" s="313">
        <v>0</v>
      </c>
      <c r="W17" s="313">
        <v>0</v>
      </c>
      <c r="X17" s="313"/>
      <c r="Y17" s="313"/>
      <c r="Z17" s="313">
        <v>0.1</v>
      </c>
      <c r="AA17" s="313">
        <v>0</v>
      </c>
      <c r="AB17" s="313">
        <v>0</v>
      </c>
      <c r="AC17" s="313">
        <v>0</v>
      </c>
      <c r="AD17" s="313">
        <v>0</v>
      </c>
      <c r="AE17" s="313">
        <v>0</v>
      </c>
      <c r="AF17" s="313">
        <v>0</v>
      </c>
      <c r="AG17" s="313">
        <v>0</v>
      </c>
      <c r="AH17" s="313">
        <v>0</v>
      </c>
      <c r="AI17" s="191"/>
      <c r="AJ17" s="100"/>
      <c r="AK17" s="49"/>
      <c r="AL17" s="49"/>
      <c r="AM17" s="49"/>
      <c r="AN17" s="49"/>
      <c r="AO17" s="49"/>
      <c r="AP17" s="49"/>
      <c r="AQ17" s="49"/>
      <c r="AR17" s="49"/>
      <c r="AS17" s="49"/>
      <c r="AT17" s="49"/>
      <c r="AU17" s="49"/>
      <c r="AV17" s="49"/>
      <c r="AW17" s="49"/>
      <c r="AX17" s="49"/>
      <c r="AY17" s="49"/>
      <c r="AZ17" s="49"/>
    </row>
    <row r="18" spans="1:52" ht="17.100000000000001" customHeight="1">
      <c r="A18" s="49"/>
      <c r="B18" s="52"/>
      <c r="C18" s="49" t="s">
        <v>437</v>
      </c>
      <c r="D18" s="184" t="s">
        <v>429</v>
      </c>
      <c r="E18" s="317"/>
      <c r="F18" s="312">
        <v>0</v>
      </c>
      <c r="G18" s="313">
        <v>1</v>
      </c>
      <c r="H18" s="313">
        <v>1</v>
      </c>
      <c r="I18" s="313">
        <v>1</v>
      </c>
      <c r="J18" s="313">
        <v>1</v>
      </c>
      <c r="K18" s="313"/>
      <c r="L18" s="313"/>
      <c r="M18" s="313"/>
      <c r="N18" s="313"/>
      <c r="O18" s="313"/>
      <c r="P18" s="313">
        <v>0</v>
      </c>
      <c r="Q18" s="313">
        <v>0</v>
      </c>
      <c r="R18" s="313">
        <v>0</v>
      </c>
      <c r="S18" s="313">
        <v>0</v>
      </c>
      <c r="T18" s="313">
        <v>0</v>
      </c>
      <c r="U18" s="313">
        <v>1</v>
      </c>
      <c r="V18" s="313">
        <v>0</v>
      </c>
      <c r="W18" s="313">
        <v>0</v>
      </c>
      <c r="X18" s="313"/>
      <c r="Y18" s="313"/>
      <c r="Z18" s="313">
        <v>0</v>
      </c>
      <c r="AA18" s="313">
        <v>0</v>
      </c>
      <c r="AB18" s="313">
        <v>0</v>
      </c>
      <c r="AC18" s="313">
        <v>0</v>
      </c>
      <c r="AD18" s="313">
        <v>0</v>
      </c>
      <c r="AE18" s="313">
        <v>0</v>
      </c>
      <c r="AF18" s="313">
        <v>0</v>
      </c>
      <c r="AG18" s="313">
        <v>0</v>
      </c>
      <c r="AH18" s="313">
        <v>0</v>
      </c>
      <c r="AI18" s="191"/>
      <c r="AJ18" s="100"/>
      <c r="AK18" s="49"/>
      <c r="AL18" s="49"/>
      <c r="AM18" s="49"/>
      <c r="AN18" s="49"/>
      <c r="AO18" s="49"/>
      <c r="AP18" s="49"/>
      <c r="AQ18" s="49"/>
      <c r="AR18" s="49"/>
      <c r="AS18" s="49"/>
      <c r="AT18" s="49"/>
      <c r="AU18" s="49"/>
      <c r="AV18" s="49"/>
      <c r="AW18" s="49"/>
      <c r="AX18" s="49"/>
      <c r="AY18" s="49"/>
      <c r="AZ18" s="49"/>
    </row>
    <row r="19" spans="1:52" ht="17.100000000000001" customHeight="1">
      <c r="A19" s="49"/>
      <c r="B19" s="52"/>
      <c r="C19" s="49" t="s">
        <v>556</v>
      </c>
      <c r="D19" s="184" t="s">
        <v>429</v>
      </c>
      <c r="E19" s="317"/>
      <c r="F19" s="312">
        <v>0</v>
      </c>
      <c r="G19" s="313">
        <v>0</v>
      </c>
      <c r="H19" s="313">
        <v>0</v>
      </c>
      <c r="I19" s="313">
        <v>0</v>
      </c>
      <c r="J19" s="313">
        <v>0</v>
      </c>
      <c r="K19" s="313"/>
      <c r="L19" s="313"/>
      <c r="M19" s="313"/>
      <c r="N19" s="313"/>
      <c r="O19" s="313"/>
      <c r="P19" s="313">
        <v>0</v>
      </c>
      <c r="Q19" s="313">
        <v>0</v>
      </c>
      <c r="R19" s="313">
        <v>1.6799999999999999E-2</v>
      </c>
      <c r="S19" s="319">
        <v>5.1399999999999997E-7</v>
      </c>
      <c r="T19" s="313">
        <v>5.0000000000000001E-3</v>
      </c>
      <c r="U19" s="313">
        <v>0</v>
      </c>
      <c r="V19" s="313">
        <v>0</v>
      </c>
      <c r="W19" s="313">
        <v>0</v>
      </c>
      <c r="X19" s="313"/>
      <c r="Y19" s="313"/>
      <c r="Z19" s="313">
        <v>0</v>
      </c>
      <c r="AA19" s="313">
        <v>0</v>
      </c>
      <c r="AB19" s="313">
        <v>8.5000000000000006E-3</v>
      </c>
      <c r="AC19" s="319">
        <v>1.79E-7</v>
      </c>
      <c r="AD19" s="313">
        <v>5.0000000000000001E-3</v>
      </c>
      <c r="AE19" s="313">
        <v>5.0000000000000001E-3</v>
      </c>
      <c r="AF19" s="313">
        <v>5.0000000000000001E-3</v>
      </c>
      <c r="AG19" s="313">
        <v>0</v>
      </c>
      <c r="AH19" s="313">
        <v>0</v>
      </c>
      <c r="AI19" s="191"/>
      <c r="AJ19" s="100"/>
      <c r="AK19" s="49"/>
      <c r="AL19" s="49"/>
      <c r="AM19" s="49"/>
      <c r="AN19" s="49"/>
      <c r="AO19" s="49"/>
      <c r="AP19" s="49"/>
      <c r="AQ19" s="49"/>
      <c r="AR19" s="49"/>
      <c r="AS19" s="49"/>
      <c r="AT19" s="49"/>
      <c r="AU19" s="49"/>
      <c r="AV19" s="49"/>
      <c r="AW19" s="49"/>
      <c r="AX19" s="49"/>
      <c r="AY19" s="49"/>
      <c r="AZ19" s="49"/>
    </row>
    <row r="20" spans="1:52" ht="17.100000000000001" customHeight="1">
      <c r="A20" s="49"/>
      <c r="B20" s="52"/>
      <c r="C20" s="49" t="s">
        <v>432</v>
      </c>
      <c r="D20" s="184" t="s">
        <v>429</v>
      </c>
      <c r="E20" s="317"/>
      <c r="F20" s="312">
        <v>0</v>
      </c>
      <c r="G20" s="313">
        <v>0</v>
      </c>
      <c r="H20" s="313">
        <v>0</v>
      </c>
      <c r="I20" s="313">
        <v>0</v>
      </c>
      <c r="J20" s="313">
        <v>0</v>
      </c>
      <c r="K20" s="313"/>
      <c r="L20" s="313"/>
      <c r="M20" s="313"/>
      <c r="N20" s="313"/>
      <c r="O20" s="313"/>
      <c r="P20" s="313">
        <v>0</v>
      </c>
      <c r="Q20" s="313">
        <v>0</v>
      </c>
      <c r="R20" s="313">
        <v>0.09</v>
      </c>
      <c r="S20" s="313">
        <v>0.44700000000000001</v>
      </c>
      <c r="T20" s="313">
        <v>0.15</v>
      </c>
      <c r="U20" s="313">
        <v>0</v>
      </c>
      <c r="V20" s="313">
        <v>0</v>
      </c>
      <c r="W20" s="313">
        <v>0</v>
      </c>
      <c r="X20" s="313"/>
      <c r="Y20" s="313"/>
      <c r="Z20" s="313">
        <v>0</v>
      </c>
      <c r="AA20" s="313">
        <v>0</v>
      </c>
      <c r="AB20" s="313">
        <v>0.06</v>
      </c>
      <c r="AC20" s="313">
        <v>0.32</v>
      </c>
      <c r="AD20" s="313">
        <v>0.15</v>
      </c>
      <c r="AE20" s="313">
        <v>4.5999999999999999E-2</v>
      </c>
      <c r="AF20" s="313">
        <v>4.5999999999999999E-2</v>
      </c>
      <c r="AG20" s="313">
        <v>0</v>
      </c>
      <c r="AH20" s="313">
        <v>0</v>
      </c>
      <c r="AI20" s="191"/>
      <c r="AJ20" s="100"/>
      <c r="AK20" s="49"/>
      <c r="AL20" s="49"/>
      <c r="AM20" s="49"/>
      <c r="AN20" s="49"/>
      <c r="AO20" s="49"/>
      <c r="AP20" s="49"/>
      <c r="AQ20" s="49"/>
      <c r="AR20" s="49"/>
      <c r="AS20" s="49"/>
      <c r="AT20" s="49"/>
      <c r="AU20" s="49"/>
      <c r="AV20" s="49"/>
      <c r="AW20" s="49"/>
      <c r="AX20" s="49"/>
      <c r="AY20" s="49"/>
      <c r="AZ20" s="49"/>
    </row>
    <row r="21" spans="1:52" ht="17.100000000000001" customHeight="1">
      <c r="A21" s="49"/>
      <c r="B21" s="52"/>
      <c r="C21" s="49" t="s">
        <v>553</v>
      </c>
      <c r="D21" s="181" t="s">
        <v>840</v>
      </c>
      <c r="E21" s="317"/>
      <c r="F21" s="180"/>
      <c r="G21" s="46"/>
      <c r="H21" s="46"/>
      <c r="I21" s="46"/>
      <c r="J21" s="46"/>
      <c r="K21" s="46"/>
      <c r="L21" s="46"/>
      <c r="M21" s="46"/>
      <c r="N21" s="46"/>
      <c r="O21" s="46"/>
      <c r="P21" s="46"/>
      <c r="Q21" s="314"/>
      <c r="R21" s="46">
        <v>0.16</v>
      </c>
      <c r="S21" s="46"/>
      <c r="T21" s="46">
        <v>8.69</v>
      </c>
      <c r="U21" s="46"/>
      <c r="V21" s="46">
        <v>0</v>
      </c>
      <c r="W21" s="46">
        <v>0</v>
      </c>
      <c r="X21" s="46"/>
      <c r="Y21" s="46"/>
      <c r="Z21" s="46"/>
      <c r="AA21" s="46"/>
      <c r="AB21" s="46">
        <v>0.74</v>
      </c>
      <c r="AC21" s="46"/>
      <c r="AD21" s="46">
        <v>8.69</v>
      </c>
      <c r="AE21" s="46">
        <v>0.20399999999999999</v>
      </c>
      <c r="AF21" s="46">
        <v>0.20399999999999999</v>
      </c>
      <c r="AG21" s="46">
        <v>0</v>
      </c>
      <c r="AH21" s="46">
        <v>0</v>
      </c>
      <c r="AI21" s="194"/>
      <c r="AJ21" s="49"/>
      <c r="AK21" s="49"/>
      <c r="AL21" s="49"/>
      <c r="AM21" s="49"/>
      <c r="AN21" s="49"/>
      <c r="AO21" s="49"/>
      <c r="AP21" s="49"/>
      <c r="AQ21" s="49"/>
      <c r="AR21" s="49"/>
      <c r="AS21" s="49"/>
      <c r="AT21" s="49"/>
      <c r="AU21" s="49"/>
      <c r="AV21" s="49"/>
      <c r="AW21" s="49"/>
      <c r="AX21" s="49"/>
      <c r="AY21" s="49"/>
      <c r="AZ21" s="49"/>
    </row>
    <row r="22" spans="1:52" ht="17.100000000000001" customHeight="1">
      <c r="A22" s="49"/>
      <c r="B22" s="52"/>
      <c r="C22" s="49" t="s">
        <v>278</v>
      </c>
      <c r="D22" s="184" t="s">
        <v>429</v>
      </c>
      <c r="E22" s="317"/>
      <c r="F22" s="309"/>
      <c r="G22" s="145"/>
      <c r="H22" s="145"/>
      <c r="I22" s="145"/>
      <c r="J22" s="145"/>
      <c r="K22" s="145"/>
      <c r="L22" s="145"/>
      <c r="M22" s="145"/>
      <c r="N22" s="145"/>
      <c r="O22" s="145"/>
      <c r="P22" s="145"/>
      <c r="Q22" s="46">
        <v>1.2</v>
      </c>
      <c r="R22" s="145"/>
      <c r="S22" s="145"/>
      <c r="T22" s="145"/>
      <c r="U22" s="46">
        <v>2</v>
      </c>
      <c r="V22" s="145"/>
      <c r="W22" s="145"/>
      <c r="X22" s="46"/>
      <c r="Y22" s="46"/>
      <c r="Z22" s="145"/>
      <c r="AA22" s="46">
        <v>1.2</v>
      </c>
      <c r="AB22" s="145"/>
      <c r="AC22" s="47"/>
      <c r="AD22" s="47"/>
      <c r="AE22" s="47"/>
      <c r="AF22" s="47"/>
      <c r="AG22" s="47"/>
      <c r="AH22" s="47"/>
      <c r="AI22" s="193"/>
      <c r="AJ22" s="100"/>
      <c r="AK22" s="49"/>
      <c r="AL22" s="49"/>
      <c r="AM22" s="49"/>
      <c r="AN22" s="49"/>
      <c r="AO22" s="49"/>
      <c r="AP22" s="49"/>
      <c r="AQ22" s="49"/>
      <c r="AR22" s="49"/>
      <c r="AS22" s="49"/>
      <c r="AT22" s="49"/>
      <c r="AU22" s="49"/>
      <c r="AV22" s="49"/>
      <c r="AW22" s="49"/>
      <c r="AX22" s="49"/>
      <c r="AY22" s="49"/>
      <c r="AZ22" s="49"/>
    </row>
    <row r="23" spans="1:52" ht="17.100000000000001" customHeight="1">
      <c r="A23" s="49"/>
      <c r="B23" s="52"/>
      <c r="C23" s="49" t="s">
        <v>470</v>
      </c>
      <c r="D23" s="181" t="s">
        <v>445</v>
      </c>
      <c r="E23" s="317"/>
      <c r="F23" s="311">
        <v>0.81300813008130079</v>
      </c>
      <c r="G23" s="46"/>
      <c r="H23" s="46"/>
      <c r="I23" s="46"/>
      <c r="J23" s="46"/>
      <c r="K23" s="46"/>
      <c r="L23" s="46"/>
      <c r="M23" s="46"/>
      <c r="N23" s="46"/>
      <c r="O23" s="46"/>
      <c r="P23" s="46">
        <v>27.2</v>
      </c>
      <c r="Q23" s="46"/>
      <c r="R23" s="46"/>
      <c r="S23" s="146">
        <v>1693</v>
      </c>
      <c r="T23" s="46"/>
      <c r="U23" s="46"/>
      <c r="V23" s="46">
        <v>91980</v>
      </c>
      <c r="W23" s="46">
        <v>459900</v>
      </c>
      <c r="X23" s="46"/>
      <c r="Y23" s="46"/>
      <c r="Z23" s="46">
        <v>27.2</v>
      </c>
      <c r="AA23" s="46"/>
      <c r="AB23" s="46"/>
      <c r="AC23" s="146">
        <v>6000</v>
      </c>
      <c r="AD23" s="46"/>
      <c r="AE23" s="146">
        <v>147862.56</v>
      </c>
      <c r="AF23" s="46"/>
      <c r="AG23" s="46">
        <v>61320</v>
      </c>
      <c r="AH23" s="46">
        <v>350400</v>
      </c>
      <c r="AI23" s="192"/>
      <c r="AJ23" s="100"/>
      <c r="AK23" s="49"/>
      <c r="AL23" s="49"/>
      <c r="AM23" s="49"/>
      <c r="AN23" s="49"/>
      <c r="AO23" s="49"/>
      <c r="AP23" s="49"/>
      <c r="AQ23" s="49"/>
      <c r="AR23" s="49"/>
      <c r="AS23" s="49"/>
      <c r="AT23" s="49"/>
      <c r="AU23" s="49"/>
      <c r="AV23" s="49"/>
      <c r="AW23" s="49"/>
      <c r="AX23" s="49"/>
      <c r="AY23" s="49"/>
      <c r="AZ23" s="49"/>
    </row>
    <row r="24" spans="1:52" ht="17.100000000000001" customHeight="1">
      <c r="A24" s="49"/>
      <c r="B24" s="52"/>
      <c r="C24" s="49" t="s">
        <v>754</v>
      </c>
      <c r="D24" s="181" t="s">
        <v>753</v>
      </c>
      <c r="E24" s="316"/>
      <c r="F24" s="309"/>
      <c r="G24" s="145"/>
      <c r="H24" s="145"/>
      <c r="I24" s="145"/>
      <c r="J24" s="145"/>
      <c r="K24" s="145"/>
      <c r="L24" s="145"/>
      <c r="M24" s="145"/>
      <c r="N24" s="145"/>
      <c r="O24" s="145"/>
      <c r="P24" s="145"/>
      <c r="Q24" s="145"/>
      <c r="R24" s="145"/>
      <c r="S24" s="145"/>
      <c r="T24" s="145"/>
      <c r="U24" s="145"/>
      <c r="V24" s="145">
        <v>4.0000000000000003E-5</v>
      </c>
      <c r="W24" s="145">
        <v>2.0000000000000002E-5</v>
      </c>
      <c r="X24" s="145"/>
      <c r="Y24" s="145"/>
      <c r="Z24" s="145"/>
      <c r="AA24" s="145"/>
      <c r="AB24" s="145"/>
      <c r="AC24" s="145"/>
      <c r="AD24" s="145"/>
      <c r="AE24" s="145"/>
      <c r="AF24" s="145"/>
      <c r="AG24" s="145"/>
      <c r="AH24" s="145"/>
      <c r="AI24" s="194"/>
      <c r="AJ24" s="49"/>
      <c r="AK24" s="49"/>
      <c r="AL24" s="49"/>
      <c r="AM24" s="49"/>
      <c r="AN24" s="49"/>
      <c r="AO24" s="49"/>
      <c r="AP24" s="49"/>
      <c r="AQ24" s="49"/>
      <c r="AR24" s="49"/>
      <c r="AS24" s="49"/>
      <c r="AT24" s="49"/>
      <c r="AU24" s="49"/>
      <c r="AV24" s="49"/>
      <c r="AW24" s="49"/>
      <c r="AX24" s="49"/>
      <c r="AY24" s="49"/>
      <c r="AZ24" s="49"/>
    </row>
    <row r="25" spans="1:52" ht="17.100000000000001" customHeight="1">
      <c r="A25" s="49"/>
      <c r="B25" s="52"/>
      <c r="C25" s="49" t="s">
        <v>755</v>
      </c>
      <c r="D25" s="181" t="s">
        <v>753</v>
      </c>
      <c r="E25" s="316"/>
      <c r="F25" s="309"/>
      <c r="G25" s="145"/>
      <c r="H25" s="145"/>
      <c r="I25" s="145"/>
      <c r="J25" s="145"/>
      <c r="K25" s="145"/>
      <c r="L25" s="145"/>
      <c r="M25" s="145"/>
      <c r="N25" s="145"/>
      <c r="O25" s="145"/>
      <c r="P25" s="145"/>
      <c r="Q25" s="145"/>
      <c r="R25" s="145"/>
      <c r="S25" s="145"/>
      <c r="T25" s="145"/>
      <c r="U25" s="145"/>
      <c r="V25" s="145"/>
      <c r="W25" s="145"/>
      <c r="X25" s="145"/>
      <c r="Y25" s="145"/>
      <c r="Z25" s="145"/>
      <c r="AA25" s="145"/>
      <c r="AB25" s="145"/>
      <c r="AC25" s="145"/>
      <c r="AD25" s="145"/>
      <c r="AE25" s="145"/>
      <c r="AF25" s="145"/>
      <c r="AG25" s="145"/>
      <c r="AH25" s="145">
        <v>1.9999999999999999E-6</v>
      </c>
      <c r="AI25" s="118"/>
      <c r="AJ25" s="49"/>
      <c r="AK25" s="49"/>
      <c r="AL25" s="49"/>
      <c r="AM25" s="49"/>
      <c r="AN25" s="49"/>
      <c r="AO25" s="49"/>
      <c r="AP25" s="49"/>
      <c r="AQ25" s="49"/>
      <c r="AR25" s="49"/>
      <c r="AS25" s="49"/>
      <c r="AT25" s="49"/>
      <c r="AU25" s="49"/>
      <c r="AV25" s="49"/>
      <c r="AW25" s="49"/>
      <c r="AX25" s="49"/>
      <c r="AY25" s="49"/>
      <c r="AZ25" s="49"/>
    </row>
    <row r="26" spans="1:52" ht="17.850000000000001" customHeight="1">
      <c r="A26" s="49"/>
      <c r="B26" s="52"/>
      <c r="C26" s="49" t="s">
        <v>480</v>
      </c>
      <c r="D26" s="184" t="s">
        <v>429</v>
      </c>
      <c r="E26" s="316"/>
      <c r="F26" s="309"/>
      <c r="G26" s="145"/>
      <c r="H26" s="145"/>
      <c r="I26" s="145"/>
      <c r="J26" s="145"/>
      <c r="K26" s="145"/>
      <c r="L26" s="145"/>
      <c r="M26" s="145"/>
      <c r="N26" s="145"/>
      <c r="O26" s="145"/>
      <c r="P26" s="145"/>
      <c r="Q26" s="145"/>
      <c r="R26" s="145"/>
      <c r="S26" s="145"/>
      <c r="T26" s="145"/>
      <c r="U26" s="145"/>
      <c r="V26" s="145"/>
      <c r="W26" s="145"/>
      <c r="X26" s="145"/>
      <c r="Y26" s="145"/>
      <c r="Z26" s="46">
        <v>1</v>
      </c>
      <c r="AA26" s="145"/>
      <c r="AB26" s="145"/>
      <c r="AC26" s="145"/>
      <c r="AD26" s="145"/>
      <c r="AE26" s="46">
        <v>0</v>
      </c>
      <c r="AF26" s="145"/>
      <c r="AG26" s="46">
        <v>0</v>
      </c>
      <c r="AH26" s="46">
        <v>0</v>
      </c>
      <c r="AI26" s="117">
        <v>1</v>
      </c>
      <c r="AJ26" s="49"/>
      <c r="AK26" s="49"/>
      <c r="AL26" s="49"/>
      <c r="AM26" s="49"/>
      <c r="AN26" s="49"/>
      <c r="AO26" s="49"/>
      <c r="AP26" s="49"/>
      <c r="AQ26" s="49"/>
      <c r="AR26" s="49"/>
      <c r="AS26" s="49"/>
      <c r="AT26" s="49"/>
      <c r="AU26" s="49"/>
      <c r="AV26" s="49"/>
      <c r="AW26" s="49"/>
      <c r="AX26" s="49"/>
      <c r="AY26" s="49"/>
      <c r="AZ26" s="49"/>
    </row>
    <row r="27" spans="1:52" ht="17.850000000000001" customHeight="1">
      <c r="A27" s="49"/>
      <c r="B27" s="52"/>
      <c r="C27" s="49" t="s">
        <v>1128</v>
      </c>
      <c r="D27" s="426" t="s">
        <v>429</v>
      </c>
      <c r="E27" s="316"/>
      <c r="F27" s="180"/>
      <c r="G27" s="46"/>
      <c r="H27" s="46"/>
      <c r="I27" s="46"/>
      <c r="J27" s="46"/>
      <c r="K27" s="46"/>
      <c r="L27" s="46"/>
      <c r="M27" s="46"/>
      <c r="N27" s="46"/>
      <c r="O27" s="46"/>
      <c r="P27" s="46"/>
      <c r="Q27" s="46">
        <v>1</v>
      </c>
      <c r="R27" s="46">
        <v>2</v>
      </c>
      <c r="S27" s="46">
        <v>1</v>
      </c>
      <c r="T27" s="46">
        <v>10</v>
      </c>
      <c r="U27" s="46"/>
      <c r="V27" s="46">
        <v>3</v>
      </c>
      <c r="W27" s="46">
        <v>10</v>
      </c>
      <c r="X27" s="46"/>
      <c r="Y27" s="46"/>
      <c r="Z27" s="46"/>
      <c r="AA27" s="46">
        <v>1</v>
      </c>
      <c r="AB27" s="46">
        <v>2</v>
      </c>
      <c r="AC27" s="46">
        <v>1</v>
      </c>
      <c r="AD27" s="46">
        <v>10</v>
      </c>
      <c r="AE27" s="46">
        <v>1</v>
      </c>
      <c r="AF27" s="46">
        <v>10</v>
      </c>
      <c r="AG27" s="46">
        <v>3</v>
      </c>
      <c r="AH27" s="46">
        <v>10</v>
      </c>
      <c r="AI27" s="118"/>
      <c r="AJ27" s="49"/>
      <c r="AK27" s="49"/>
      <c r="AL27" s="49"/>
      <c r="AM27" s="49"/>
      <c r="AN27" s="49"/>
      <c r="AO27" s="49"/>
      <c r="AP27" s="49"/>
      <c r="AQ27" s="49"/>
      <c r="AR27" s="49"/>
      <c r="AS27" s="49"/>
      <c r="AT27" s="49"/>
      <c r="AU27" s="49"/>
      <c r="AV27" s="49"/>
      <c r="AW27" s="49"/>
      <c r="AX27" s="49"/>
      <c r="AY27" s="49"/>
      <c r="AZ27" s="49"/>
    </row>
    <row r="28" spans="1:52" ht="17.850000000000001" hidden="1" customHeight="1">
      <c r="A28" s="49"/>
      <c r="B28" s="52"/>
      <c r="C28" s="49"/>
      <c r="D28" s="181"/>
      <c r="E28" s="308"/>
      <c r="F28" s="180"/>
      <c r="G28" s="46"/>
      <c r="H28" s="46"/>
      <c r="I28" s="46"/>
      <c r="J28" s="46"/>
      <c r="K28" s="46"/>
      <c r="L28" s="46"/>
      <c r="M28" s="46"/>
      <c r="N28" s="46"/>
      <c r="O28" s="46"/>
      <c r="P28" s="46"/>
      <c r="Q28" s="314"/>
      <c r="R28" s="314"/>
      <c r="S28" s="46"/>
      <c r="T28" s="46"/>
      <c r="U28" s="145"/>
      <c r="V28" s="46"/>
      <c r="W28" s="46"/>
      <c r="X28" s="46"/>
      <c r="Y28" s="46"/>
      <c r="Z28" s="46"/>
      <c r="AA28" s="46"/>
      <c r="AB28" s="145"/>
      <c r="AC28" s="46"/>
      <c r="AD28" s="46"/>
      <c r="AE28" s="46"/>
      <c r="AF28" s="46"/>
      <c r="AG28" s="46"/>
      <c r="AH28" s="46"/>
      <c r="AI28" s="118"/>
      <c r="AJ28" s="49"/>
      <c r="AK28" s="49"/>
      <c r="AL28" s="49"/>
      <c r="AM28" s="49"/>
      <c r="AN28" s="49"/>
      <c r="AO28" s="49"/>
      <c r="AP28" s="49"/>
      <c r="AQ28" s="49"/>
      <c r="AR28" s="49"/>
      <c r="AS28" s="49"/>
      <c r="AT28" s="49"/>
      <c r="AU28" s="49"/>
      <c r="AV28" s="49"/>
      <c r="AW28" s="49"/>
      <c r="AX28" s="49"/>
      <c r="AY28" s="49"/>
      <c r="AZ28" s="49"/>
    </row>
    <row r="29" spans="1:52" ht="17.850000000000001" customHeight="1">
      <c r="A29" s="49"/>
      <c r="B29" s="49"/>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49"/>
    </row>
    <row r="30" spans="1:52" ht="17.100000000000001" customHeight="1">
      <c r="A30" s="49"/>
      <c r="B30" s="115" t="s">
        <v>440</v>
      </c>
      <c r="C30" s="115"/>
      <c r="D30" s="115" t="s">
        <v>464</v>
      </c>
      <c r="E30" s="257" t="s">
        <v>463</v>
      </c>
      <c r="F30" s="257"/>
      <c r="G30" s="257"/>
      <c r="H30" s="257"/>
      <c r="I30" s="257"/>
      <c r="J30" s="257"/>
      <c r="K30" s="257"/>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49"/>
      <c r="AK30" s="49"/>
      <c r="AL30" s="49"/>
      <c r="AM30" s="49"/>
      <c r="AN30" s="49"/>
      <c r="AO30" s="49"/>
      <c r="AP30" s="49"/>
      <c r="AQ30" s="49"/>
      <c r="AR30" s="49"/>
      <c r="AS30" s="49"/>
      <c r="AT30" s="49"/>
      <c r="AU30" s="49"/>
      <c r="AV30" s="49"/>
      <c r="AW30" s="49"/>
      <c r="AX30" s="49"/>
      <c r="AY30" s="49"/>
      <c r="AZ30" s="49"/>
    </row>
    <row r="31" spans="1:52" ht="17.100000000000001" customHeight="1">
      <c r="A31" s="49"/>
      <c r="B31" s="52"/>
      <c r="C31" s="49" t="s">
        <v>829</v>
      </c>
      <c r="D31" s="49" t="s">
        <v>828</v>
      </c>
      <c r="E31" s="310">
        <v>15000000</v>
      </c>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52"/>
      <c r="AJ31" s="52"/>
      <c r="AK31" s="52"/>
      <c r="AL31" s="52"/>
      <c r="AM31" s="52"/>
      <c r="AN31" s="52"/>
      <c r="AO31" s="52"/>
      <c r="AP31" s="52"/>
      <c r="AQ31" s="52"/>
      <c r="AR31" s="52"/>
      <c r="AS31" s="52"/>
      <c r="AT31" s="52"/>
      <c r="AU31" s="52"/>
      <c r="AV31" s="52"/>
      <c r="AW31" s="52"/>
      <c r="AX31" s="52"/>
      <c r="AY31" s="52"/>
      <c r="AZ31" s="52"/>
    </row>
    <row r="32" spans="1:52" ht="17.100000000000001" customHeight="1">
      <c r="A32" s="49"/>
      <c r="B32" s="52"/>
      <c r="C32" s="49" t="s">
        <v>830</v>
      </c>
      <c r="D32" s="49" t="s">
        <v>842</v>
      </c>
      <c r="E32" s="310">
        <v>60</v>
      </c>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52"/>
      <c r="AJ32" s="52"/>
      <c r="AK32" s="52"/>
      <c r="AL32" s="52"/>
      <c r="AM32" s="52"/>
      <c r="AN32" s="52"/>
      <c r="AO32" s="52"/>
      <c r="AP32" s="52"/>
      <c r="AQ32" s="52"/>
      <c r="AR32" s="52"/>
      <c r="AS32" s="52"/>
      <c r="AT32" s="52"/>
      <c r="AU32" s="52"/>
      <c r="AV32" s="52"/>
      <c r="AW32" s="52"/>
      <c r="AX32" s="52"/>
      <c r="AY32" s="52"/>
      <c r="AZ32" s="52"/>
    </row>
    <row r="33" spans="1:52" ht="17.100000000000001" customHeight="1">
      <c r="A33" s="49"/>
      <c r="B33" s="52"/>
      <c r="C33" s="49" t="s">
        <v>831</v>
      </c>
      <c r="D33" s="49" t="s">
        <v>763</v>
      </c>
      <c r="E33" s="310">
        <v>28</v>
      </c>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52"/>
      <c r="AJ33" s="52"/>
      <c r="AK33" s="52"/>
      <c r="AL33" s="52"/>
      <c r="AM33" s="52"/>
      <c r="AN33" s="52"/>
      <c r="AO33" s="52"/>
      <c r="AP33" s="52"/>
      <c r="AQ33" s="52"/>
      <c r="AR33" s="52"/>
      <c r="AS33" s="52"/>
      <c r="AT33" s="52"/>
      <c r="AU33" s="52"/>
      <c r="AV33" s="52"/>
      <c r="AW33" s="52"/>
      <c r="AX33" s="52"/>
      <c r="AY33" s="52"/>
      <c r="AZ33" s="52"/>
    </row>
    <row r="34" spans="1:52" ht="17.100000000000001" customHeight="1">
      <c r="A34" s="49"/>
      <c r="B34" s="52"/>
      <c r="C34" s="77" t="s">
        <v>847</v>
      </c>
      <c r="D34" s="49" t="s">
        <v>848</v>
      </c>
      <c r="E34" s="310">
        <v>0</v>
      </c>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52"/>
      <c r="AJ34" s="52"/>
      <c r="AK34" s="52"/>
      <c r="AL34" s="52"/>
      <c r="AM34" s="52"/>
      <c r="AN34" s="52"/>
      <c r="AO34" s="52"/>
      <c r="AP34" s="52"/>
      <c r="AQ34" s="52"/>
      <c r="AR34" s="52"/>
      <c r="AS34" s="52"/>
      <c r="AT34" s="52"/>
      <c r="AU34" s="52"/>
      <c r="AV34" s="52"/>
      <c r="AW34" s="52"/>
      <c r="AX34" s="52"/>
      <c r="AY34" s="52"/>
      <c r="AZ34" s="52"/>
    </row>
    <row r="35" spans="1:52" ht="17.100000000000001" customHeight="1">
      <c r="A35" s="49"/>
      <c r="B35" s="52"/>
      <c r="C35" s="49" t="s">
        <v>832</v>
      </c>
      <c r="D35" s="49" t="s">
        <v>841</v>
      </c>
      <c r="E35" s="310">
        <v>12</v>
      </c>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52"/>
      <c r="AJ35" s="52"/>
      <c r="AK35" s="52"/>
      <c r="AL35" s="52"/>
      <c r="AM35" s="52"/>
      <c r="AN35" s="52"/>
      <c r="AO35" s="52"/>
      <c r="AP35" s="52"/>
      <c r="AQ35" s="52"/>
      <c r="AR35" s="52"/>
      <c r="AS35" s="52"/>
      <c r="AT35" s="52"/>
      <c r="AU35" s="52"/>
      <c r="AV35" s="52"/>
      <c r="AW35" s="52"/>
      <c r="AX35" s="52"/>
      <c r="AY35" s="52"/>
      <c r="AZ35" s="52"/>
    </row>
    <row r="36" spans="1:52" ht="17.100000000000001" customHeight="1">
      <c r="A36" s="49"/>
      <c r="B36" s="52"/>
      <c r="C36" s="77" t="s">
        <v>843</v>
      </c>
      <c r="D36" s="49" t="s">
        <v>429</v>
      </c>
      <c r="E36" s="315">
        <v>0.33329999999999999</v>
      </c>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52"/>
      <c r="AJ36" s="52"/>
      <c r="AK36" s="52"/>
      <c r="AL36" s="52"/>
      <c r="AM36" s="52"/>
      <c r="AN36" s="52"/>
      <c r="AO36" s="52"/>
      <c r="AP36" s="52"/>
      <c r="AQ36" s="52"/>
      <c r="AR36" s="52"/>
      <c r="AS36" s="52"/>
      <c r="AT36" s="52"/>
      <c r="AU36" s="52"/>
      <c r="AV36" s="52"/>
      <c r="AW36" s="52"/>
      <c r="AX36" s="52"/>
      <c r="AY36" s="52"/>
      <c r="AZ36" s="52"/>
    </row>
    <row r="37" spans="1:52" ht="17.100000000000001" customHeight="1">
      <c r="A37" s="49"/>
      <c r="B37" s="52"/>
      <c r="C37" s="49" t="s">
        <v>833</v>
      </c>
      <c r="D37" s="49" t="s">
        <v>429</v>
      </c>
      <c r="E37" s="315">
        <v>0.8</v>
      </c>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52"/>
      <c r="AJ37" s="52"/>
      <c r="AK37" s="52"/>
      <c r="AL37" s="52"/>
      <c r="AM37" s="52"/>
      <c r="AN37" s="52"/>
      <c r="AO37" s="52"/>
      <c r="AP37" s="52"/>
      <c r="AQ37" s="52"/>
      <c r="AR37" s="52"/>
      <c r="AS37" s="52"/>
      <c r="AT37" s="52"/>
      <c r="AU37" s="52"/>
      <c r="AV37" s="52"/>
      <c r="AW37" s="52"/>
      <c r="AX37" s="52"/>
      <c r="AY37" s="52"/>
      <c r="AZ37" s="52"/>
    </row>
    <row r="38" spans="1:52" ht="17.100000000000001" customHeight="1">
      <c r="A38" s="49"/>
      <c r="B38" s="52"/>
      <c r="C38" s="49" t="s">
        <v>834</v>
      </c>
      <c r="D38" s="49" t="s">
        <v>429</v>
      </c>
      <c r="E38" s="315">
        <v>0.8</v>
      </c>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52"/>
      <c r="AJ38" s="52"/>
      <c r="AK38" s="52"/>
      <c r="AL38" s="52"/>
      <c r="AM38" s="52"/>
      <c r="AN38" s="52"/>
      <c r="AO38" s="52"/>
      <c r="AP38" s="52"/>
      <c r="AQ38" s="52"/>
      <c r="AR38" s="52"/>
      <c r="AS38" s="52"/>
      <c r="AT38" s="52"/>
      <c r="AU38" s="52"/>
      <c r="AV38" s="52"/>
      <c r="AW38" s="52"/>
      <c r="AX38" s="52"/>
      <c r="AY38" s="52"/>
      <c r="AZ38" s="52"/>
    </row>
    <row r="39" spans="1:52" ht="17.100000000000001" customHeight="1">
      <c r="A39" s="49"/>
      <c r="B39" s="52"/>
      <c r="C39" s="77" t="s">
        <v>846</v>
      </c>
      <c r="D39" s="49" t="s">
        <v>429</v>
      </c>
      <c r="E39" s="315">
        <v>0.9</v>
      </c>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52"/>
      <c r="AJ39" s="52"/>
      <c r="AK39" s="52"/>
      <c r="AL39" s="52"/>
      <c r="AM39" s="52"/>
      <c r="AN39" s="52"/>
      <c r="AO39" s="52"/>
      <c r="AP39" s="52"/>
      <c r="AQ39" s="52"/>
      <c r="AR39" s="52"/>
      <c r="AS39" s="52"/>
      <c r="AT39" s="52"/>
      <c r="AU39" s="52"/>
      <c r="AV39" s="52"/>
      <c r="AW39" s="52"/>
      <c r="AX39" s="52"/>
      <c r="AY39" s="52"/>
      <c r="AZ39" s="52"/>
    </row>
    <row r="40" spans="1:52" ht="17.100000000000001" customHeight="1">
      <c r="A40" s="49"/>
      <c r="B40" s="116"/>
      <c r="C40" s="49" t="s">
        <v>844</v>
      </c>
      <c r="D40" s="49" t="s">
        <v>429</v>
      </c>
      <c r="E40" s="315">
        <v>0.1</v>
      </c>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52"/>
      <c r="AJ40" s="52"/>
      <c r="AK40" s="52"/>
      <c r="AL40" s="52"/>
      <c r="AM40" s="52"/>
      <c r="AN40" s="52"/>
      <c r="AO40" s="52"/>
      <c r="AP40" s="52"/>
      <c r="AQ40" s="52"/>
      <c r="AR40" s="52"/>
      <c r="AS40" s="52"/>
      <c r="AT40" s="52"/>
      <c r="AU40" s="52"/>
      <c r="AV40" s="52"/>
      <c r="AW40" s="52"/>
      <c r="AX40" s="52"/>
      <c r="AY40" s="52"/>
      <c r="AZ40" s="52"/>
    </row>
    <row r="41" spans="1:52" ht="17.100000000000001" customHeight="1">
      <c r="A41" s="49"/>
      <c r="B41" s="52"/>
      <c r="C41" s="49" t="s">
        <v>845</v>
      </c>
      <c r="D41" s="49" t="s">
        <v>429</v>
      </c>
      <c r="E41" s="315">
        <v>0.5</v>
      </c>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52"/>
      <c r="AJ41" s="52"/>
      <c r="AK41" s="52"/>
      <c r="AL41" s="52"/>
      <c r="AM41" s="52"/>
      <c r="AN41" s="52"/>
      <c r="AO41" s="52"/>
      <c r="AP41" s="52"/>
      <c r="AQ41" s="52"/>
      <c r="AR41" s="52"/>
      <c r="AS41" s="52"/>
      <c r="AT41" s="52"/>
      <c r="AU41" s="52"/>
      <c r="AV41" s="52"/>
      <c r="AW41" s="52"/>
      <c r="AX41" s="52"/>
      <c r="AY41" s="52"/>
      <c r="AZ41" s="52"/>
    </row>
    <row r="42" spans="1:52" ht="17.100000000000001" hidden="1" customHeight="1">
      <c r="A42" s="49"/>
      <c r="B42" s="52"/>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52"/>
      <c r="AJ42" s="52"/>
      <c r="AK42" s="52"/>
      <c r="AL42" s="52"/>
      <c r="AM42" s="52"/>
      <c r="AN42" s="52"/>
      <c r="AO42" s="52"/>
      <c r="AP42" s="52"/>
      <c r="AQ42" s="52"/>
      <c r="AR42" s="52"/>
      <c r="AS42" s="52"/>
      <c r="AT42" s="52"/>
      <c r="AU42" s="52"/>
      <c r="AV42" s="52"/>
      <c r="AW42" s="52"/>
      <c r="AX42" s="52"/>
      <c r="AY42" s="52"/>
      <c r="AZ42" s="52"/>
    </row>
    <row r="43" spans="1:52" ht="17.100000000000001" hidden="1" customHeight="1">
      <c r="A43" s="49"/>
      <c r="B43" s="52"/>
      <c r="F43" s="49"/>
      <c r="G43" s="49"/>
      <c r="H43" s="49"/>
      <c r="I43" s="49"/>
      <c r="J43" s="49"/>
      <c r="K43" s="49"/>
      <c r="L43" s="49"/>
      <c r="M43" s="49"/>
      <c r="N43" s="49"/>
      <c r="O43" s="49"/>
      <c r="P43" s="49"/>
      <c r="Q43" s="49"/>
      <c r="R43" s="49"/>
      <c r="S43" s="49"/>
      <c r="T43" s="49"/>
      <c r="U43" s="49"/>
      <c r="V43" s="49"/>
      <c r="W43" s="49"/>
      <c r="X43" s="49"/>
      <c r="Y43" s="49"/>
      <c r="Z43" s="49"/>
      <c r="AA43" s="49"/>
      <c r="AB43" s="49"/>
      <c r="AC43" s="49"/>
      <c r="AD43" s="49"/>
      <c r="AE43" s="49"/>
      <c r="AF43" s="49"/>
      <c r="AG43" s="49"/>
      <c r="AH43" s="49"/>
      <c r="AI43" s="52"/>
      <c r="AJ43" s="52"/>
      <c r="AK43" s="52"/>
      <c r="AL43" s="52"/>
      <c r="AM43" s="52"/>
      <c r="AN43" s="52"/>
      <c r="AO43" s="52"/>
      <c r="AP43" s="52"/>
      <c r="AQ43" s="52"/>
      <c r="AR43" s="52"/>
      <c r="AS43" s="52"/>
      <c r="AT43" s="52"/>
      <c r="AU43" s="52"/>
      <c r="AV43" s="52"/>
      <c r="AW43" s="52"/>
      <c r="AX43" s="52"/>
      <c r="AY43" s="52"/>
      <c r="AZ43" s="52"/>
    </row>
    <row r="44" spans="1:52" ht="17.100000000000001" hidden="1" customHeight="1">
      <c r="A44" s="49"/>
      <c r="B44" s="52"/>
      <c r="C44" s="49"/>
      <c r="D44" s="181"/>
      <c r="E44" s="310"/>
      <c r="F44" s="49"/>
      <c r="G44" s="49"/>
      <c r="H44" s="49"/>
      <c r="I44" s="49"/>
      <c r="J44" s="49"/>
      <c r="K44" s="49"/>
      <c r="L44" s="49"/>
      <c r="M44" s="49"/>
      <c r="N44" s="49"/>
      <c r="O44" s="49"/>
      <c r="P44" s="49"/>
      <c r="Q44" s="49"/>
      <c r="R44" s="49"/>
      <c r="S44" s="49"/>
      <c r="T44" s="49"/>
      <c r="U44" s="49"/>
      <c r="V44" s="49"/>
      <c r="W44" s="49"/>
      <c r="X44" s="49"/>
      <c r="Y44" s="49"/>
      <c r="Z44" s="49"/>
      <c r="AA44" s="49"/>
      <c r="AB44" s="49"/>
      <c r="AC44" s="49"/>
      <c r="AD44" s="49"/>
      <c r="AE44" s="49"/>
      <c r="AF44" s="49"/>
      <c r="AG44" s="49"/>
      <c r="AH44" s="49"/>
      <c r="AI44" s="52"/>
      <c r="AJ44" s="52"/>
      <c r="AK44" s="52"/>
      <c r="AL44" s="52"/>
      <c r="AM44" s="52"/>
      <c r="AN44" s="52"/>
      <c r="AO44" s="52"/>
      <c r="AP44" s="52"/>
      <c r="AQ44" s="52"/>
      <c r="AR44" s="52"/>
      <c r="AS44" s="52"/>
      <c r="AT44" s="52"/>
      <c r="AU44" s="52"/>
      <c r="AV44" s="52"/>
      <c r="AW44" s="52"/>
      <c r="AX44" s="52"/>
      <c r="AY44" s="52"/>
      <c r="AZ44" s="52"/>
    </row>
    <row r="45" spans="1:52" ht="17.100000000000001" hidden="1" customHeight="1">
      <c r="A45" s="49"/>
      <c r="B45" s="52"/>
      <c r="C45" s="49"/>
      <c r="D45" s="181"/>
      <c r="E45" s="310"/>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52"/>
      <c r="AJ45" s="52"/>
      <c r="AK45" s="52"/>
      <c r="AL45" s="52"/>
      <c r="AM45" s="52"/>
      <c r="AN45" s="52"/>
      <c r="AO45" s="52"/>
      <c r="AP45" s="52"/>
      <c r="AQ45" s="52"/>
      <c r="AR45" s="52"/>
      <c r="AS45" s="52"/>
      <c r="AT45" s="52"/>
      <c r="AU45" s="52"/>
      <c r="AV45" s="52"/>
      <c r="AW45" s="52"/>
      <c r="AX45" s="52"/>
      <c r="AY45" s="52"/>
      <c r="AZ45" s="52"/>
    </row>
    <row r="46" spans="1:52" ht="17.100000000000001" hidden="1" customHeight="1">
      <c r="A46" s="49"/>
      <c r="B46" s="52"/>
      <c r="D46" s="181"/>
      <c r="E46" s="310"/>
      <c r="F46" s="49"/>
      <c r="G46" s="49"/>
      <c r="H46" s="49"/>
      <c r="I46" s="49"/>
      <c r="J46" s="49"/>
      <c r="K46" s="49"/>
      <c r="L46" s="49"/>
      <c r="M46" s="49"/>
      <c r="N46" s="49"/>
      <c r="O46" s="49"/>
      <c r="P46" s="49"/>
      <c r="Q46" s="49"/>
      <c r="R46" s="49"/>
      <c r="S46" s="49"/>
      <c r="T46" s="49"/>
      <c r="U46" s="49"/>
      <c r="V46" s="49"/>
      <c r="W46" s="49"/>
      <c r="X46" s="49"/>
      <c r="Y46" s="49"/>
      <c r="Z46" s="49"/>
      <c r="AA46" s="49"/>
      <c r="AB46" s="49"/>
      <c r="AC46" s="49"/>
      <c r="AD46" s="49"/>
      <c r="AE46" s="49"/>
      <c r="AF46" s="49"/>
      <c r="AG46" s="49"/>
      <c r="AH46" s="49"/>
      <c r="AI46" s="52"/>
      <c r="AJ46" s="52"/>
      <c r="AK46" s="52"/>
      <c r="AL46" s="52"/>
      <c r="AM46" s="52"/>
      <c r="AN46" s="52"/>
      <c r="AO46" s="52"/>
      <c r="AP46" s="52"/>
      <c r="AQ46" s="52"/>
      <c r="AR46" s="52"/>
      <c r="AS46" s="52"/>
      <c r="AT46" s="52"/>
      <c r="AU46" s="52"/>
      <c r="AV46" s="52"/>
      <c r="AW46" s="52"/>
      <c r="AX46" s="52"/>
      <c r="AY46" s="52"/>
      <c r="AZ46" s="52"/>
    </row>
    <row r="47" spans="1:52" ht="17.100000000000001" hidden="1" customHeight="1">
      <c r="A47" s="52"/>
      <c r="B47" s="52"/>
      <c r="C47" s="49"/>
      <c r="D47" s="181"/>
      <c r="E47" s="310"/>
      <c r="F47" s="49"/>
      <c r="G47" s="49"/>
      <c r="H47" s="49"/>
      <c r="I47" s="49"/>
      <c r="J47" s="49"/>
      <c r="K47" s="49"/>
      <c r="L47" s="49"/>
      <c r="M47" s="49"/>
      <c r="N47" s="49"/>
      <c r="O47" s="49"/>
      <c r="P47" s="49"/>
      <c r="Q47" s="49"/>
      <c r="R47" s="49"/>
      <c r="S47" s="49"/>
      <c r="T47" s="49"/>
      <c r="U47" s="49"/>
      <c r="V47" s="49"/>
      <c r="W47" s="49"/>
      <c r="X47" s="49"/>
      <c r="Y47" s="49"/>
      <c r="Z47" s="49"/>
      <c r="AA47" s="49"/>
      <c r="AB47" s="49"/>
      <c r="AC47" s="49"/>
      <c r="AD47" s="49"/>
      <c r="AE47" s="49"/>
      <c r="AF47" s="49"/>
      <c r="AG47" s="49"/>
      <c r="AH47" s="49"/>
      <c r="AI47" s="52"/>
      <c r="AJ47" s="52"/>
      <c r="AK47" s="52"/>
      <c r="AL47" s="52"/>
      <c r="AM47" s="52"/>
      <c r="AN47" s="52"/>
      <c r="AO47" s="52"/>
      <c r="AP47" s="52"/>
      <c r="AQ47" s="52"/>
      <c r="AR47" s="52"/>
      <c r="AS47" s="52"/>
      <c r="AT47" s="52"/>
      <c r="AU47" s="52"/>
      <c r="AV47" s="52"/>
      <c r="AW47" s="52"/>
      <c r="AX47" s="52"/>
      <c r="AY47" s="52"/>
      <c r="AZ47" s="52"/>
    </row>
    <row r="48" spans="1:52" ht="17.100000000000001" hidden="1" customHeight="1">
      <c r="A48" s="52"/>
      <c r="B48" s="52"/>
      <c r="C48" s="49"/>
      <c r="D48" s="181"/>
      <c r="E48" s="310"/>
      <c r="F48" s="49"/>
      <c r="G48" s="49"/>
      <c r="H48" s="49"/>
      <c r="I48" s="49"/>
      <c r="J48" s="49"/>
      <c r="K48" s="49"/>
      <c r="L48" s="49"/>
      <c r="M48" s="49"/>
      <c r="N48" s="49"/>
      <c r="O48" s="49"/>
      <c r="P48" s="49"/>
      <c r="Q48" s="49"/>
      <c r="R48" s="49"/>
      <c r="S48" s="49"/>
      <c r="T48" s="49"/>
      <c r="U48" s="49"/>
      <c r="V48" s="49"/>
      <c r="W48" s="49"/>
      <c r="X48" s="49"/>
      <c r="Y48" s="49"/>
      <c r="Z48" s="49"/>
      <c r="AA48" s="49"/>
      <c r="AB48" s="49"/>
      <c r="AC48" s="49"/>
      <c r="AD48" s="49"/>
      <c r="AE48" s="49"/>
      <c r="AF48" s="49"/>
      <c r="AG48" s="49"/>
      <c r="AH48" s="49"/>
      <c r="AI48" s="52"/>
      <c r="AJ48" s="52"/>
      <c r="AK48" s="52"/>
      <c r="AL48" s="52"/>
      <c r="AM48" s="52"/>
      <c r="AN48" s="52"/>
      <c r="AO48" s="52"/>
      <c r="AP48" s="52"/>
      <c r="AQ48" s="52"/>
      <c r="AR48" s="52"/>
      <c r="AS48" s="52"/>
      <c r="AT48" s="52"/>
      <c r="AU48" s="52"/>
      <c r="AV48" s="52"/>
      <c r="AW48" s="52"/>
      <c r="AX48" s="52"/>
      <c r="AY48" s="52"/>
      <c r="AZ48" s="52"/>
    </row>
    <row r="49" spans="1:52" ht="17.100000000000001" hidden="1" customHeight="1">
      <c r="A49" s="49"/>
      <c r="B49" s="52"/>
      <c r="C49" s="49"/>
      <c r="D49" s="181"/>
      <c r="E49" s="310"/>
      <c r="F49" s="49"/>
      <c r="G49" s="49"/>
      <c r="H49" s="49"/>
      <c r="I49" s="49"/>
      <c r="J49" s="49"/>
      <c r="K49" s="49"/>
      <c r="L49" s="49"/>
      <c r="M49" s="49"/>
      <c r="N49" s="49"/>
      <c r="O49" s="49"/>
      <c r="P49" s="49"/>
      <c r="Q49" s="49"/>
      <c r="R49" s="49"/>
      <c r="S49" s="49"/>
      <c r="T49" s="49"/>
      <c r="U49" s="49"/>
      <c r="V49" s="49"/>
      <c r="W49" s="49"/>
      <c r="X49" s="49"/>
      <c r="Y49" s="49"/>
      <c r="Z49" s="49"/>
      <c r="AA49" s="49"/>
      <c r="AB49" s="49"/>
      <c r="AC49" s="49"/>
      <c r="AD49" s="49"/>
      <c r="AE49" s="49"/>
      <c r="AF49" s="49"/>
      <c r="AG49" s="49"/>
      <c r="AH49" s="49"/>
      <c r="AI49" s="52"/>
      <c r="AJ49" s="52"/>
      <c r="AK49" s="52"/>
      <c r="AL49" s="52"/>
      <c r="AM49" s="52"/>
      <c r="AN49" s="52"/>
      <c r="AO49" s="52"/>
      <c r="AP49" s="52"/>
      <c r="AQ49" s="52"/>
      <c r="AR49" s="52"/>
      <c r="AS49" s="52"/>
      <c r="AT49" s="52"/>
      <c r="AU49" s="52"/>
      <c r="AV49" s="52"/>
      <c r="AW49" s="52"/>
      <c r="AX49" s="52"/>
      <c r="AY49" s="52"/>
      <c r="AZ49" s="52"/>
    </row>
    <row r="50" spans="1:52" ht="17.100000000000001" hidden="1" customHeight="1">
      <c r="A50" s="49"/>
      <c r="B50" s="116"/>
      <c r="C50" s="49"/>
      <c r="D50" s="181"/>
      <c r="E50" s="310"/>
      <c r="F50" s="49"/>
      <c r="G50" s="49"/>
      <c r="H50" s="49"/>
      <c r="I50" s="49"/>
      <c r="J50" s="49"/>
      <c r="K50" s="49"/>
      <c r="L50" s="49"/>
      <c r="M50" s="49"/>
      <c r="N50" s="49"/>
      <c r="O50" s="49"/>
      <c r="P50" s="49"/>
      <c r="Q50" s="49"/>
      <c r="R50" s="49"/>
      <c r="S50" s="49"/>
      <c r="T50" s="49"/>
      <c r="U50" s="49"/>
      <c r="V50" s="49"/>
      <c r="W50" s="49"/>
      <c r="X50" s="49"/>
      <c r="Y50" s="49"/>
      <c r="Z50" s="49"/>
      <c r="AA50" s="49"/>
      <c r="AB50" s="49"/>
      <c r="AC50" s="49"/>
      <c r="AD50" s="49"/>
      <c r="AE50" s="49"/>
      <c r="AF50" s="49"/>
      <c r="AG50" s="49"/>
      <c r="AH50" s="49"/>
      <c r="AI50" s="52"/>
      <c r="AJ50" s="52"/>
      <c r="AK50" s="52"/>
      <c r="AL50" s="52"/>
      <c r="AM50" s="52"/>
      <c r="AN50" s="52"/>
      <c r="AO50" s="52"/>
      <c r="AP50" s="52"/>
      <c r="AQ50" s="52"/>
      <c r="AR50" s="52"/>
      <c r="AS50" s="52"/>
      <c r="AT50" s="52"/>
      <c r="AU50" s="52"/>
      <c r="AV50" s="52"/>
      <c r="AW50" s="52"/>
      <c r="AX50" s="52"/>
      <c r="AY50" s="52"/>
      <c r="AZ50" s="52"/>
    </row>
    <row r="51" spans="1:52" ht="17.100000000000001" hidden="1" customHeight="1">
      <c r="A51" s="49"/>
      <c r="B51" s="52"/>
      <c r="C51" s="49"/>
      <c r="D51" s="181"/>
      <c r="E51" s="310"/>
      <c r="F51" s="49"/>
      <c r="G51" s="49"/>
      <c r="H51" s="49"/>
      <c r="I51" s="49"/>
      <c r="J51" s="49"/>
      <c r="K51" s="49"/>
      <c r="L51" s="49"/>
      <c r="M51" s="49"/>
      <c r="N51" s="49"/>
      <c r="O51" s="49"/>
      <c r="P51" s="49"/>
      <c r="Q51" s="49"/>
      <c r="R51" s="49"/>
      <c r="S51" s="49"/>
      <c r="T51" s="49"/>
      <c r="U51" s="49"/>
      <c r="V51" s="49"/>
      <c r="W51" s="49"/>
      <c r="X51" s="49"/>
      <c r="Y51" s="49"/>
      <c r="Z51" s="49"/>
      <c r="AA51" s="49"/>
      <c r="AB51" s="49"/>
      <c r="AC51" s="49"/>
      <c r="AD51" s="49"/>
      <c r="AE51" s="49"/>
      <c r="AF51" s="49"/>
      <c r="AG51" s="49"/>
      <c r="AH51" s="49"/>
      <c r="AI51" s="52"/>
      <c r="AJ51" s="52"/>
      <c r="AK51" s="52"/>
      <c r="AL51" s="52"/>
      <c r="AM51" s="52"/>
      <c r="AN51" s="52"/>
      <c r="AO51" s="52"/>
      <c r="AP51" s="52"/>
      <c r="AQ51" s="52"/>
      <c r="AR51" s="52"/>
      <c r="AS51" s="52"/>
      <c r="AT51" s="52"/>
      <c r="AU51" s="52"/>
      <c r="AV51" s="52"/>
      <c r="AW51" s="52"/>
      <c r="AX51" s="52"/>
      <c r="AY51" s="52"/>
      <c r="AZ51" s="52"/>
    </row>
    <row r="52" spans="1:52" ht="17.100000000000001" hidden="1" customHeight="1">
      <c r="A52" s="49"/>
      <c r="B52" s="52"/>
      <c r="C52" s="49"/>
      <c r="D52" s="181"/>
      <c r="E52" s="310"/>
      <c r="F52" s="49"/>
      <c r="G52" s="49"/>
      <c r="H52" s="49"/>
      <c r="I52" s="49"/>
      <c r="J52" s="49"/>
      <c r="K52" s="49"/>
      <c r="L52" s="49"/>
      <c r="M52" s="49"/>
      <c r="N52" s="49"/>
      <c r="O52" s="49"/>
      <c r="P52" s="49"/>
      <c r="Q52" s="49"/>
      <c r="R52" s="49"/>
      <c r="S52" s="49"/>
      <c r="T52" s="49"/>
      <c r="U52" s="49"/>
      <c r="V52" s="49"/>
      <c r="W52" s="49"/>
      <c r="X52" s="49"/>
      <c r="Y52" s="49"/>
      <c r="Z52" s="49"/>
      <c r="AA52" s="49"/>
      <c r="AB52" s="49"/>
      <c r="AC52" s="49"/>
      <c r="AD52" s="49"/>
      <c r="AE52" s="49"/>
      <c r="AF52" s="49"/>
      <c r="AG52" s="49"/>
      <c r="AH52" s="49"/>
      <c r="AI52" s="52"/>
      <c r="AJ52" s="52"/>
      <c r="AK52" s="52"/>
      <c r="AL52" s="52"/>
      <c r="AM52" s="52"/>
      <c r="AN52" s="52"/>
      <c r="AO52" s="52"/>
      <c r="AP52" s="52"/>
      <c r="AQ52" s="52"/>
      <c r="AR52" s="52"/>
      <c r="AS52" s="52"/>
      <c r="AT52" s="52"/>
      <c r="AU52" s="52"/>
      <c r="AV52" s="52"/>
      <c r="AW52" s="52"/>
      <c r="AX52" s="52"/>
      <c r="AY52" s="52"/>
      <c r="AZ52" s="52"/>
    </row>
    <row r="53" spans="1:52" ht="17.100000000000001" hidden="1" customHeight="1">
      <c r="A53" s="49"/>
      <c r="B53" s="52"/>
      <c r="C53" s="49"/>
      <c r="D53" s="181"/>
      <c r="E53" s="310"/>
      <c r="F53" s="49"/>
      <c r="G53" s="49"/>
      <c r="H53" s="49"/>
      <c r="I53" s="49"/>
      <c r="J53" s="49"/>
      <c r="K53" s="49"/>
      <c r="L53" s="49"/>
      <c r="M53" s="49"/>
      <c r="N53" s="49"/>
      <c r="O53" s="49"/>
      <c r="P53" s="49"/>
      <c r="Q53" s="49"/>
      <c r="R53" s="49"/>
      <c r="S53" s="49"/>
      <c r="T53" s="49"/>
      <c r="U53" s="49"/>
      <c r="V53" s="49"/>
      <c r="W53" s="49"/>
      <c r="X53" s="49"/>
      <c r="Y53" s="49"/>
      <c r="Z53" s="49"/>
      <c r="AA53" s="49"/>
      <c r="AB53" s="49"/>
      <c r="AC53" s="49"/>
      <c r="AD53" s="49"/>
      <c r="AE53" s="49"/>
      <c r="AF53" s="49"/>
      <c r="AG53" s="49"/>
      <c r="AH53" s="49"/>
      <c r="AI53" s="52"/>
      <c r="AJ53" s="52"/>
      <c r="AK53" s="52"/>
      <c r="AL53" s="52"/>
      <c r="AM53" s="52"/>
      <c r="AN53" s="52"/>
      <c r="AO53" s="52"/>
      <c r="AP53" s="52"/>
      <c r="AQ53" s="52"/>
      <c r="AR53" s="52"/>
      <c r="AS53" s="52"/>
      <c r="AT53" s="52"/>
      <c r="AU53" s="52"/>
      <c r="AV53" s="52"/>
      <c r="AW53" s="52"/>
      <c r="AX53" s="52"/>
      <c r="AY53" s="52"/>
      <c r="AZ53" s="52"/>
    </row>
    <row r="54" spans="1:52" ht="17.100000000000001" hidden="1" customHeight="1">
      <c r="A54" s="49"/>
      <c r="B54" s="52"/>
      <c r="C54" s="49"/>
      <c r="D54" s="181"/>
      <c r="E54" s="310"/>
      <c r="F54" s="49"/>
      <c r="G54" s="49"/>
      <c r="H54" s="49"/>
      <c r="I54" s="49"/>
      <c r="J54" s="49"/>
      <c r="K54" s="49"/>
      <c r="L54" s="49"/>
      <c r="M54" s="49"/>
      <c r="N54" s="49"/>
      <c r="O54" s="49"/>
      <c r="P54" s="49"/>
      <c r="Q54" s="49"/>
      <c r="R54" s="49"/>
      <c r="S54" s="49"/>
      <c r="T54" s="49"/>
      <c r="U54" s="49"/>
      <c r="V54" s="49"/>
      <c r="W54" s="49"/>
      <c r="X54" s="49"/>
      <c r="Y54" s="49"/>
      <c r="Z54" s="49"/>
      <c r="AA54" s="49"/>
      <c r="AB54" s="49"/>
      <c r="AC54" s="49"/>
      <c r="AD54" s="49"/>
      <c r="AE54" s="49"/>
      <c r="AF54" s="49"/>
      <c r="AG54" s="49"/>
      <c r="AH54" s="49"/>
      <c r="AI54" s="52"/>
      <c r="AJ54" s="52"/>
      <c r="AK54" s="52"/>
      <c r="AL54" s="52"/>
      <c r="AM54" s="52"/>
      <c r="AN54" s="52"/>
      <c r="AO54" s="52"/>
      <c r="AP54" s="52"/>
      <c r="AQ54" s="52"/>
      <c r="AR54" s="52"/>
      <c r="AS54" s="52"/>
      <c r="AT54" s="52"/>
      <c r="AU54" s="52"/>
      <c r="AV54" s="52"/>
      <c r="AW54" s="52"/>
      <c r="AX54" s="52"/>
      <c r="AY54" s="52"/>
      <c r="AZ54" s="52"/>
    </row>
    <row r="55" spans="1:52" ht="17.100000000000001" hidden="1" customHeight="1">
      <c r="A55" s="49"/>
      <c r="B55" s="52"/>
      <c r="C55" s="49"/>
      <c r="D55" s="181"/>
      <c r="E55" s="310"/>
      <c r="F55" s="49"/>
      <c r="G55" s="49"/>
      <c r="H55" s="49"/>
      <c r="I55" s="49"/>
      <c r="J55" s="49"/>
      <c r="K55" s="49"/>
      <c r="L55" s="49"/>
      <c r="M55" s="49"/>
      <c r="N55" s="49"/>
      <c r="O55" s="49"/>
      <c r="P55" s="49"/>
      <c r="Q55" s="49"/>
      <c r="R55" s="49"/>
      <c r="S55" s="49"/>
      <c r="T55" s="49"/>
      <c r="U55" s="49"/>
      <c r="V55" s="49"/>
      <c r="W55" s="49"/>
      <c r="X55" s="49"/>
      <c r="Y55" s="49"/>
      <c r="Z55" s="49"/>
      <c r="AA55" s="49"/>
      <c r="AB55" s="49"/>
      <c r="AC55" s="49"/>
      <c r="AD55" s="49"/>
      <c r="AE55" s="49"/>
      <c r="AF55" s="49"/>
      <c r="AG55" s="49"/>
      <c r="AH55" s="49"/>
      <c r="AI55" s="52"/>
      <c r="AJ55" s="52"/>
      <c r="AK55" s="52"/>
      <c r="AL55" s="52"/>
      <c r="AM55" s="52"/>
      <c r="AN55" s="52"/>
      <c r="AO55" s="52"/>
      <c r="AP55" s="52"/>
      <c r="AQ55" s="52"/>
      <c r="AR55" s="52"/>
      <c r="AS55" s="52"/>
      <c r="AT55" s="52"/>
      <c r="AU55" s="52"/>
      <c r="AV55" s="52"/>
      <c r="AW55" s="52"/>
      <c r="AX55" s="52"/>
      <c r="AY55" s="52"/>
      <c r="AZ55" s="52"/>
    </row>
    <row r="56" spans="1:52" ht="17.100000000000001" hidden="1" customHeight="1">
      <c r="A56" s="49"/>
      <c r="B56" s="52"/>
      <c r="C56" s="49"/>
      <c r="D56" s="181"/>
      <c r="E56" s="310"/>
      <c r="F56" s="49"/>
      <c r="G56" s="49"/>
      <c r="H56" s="49"/>
      <c r="I56" s="49"/>
      <c r="J56" s="49"/>
      <c r="K56" s="49"/>
      <c r="L56" s="49"/>
      <c r="M56" s="49"/>
      <c r="N56" s="49"/>
      <c r="O56" s="49"/>
      <c r="P56" s="49"/>
      <c r="Q56" s="49"/>
      <c r="R56" s="49"/>
      <c r="S56" s="49"/>
      <c r="T56" s="49"/>
      <c r="U56" s="49"/>
      <c r="V56" s="49"/>
      <c r="W56" s="49"/>
      <c r="X56" s="49"/>
      <c r="Y56" s="49"/>
      <c r="Z56" s="49"/>
      <c r="AA56" s="49"/>
      <c r="AB56" s="49"/>
      <c r="AC56" s="49"/>
      <c r="AD56" s="49"/>
      <c r="AE56" s="49"/>
      <c r="AF56" s="49"/>
      <c r="AG56" s="49"/>
      <c r="AH56" s="49"/>
      <c r="AI56" s="52"/>
      <c r="AJ56" s="52"/>
      <c r="AK56" s="52"/>
      <c r="AL56" s="52"/>
      <c r="AM56" s="52"/>
      <c r="AN56" s="52"/>
      <c r="AO56" s="52"/>
      <c r="AP56" s="52"/>
      <c r="AQ56" s="52"/>
      <c r="AR56" s="52"/>
      <c r="AS56" s="52"/>
      <c r="AT56" s="52"/>
      <c r="AU56" s="52"/>
      <c r="AV56" s="52"/>
      <c r="AW56" s="52"/>
      <c r="AX56" s="52"/>
      <c r="AY56" s="52"/>
      <c r="AZ56" s="52"/>
    </row>
    <row r="57" spans="1:52" ht="17.100000000000001" hidden="1" customHeight="1">
      <c r="A57" s="49"/>
      <c r="B57" s="52"/>
      <c r="C57" s="49"/>
      <c r="D57" s="181"/>
      <c r="E57" s="310"/>
      <c r="F57" s="49"/>
      <c r="G57" s="49"/>
      <c r="H57" s="49"/>
      <c r="I57" s="49"/>
      <c r="J57" s="49"/>
      <c r="K57" s="49"/>
      <c r="L57" s="49"/>
      <c r="M57" s="49"/>
      <c r="N57" s="49"/>
      <c r="O57" s="49"/>
      <c r="P57" s="49"/>
      <c r="Q57" s="49"/>
      <c r="R57" s="49"/>
      <c r="S57" s="49"/>
      <c r="T57" s="49"/>
      <c r="U57" s="49"/>
      <c r="V57" s="49"/>
      <c r="W57" s="49"/>
      <c r="X57" s="49"/>
      <c r="Y57" s="49"/>
      <c r="Z57" s="49"/>
      <c r="AA57" s="49"/>
      <c r="AB57" s="49"/>
      <c r="AC57" s="49"/>
      <c r="AD57" s="49"/>
      <c r="AE57" s="49"/>
      <c r="AF57" s="49"/>
      <c r="AG57" s="49"/>
      <c r="AH57" s="49"/>
      <c r="AI57" s="52"/>
      <c r="AJ57" s="52"/>
      <c r="AK57" s="52"/>
      <c r="AL57" s="52"/>
      <c r="AM57" s="52"/>
      <c r="AN57" s="52"/>
      <c r="AO57" s="52"/>
      <c r="AP57" s="52"/>
      <c r="AQ57" s="52"/>
      <c r="AR57" s="52"/>
      <c r="AS57" s="52"/>
      <c r="AT57" s="52"/>
      <c r="AU57" s="52"/>
      <c r="AV57" s="52"/>
      <c r="AW57" s="52"/>
      <c r="AX57" s="52"/>
      <c r="AY57" s="52"/>
      <c r="AZ57" s="52"/>
    </row>
    <row r="58" spans="1:52" ht="17.100000000000001" hidden="1" customHeight="1">
      <c r="A58" s="49"/>
      <c r="B58" s="52"/>
      <c r="C58" s="49"/>
      <c r="D58" s="181"/>
      <c r="E58" s="310"/>
      <c r="F58" s="49"/>
      <c r="G58" s="49"/>
      <c r="H58" s="49"/>
      <c r="I58" s="49"/>
      <c r="J58" s="49"/>
      <c r="K58" s="49"/>
      <c r="L58" s="49"/>
      <c r="M58" s="49"/>
      <c r="N58" s="49"/>
      <c r="O58" s="49"/>
      <c r="P58" s="49"/>
      <c r="Q58" s="49"/>
      <c r="R58" s="49"/>
      <c r="S58" s="49"/>
      <c r="T58" s="49"/>
      <c r="U58" s="49"/>
      <c r="V58" s="49"/>
      <c r="W58" s="49"/>
      <c r="X58" s="49"/>
      <c r="Y58" s="49"/>
      <c r="Z58" s="49"/>
      <c r="AA58" s="49"/>
      <c r="AB58" s="49"/>
      <c r="AC58" s="49"/>
      <c r="AD58" s="49"/>
      <c r="AE58" s="49"/>
      <c r="AF58" s="49"/>
      <c r="AG58" s="49"/>
      <c r="AH58" s="49"/>
      <c r="AI58" s="52"/>
      <c r="AJ58" s="52"/>
      <c r="AK58" s="52"/>
      <c r="AL58" s="52"/>
      <c r="AM58" s="52"/>
      <c r="AN58" s="52"/>
      <c r="AO58" s="52"/>
      <c r="AP58" s="52"/>
      <c r="AQ58" s="52"/>
      <c r="AR58" s="52"/>
      <c r="AS58" s="52"/>
      <c r="AT58" s="52"/>
      <c r="AU58" s="52"/>
      <c r="AV58" s="52"/>
      <c r="AW58" s="52"/>
      <c r="AX58" s="52"/>
      <c r="AY58" s="52"/>
      <c r="AZ58" s="52"/>
    </row>
    <row r="59" spans="1:52" ht="17.100000000000001" customHeight="1">
      <c r="A59" s="49"/>
      <c r="B59" s="52"/>
      <c r="C59" s="49"/>
      <c r="D59" s="181"/>
      <c r="E59" s="181"/>
      <c r="F59" s="49"/>
      <c r="G59" s="49"/>
      <c r="H59" s="49"/>
      <c r="I59" s="49"/>
      <c r="J59" s="49"/>
      <c r="K59" s="49"/>
      <c r="L59" s="49"/>
      <c r="M59" s="49"/>
      <c r="N59" s="49"/>
      <c r="O59" s="49"/>
      <c r="P59" s="49"/>
      <c r="Q59" s="49"/>
      <c r="R59" s="49"/>
      <c r="S59" s="49"/>
      <c r="T59" s="49"/>
      <c r="U59" s="49"/>
      <c r="V59" s="49"/>
      <c r="W59" s="49"/>
      <c r="X59" s="49"/>
      <c r="Y59" s="49"/>
      <c r="Z59" s="49"/>
      <c r="AA59" s="49"/>
      <c r="AB59" s="49"/>
      <c r="AC59" s="49"/>
      <c r="AD59" s="49"/>
      <c r="AE59" s="49"/>
      <c r="AF59" s="49"/>
      <c r="AG59" s="49"/>
      <c r="AH59" s="49"/>
      <c r="AI59" s="52"/>
      <c r="AJ59" s="52"/>
      <c r="AK59" s="52"/>
      <c r="AL59" s="52"/>
      <c r="AM59" s="52"/>
      <c r="AN59" s="52"/>
      <c r="AO59" s="52"/>
      <c r="AP59" s="52"/>
      <c r="AQ59" s="52"/>
      <c r="AR59" s="52"/>
      <c r="AS59" s="52"/>
      <c r="AT59" s="52"/>
      <c r="AU59" s="52"/>
      <c r="AV59" s="52"/>
      <c r="AW59" s="52"/>
      <c r="AX59" s="52"/>
      <c r="AY59" s="52"/>
      <c r="AZ59" s="52"/>
    </row>
    <row r="60" spans="1:52" ht="17.100000000000001" customHeight="1">
      <c r="A60" s="49"/>
      <c r="B60" s="115" t="s">
        <v>836</v>
      </c>
      <c r="C60" s="115"/>
      <c r="D60" s="115" t="s">
        <v>464</v>
      </c>
      <c r="E60" s="257"/>
      <c r="F60" s="257" t="s">
        <v>428</v>
      </c>
      <c r="G60" s="257" t="s">
        <v>43</v>
      </c>
      <c r="H60" s="257" t="s">
        <v>77</v>
      </c>
      <c r="I60" s="257"/>
      <c r="J60" s="257"/>
      <c r="K60" s="257"/>
      <c r="L60" s="257"/>
      <c r="M60" s="257"/>
      <c r="N60" s="257"/>
      <c r="O60" s="257"/>
      <c r="P60" s="257"/>
      <c r="Q60" s="257"/>
      <c r="R60" s="257"/>
      <c r="S60" s="257"/>
      <c r="T60" s="257"/>
      <c r="U60" s="257"/>
      <c r="V60" s="257"/>
      <c r="W60" s="257"/>
      <c r="X60" s="257"/>
      <c r="Y60" s="257"/>
      <c r="Z60" s="257"/>
      <c r="AA60" s="257"/>
      <c r="AB60" s="257"/>
      <c r="AC60" s="257"/>
      <c r="AD60" s="257"/>
      <c r="AE60" s="257"/>
      <c r="AF60" s="257"/>
      <c r="AG60" s="257"/>
      <c r="AH60" s="257"/>
      <c r="AI60" s="52"/>
      <c r="AJ60" s="52"/>
      <c r="AK60" s="52"/>
      <c r="AL60" s="52"/>
      <c r="AM60" s="52"/>
      <c r="AN60" s="52"/>
      <c r="AO60" s="52"/>
      <c r="AP60" s="52"/>
      <c r="AQ60" s="52"/>
      <c r="AR60" s="52"/>
      <c r="AS60" s="52"/>
      <c r="AT60" s="52"/>
      <c r="AU60" s="52"/>
      <c r="AV60" s="52"/>
      <c r="AW60" s="52"/>
      <c r="AX60" s="52"/>
      <c r="AY60" s="52"/>
      <c r="AZ60" s="52"/>
    </row>
    <row r="61" spans="1:52" ht="17.100000000000001" customHeight="1">
      <c r="A61" s="49"/>
      <c r="B61" s="52"/>
      <c r="C61" s="49" t="s">
        <v>207</v>
      </c>
      <c r="D61" s="181" t="s">
        <v>849</v>
      </c>
      <c r="E61" s="316"/>
      <c r="F61" s="368">
        <v>293.14999999999998</v>
      </c>
      <c r="G61" s="189">
        <v>270.8</v>
      </c>
      <c r="H61" s="189">
        <v>267.8</v>
      </c>
      <c r="I61" s="49"/>
      <c r="J61" s="49"/>
      <c r="K61" s="49"/>
      <c r="L61" s="49"/>
      <c r="M61" s="49"/>
      <c r="N61" s="49"/>
      <c r="O61" s="49"/>
      <c r="P61" s="49"/>
      <c r="Q61" s="49"/>
      <c r="R61" s="49"/>
      <c r="S61" s="49"/>
      <c r="T61" s="49"/>
      <c r="U61" s="49"/>
      <c r="V61" s="49"/>
      <c r="W61" s="49"/>
      <c r="X61" s="49"/>
      <c r="Y61" s="49"/>
      <c r="Z61" s="49"/>
      <c r="AA61" s="49"/>
      <c r="AB61" s="49"/>
      <c r="AC61" s="49"/>
      <c r="AD61" s="49"/>
      <c r="AE61" s="49"/>
      <c r="AF61" s="49"/>
      <c r="AG61" s="49"/>
      <c r="AH61" s="49"/>
      <c r="AI61" s="52"/>
      <c r="AJ61" s="52"/>
      <c r="AK61" s="52"/>
      <c r="AL61" s="52"/>
      <c r="AM61" s="52"/>
      <c r="AN61" s="52"/>
      <c r="AO61" s="52"/>
      <c r="AP61" s="52"/>
      <c r="AQ61" s="52"/>
      <c r="AR61" s="52"/>
      <c r="AS61" s="52"/>
      <c r="AT61" s="52"/>
      <c r="AU61" s="52"/>
      <c r="AV61" s="52"/>
      <c r="AW61" s="52"/>
      <c r="AX61" s="52"/>
      <c r="AY61" s="52"/>
      <c r="AZ61" s="52"/>
    </row>
    <row r="62" spans="1:52" ht="17.100000000000001" customHeight="1">
      <c r="A62" s="49"/>
      <c r="B62" s="52"/>
      <c r="C62" s="49" t="s">
        <v>208</v>
      </c>
      <c r="D62" s="181" t="s">
        <v>849</v>
      </c>
      <c r="E62" s="316"/>
      <c r="F62" s="368">
        <v>293.14999999999998</v>
      </c>
      <c r="G62" s="189">
        <v>267.89999999999998</v>
      </c>
      <c r="H62" s="189">
        <v>264.89999999999998</v>
      </c>
      <c r="I62" s="49"/>
      <c r="J62" s="49"/>
      <c r="K62" s="49"/>
      <c r="L62" s="49"/>
      <c r="M62" s="49"/>
      <c r="N62" s="49"/>
      <c r="O62" s="49"/>
      <c r="P62" s="49"/>
      <c r="Q62" s="49"/>
      <c r="R62" s="49"/>
      <c r="S62" s="49"/>
      <c r="T62" s="49"/>
      <c r="U62" s="49"/>
      <c r="V62" s="49"/>
      <c r="W62" s="49"/>
      <c r="X62" s="49"/>
      <c r="Y62" s="49"/>
      <c r="Z62" s="49"/>
      <c r="AA62" s="49"/>
      <c r="AB62" s="49"/>
      <c r="AC62" s="49"/>
      <c r="AD62" s="49"/>
      <c r="AE62" s="49"/>
      <c r="AF62" s="49"/>
      <c r="AG62" s="49"/>
      <c r="AH62" s="49"/>
      <c r="AI62" s="52"/>
      <c r="AJ62" s="52"/>
      <c r="AK62" s="52"/>
      <c r="AL62" s="52"/>
      <c r="AM62" s="52"/>
      <c r="AN62" s="52"/>
      <c r="AO62" s="52"/>
      <c r="AP62" s="52"/>
      <c r="AQ62" s="52"/>
      <c r="AR62" s="52"/>
      <c r="AS62" s="52"/>
      <c r="AT62" s="52"/>
      <c r="AU62" s="52"/>
      <c r="AV62" s="52"/>
      <c r="AW62" s="52"/>
      <c r="AX62" s="52"/>
      <c r="AY62" s="52"/>
      <c r="AZ62" s="52"/>
    </row>
    <row r="63" spans="1:52" ht="17.100000000000001" customHeight="1">
      <c r="A63" s="49"/>
      <c r="B63" s="52"/>
      <c r="C63" s="49" t="s">
        <v>209</v>
      </c>
      <c r="D63" s="181" t="s">
        <v>849</v>
      </c>
      <c r="E63" s="316"/>
      <c r="F63" s="368">
        <v>293.14999999999998</v>
      </c>
      <c r="G63" s="189">
        <v>273.2</v>
      </c>
      <c r="H63" s="189">
        <v>270.2</v>
      </c>
      <c r="I63" s="49"/>
      <c r="J63" s="49"/>
      <c r="K63" s="49"/>
      <c r="L63" s="49"/>
      <c r="M63" s="49"/>
      <c r="N63" s="49"/>
      <c r="O63" s="49"/>
      <c r="P63" s="49"/>
      <c r="Q63" s="49"/>
      <c r="R63" s="49"/>
      <c r="S63" s="49"/>
      <c r="T63" s="49"/>
      <c r="U63" s="49"/>
      <c r="V63" s="49"/>
      <c r="W63" s="49"/>
      <c r="X63" s="49"/>
      <c r="Y63" s="49"/>
      <c r="Z63" s="49"/>
      <c r="AA63" s="49"/>
      <c r="AB63" s="49"/>
      <c r="AC63" s="49"/>
      <c r="AD63" s="49"/>
      <c r="AE63" s="49"/>
      <c r="AF63" s="49"/>
      <c r="AG63" s="49"/>
      <c r="AH63" s="49"/>
      <c r="AI63" s="52"/>
      <c r="AJ63" s="52"/>
      <c r="AK63" s="52"/>
      <c r="AL63" s="52"/>
      <c r="AM63" s="52"/>
      <c r="AN63" s="52"/>
      <c r="AO63" s="52"/>
      <c r="AP63" s="52"/>
      <c r="AQ63" s="52"/>
      <c r="AR63" s="52"/>
      <c r="AS63" s="52"/>
      <c r="AT63" s="52"/>
      <c r="AU63" s="52"/>
      <c r="AV63" s="52"/>
      <c r="AW63" s="52"/>
      <c r="AX63" s="52"/>
      <c r="AY63" s="52"/>
      <c r="AZ63" s="52"/>
    </row>
    <row r="64" spans="1:52" ht="17.100000000000001" customHeight="1">
      <c r="A64" s="49"/>
      <c r="B64" s="52"/>
      <c r="C64" s="49" t="s">
        <v>210</v>
      </c>
      <c r="D64" s="181" t="s">
        <v>849</v>
      </c>
      <c r="E64" s="316"/>
      <c r="F64" s="368">
        <v>293.14999999999998</v>
      </c>
      <c r="G64" s="189">
        <v>279.3</v>
      </c>
      <c r="H64" s="189">
        <v>276.3</v>
      </c>
      <c r="I64" s="49"/>
      <c r="J64" s="49"/>
      <c r="K64" s="49"/>
      <c r="L64" s="49"/>
      <c r="M64" s="49"/>
      <c r="N64" s="49"/>
      <c r="O64" s="49"/>
      <c r="P64" s="49"/>
      <c r="Q64" s="49"/>
      <c r="R64" s="49"/>
      <c r="S64" s="49"/>
      <c r="T64" s="49"/>
      <c r="U64" s="49"/>
      <c r="V64" s="49"/>
      <c r="W64" s="49"/>
      <c r="X64" s="49"/>
      <c r="Y64" s="49"/>
      <c r="Z64" s="49"/>
      <c r="AA64" s="49"/>
      <c r="AB64" s="49"/>
      <c r="AC64" s="49"/>
      <c r="AD64" s="49"/>
      <c r="AE64" s="49"/>
      <c r="AF64" s="49"/>
      <c r="AG64" s="49"/>
      <c r="AH64" s="49"/>
      <c r="AI64" s="52"/>
      <c r="AJ64" s="52"/>
      <c r="AK64" s="52"/>
      <c r="AL64" s="52"/>
      <c r="AM64" s="52"/>
      <c r="AN64" s="52"/>
      <c r="AO64" s="52"/>
      <c r="AP64" s="52"/>
      <c r="AQ64" s="52"/>
      <c r="AR64" s="52"/>
      <c r="AS64" s="52"/>
      <c r="AT64" s="52"/>
      <c r="AU64" s="52"/>
      <c r="AV64" s="52"/>
      <c r="AW64" s="52"/>
      <c r="AX64" s="52"/>
      <c r="AY64" s="52"/>
      <c r="AZ64" s="52"/>
    </row>
    <row r="65" spans="1:52" ht="17.100000000000001" customHeight="1">
      <c r="A65" s="49"/>
      <c r="B65" s="52"/>
      <c r="C65" s="49" t="s">
        <v>211</v>
      </c>
      <c r="D65" s="181" t="s">
        <v>849</v>
      </c>
      <c r="E65" s="316"/>
      <c r="F65" s="368">
        <v>293.14999999999998</v>
      </c>
      <c r="G65" s="189">
        <v>284.3</v>
      </c>
      <c r="H65" s="189">
        <v>281.3</v>
      </c>
      <c r="I65" s="49"/>
      <c r="J65" s="49"/>
      <c r="K65" s="49"/>
      <c r="L65" s="49"/>
      <c r="M65" s="49"/>
      <c r="N65" s="49"/>
      <c r="O65" s="49"/>
      <c r="P65" s="49"/>
      <c r="Q65" s="49"/>
      <c r="R65" s="49"/>
      <c r="S65" s="49"/>
      <c r="T65" s="49"/>
      <c r="U65" s="49"/>
      <c r="V65" s="49"/>
      <c r="W65" s="49"/>
      <c r="X65" s="49"/>
      <c r="Y65" s="49"/>
      <c r="Z65" s="49"/>
      <c r="AA65" s="49"/>
      <c r="AB65" s="49"/>
      <c r="AC65" s="49"/>
      <c r="AD65" s="49"/>
      <c r="AE65" s="49"/>
      <c r="AF65" s="49"/>
      <c r="AG65" s="49"/>
      <c r="AH65" s="49"/>
      <c r="AI65" s="52"/>
      <c r="AJ65" s="52"/>
      <c r="AK65" s="52"/>
      <c r="AL65" s="52"/>
      <c r="AM65" s="52"/>
      <c r="AN65" s="52"/>
      <c r="AO65" s="52"/>
      <c r="AP65" s="52"/>
      <c r="AQ65" s="52"/>
      <c r="AR65" s="52"/>
      <c r="AS65" s="52"/>
      <c r="AT65" s="52"/>
      <c r="AU65" s="52"/>
      <c r="AV65" s="52"/>
      <c r="AW65" s="52"/>
      <c r="AX65" s="52"/>
      <c r="AY65" s="52"/>
      <c r="AZ65" s="52"/>
    </row>
    <row r="66" spans="1:52" ht="17.100000000000001" customHeight="1">
      <c r="A66" s="49"/>
      <c r="B66" s="52"/>
      <c r="C66" s="49" t="s">
        <v>212</v>
      </c>
      <c r="D66" s="181" t="s">
        <v>849</v>
      </c>
      <c r="E66" s="316"/>
      <c r="F66" s="368">
        <v>293.14999999999998</v>
      </c>
      <c r="G66" s="189">
        <v>287.5</v>
      </c>
      <c r="H66" s="189">
        <v>284.5</v>
      </c>
      <c r="I66" s="49"/>
      <c r="J66" s="49"/>
      <c r="K66" s="49"/>
      <c r="L66" s="49"/>
      <c r="M66" s="49"/>
      <c r="N66" s="49"/>
      <c r="O66" s="49"/>
      <c r="P66" s="49"/>
      <c r="Q66" s="49"/>
      <c r="R66" s="49"/>
      <c r="S66" s="49"/>
      <c r="T66" s="49"/>
      <c r="U66" s="49"/>
      <c r="V66" s="49"/>
      <c r="W66" s="49"/>
      <c r="X66" s="49"/>
      <c r="Y66" s="49"/>
      <c r="Z66" s="49"/>
      <c r="AA66" s="49"/>
      <c r="AB66" s="49"/>
      <c r="AC66" s="49"/>
      <c r="AD66" s="49"/>
      <c r="AE66" s="49"/>
      <c r="AF66" s="49"/>
      <c r="AG66" s="49"/>
      <c r="AH66" s="49"/>
      <c r="AI66" s="52"/>
      <c r="AJ66" s="52"/>
      <c r="AK66" s="52"/>
      <c r="AL66" s="52"/>
      <c r="AM66" s="52"/>
      <c r="AN66" s="52"/>
      <c r="AO66" s="52"/>
      <c r="AP66" s="52"/>
      <c r="AQ66" s="52"/>
      <c r="AR66" s="52"/>
      <c r="AS66" s="52"/>
      <c r="AT66" s="52"/>
      <c r="AU66" s="52"/>
      <c r="AV66" s="52"/>
      <c r="AW66" s="52"/>
      <c r="AX66" s="52"/>
      <c r="AY66" s="52"/>
      <c r="AZ66" s="52"/>
    </row>
    <row r="67" spans="1:52" ht="17.100000000000001" customHeight="1">
      <c r="A67" s="49"/>
      <c r="B67" s="52"/>
      <c r="C67" s="49" t="s">
        <v>213</v>
      </c>
      <c r="D67" s="181" t="s">
        <v>849</v>
      </c>
      <c r="E67" s="316"/>
      <c r="F67" s="368">
        <v>293.14999999999998</v>
      </c>
      <c r="G67" s="189">
        <v>290.89999999999998</v>
      </c>
      <c r="H67" s="189">
        <v>287.89999999999998</v>
      </c>
      <c r="I67" s="49"/>
      <c r="J67" s="49"/>
      <c r="K67" s="49"/>
      <c r="L67" s="49"/>
      <c r="M67" s="49"/>
      <c r="N67" s="49"/>
      <c r="O67" s="49"/>
      <c r="P67" s="49"/>
      <c r="Q67" s="49"/>
      <c r="R67" s="49"/>
      <c r="S67" s="49"/>
      <c r="T67" s="49"/>
      <c r="U67" s="49"/>
      <c r="V67" s="49"/>
      <c r="W67" s="49"/>
      <c r="X67" s="49"/>
      <c r="Y67" s="49"/>
      <c r="Z67" s="49"/>
      <c r="AA67" s="49"/>
      <c r="AB67" s="49"/>
      <c r="AC67" s="49"/>
      <c r="AD67" s="49"/>
      <c r="AE67" s="49"/>
      <c r="AF67" s="49"/>
      <c r="AG67" s="49"/>
      <c r="AH67" s="49"/>
      <c r="AI67" s="52"/>
      <c r="AJ67" s="52"/>
      <c r="AK67" s="52"/>
      <c r="AL67" s="52"/>
      <c r="AM67" s="52"/>
      <c r="AN67" s="52"/>
      <c r="AO67" s="52"/>
      <c r="AP67" s="52"/>
      <c r="AQ67" s="52"/>
      <c r="AR67" s="52"/>
      <c r="AS67" s="52"/>
      <c r="AT67" s="52"/>
      <c r="AU67" s="52"/>
      <c r="AV67" s="52"/>
      <c r="AW67" s="52"/>
      <c r="AX67" s="52"/>
      <c r="AY67" s="52"/>
      <c r="AZ67" s="52"/>
    </row>
    <row r="68" spans="1:52" ht="17.100000000000001" customHeight="1">
      <c r="A68" s="49"/>
      <c r="B68" s="52"/>
      <c r="C68" s="49" t="s">
        <v>214</v>
      </c>
      <c r="D68" s="181" t="s">
        <v>849</v>
      </c>
      <c r="E68" s="316"/>
      <c r="F68" s="368">
        <v>293.14999999999998</v>
      </c>
      <c r="G68" s="189">
        <v>292.7</v>
      </c>
      <c r="H68" s="189">
        <v>289.7</v>
      </c>
      <c r="I68" s="49"/>
      <c r="J68" s="49"/>
      <c r="K68" s="49"/>
      <c r="L68" s="49"/>
      <c r="M68" s="49"/>
      <c r="N68" s="49"/>
      <c r="O68" s="49"/>
      <c r="P68" s="49"/>
      <c r="Q68" s="49"/>
      <c r="R68" s="49"/>
      <c r="S68" s="49"/>
      <c r="T68" s="49"/>
      <c r="U68" s="49"/>
      <c r="V68" s="49"/>
      <c r="W68" s="49"/>
      <c r="X68" s="49"/>
      <c r="Y68" s="49"/>
      <c r="Z68" s="49"/>
      <c r="AA68" s="49"/>
      <c r="AB68" s="49"/>
      <c r="AC68" s="49"/>
      <c r="AD68" s="49"/>
      <c r="AE68" s="49"/>
      <c r="AF68" s="49"/>
      <c r="AG68" s="49"/>
      <c r="AH68" s="49"/>
      <c r="AI68" s="52"/>
      <c r="AJ68" s="52"/>
      <c r="AK68" s="52"/>
      <c r="AL68" s="52"/>
      <c r="AM68" s="52"/>
      <c r="AN68" s="52"/>
      <c r="AO68" s="52"/>
      <c r="AP68" s="52"/>
      <c r="AQ68" s="52"/>
      <c r="AR68" s="52"/>
      <c r="AS68" s="52"/>
      <c r="AT68" s="52"/>
      <c r="AU68" s="52"/>
      <c r="AV68" s="52"/>
      <c r="AW68" s="52"/>
      <c r="AX68" s="52"/>
      <c r="AY68" s="52"/>
      <c r="AZ68" s="52"/>
    </row>
    <row r="69" spans="1:52" ht="17.100000000000001" customHeight="1">
      <c r="A69" s="49"/>
      <c r="B69" s="52"/>
      <c r="C69" s="49" t="s">
        <v>215</v>
      </c>
      <c r="D69" s="181" t="s">
        <v>849</v>
      </c>
      <c r="E69" s="316"/>
      <c r="F69" s="368">
        <v>293.14999999999998</v>
      </c>
      <c r="G69" s="189">
        <v>284.3</v>
      </c>
      <c r="H69" s="189">
        <v>281.3</v>
      </c>
      <c r="I69" s="49"/>
      <c r="J69" s="49"/>
      <c r="K69" s="49"/>
      <c r="L69" s="49"/>
      <c r="M69" s="49"/>
      <c r="N69" s="49"/>
      <c r="O69" s="49"/>
      <c r="P69" s="49"/>
      <c r="Q69" s="49"/>
      <c r="R69" s="49"/>
      <c r="S69" s="49"/>
      <c r="T69" s="49"/>
      <c r="U69" s="49"/>
      <c r="V69" s="49"/>
      <c r="W69" s="49"/>
      <c r="X69" s="49"/>
      <c r="Y69" s="49"/>
      <c r="Z69" s="49"/>
      <c r="AA69" s="49"/>
      <c r="AB69" s="49"/>
      <c r="AC69" s="49"/>
      <c r="AD69" s="49"/>
      <c r="AE69" s="49"/>
      <c r="AF69" s="49"/>
      <c r="AG69" s="49"/>
      <c r="AH69" s="49"/>
      <c r="AI69" s="52"/>
      <c r="AJ69" s="52"/>
      <c r="AK69" s="52"/>
      <c r="AL69" s="52"/>
      <c r="AM69" s="52"/>
      <c r="AN69" s="52"/>
      <c r="AO69" s="52"/>
      <c r="AP69" s="52"/>
      <c r="AQ69" s="52"/>
      <c r="AR69" s="52"/>
      <c r="AS69" s="52"/>
      <c r="AT69" s="52"/>
      <c r="AU69" s="52"/>
      <c r="AV69" s="52"/>
      <c r="AW69" s="52"/>
      <c r="AX69" s="52"/>
      <c r="AY69" s="52"/>
      <c r="AZ69" s="52"/>
    </row>
    <row r="70" spans="1:52" ht="17.100000000000001" customHeight="1">
      <c r="A70" s="49"/>
      <c r="B70" s="52"/>
      <c r="C70" s="49" t="s">
        <v>216</v>
      </c>
      <c r="D70" s="181" t="s">
        <v>849</v>
      </c>
      <c r="E70" s="316"/>
      <c r="F70" s="368">
        <v>293.14999999999998</v>
      </c>
      <c r="G70" s="189">
        <v>281.3</v>
      </c>
      <c r="H70" s="189">
        <v>278.3</v>
      </c>
      <c r="I70" s="49"/>
      <c r="J70" s="49"/>
      <c r="K70" s="49"/>
      <c r="L70" s="49"/>
      <c r="M70" s="49"/>
      <c r="N70" s="49"/>
      <c r="O70" s="49"/>
      <c r="P70" s="49"/>
      <c r="Q70" s="49"/>
      <c r="R70" s="49"/>
      <c r="S70" s="49"/>
      <c r="T70" s="49"/>
      <c r="U70" s="49"/>
      <c r="V70" s="49"/>
      <c r="W70" s="49"/>
      <c r="X70" s="49"/>
      <c r="Y70" s="49"/>
      <c r="Z70" s="49"/>
      <c r="AA70" s="49"/>
      <c r="AB70" s="49"/>
      <c r="AC70" s="49"/>
      <c r="AD70" s="49"/>
      <c r="AE70" s="49"/>
      <c r="AF70" s="49"/>
      <c r="AG70" s="49"/>
      <c r="AH70" s="49"/>
      <c r="AI70" s="52"/>
      <c r="AJ70" s="52"/>
      <c r="AK70" s="52"/>
      <c r="AL70" s="52"/>
      <c r="AM70" s="52"/>
      <c r="AN70" s="52"/>
      <c r="AO70" s="52"/>
      <c r="AP70" s="52"/>
      <c r="AQ70" s="52"/>
      <c r="AR70" s="52"/>
      <c r="AS70" s="52"/>
      <c r="AT70" s="52"/>
      <c r="AU70" s="52"/>
      <c r="AV70" s="52"/>
      <c r="AW70" s="52"/>
      <c r="AX70" s="52"/>
      <c r="AY70" s="52"/>
      <c r="AZ70" s="52"/>
    </row>
    <row r="71" spans="1:52" ht="17.100000000000001" customHeight="1">
      <c r="A71" s="49"/>
      <c r="B71" s="52"/>
      <c r="C71" s="49" t="s">
        <v>217</v>
      </c>
      <c r="D71" s="181" t="s">
        <v>849</v>
      </c>
      <c r="E71" s="316"/>
      <c r="F71" s="368">
        <v>293.14999999999998</v>
      </c>
      <c r="G71" s="189">
        <v>280</v>
      </c>
      <c r="H71" s="189">
        <v>277</v>
      </c>
      <c r="I71" s="49"/>
      <c r="J71" s="49"/>
      <c r="K71" s="49"/>
      <c r="L71" s="49"/>
      <c r="M71" s="49"/>
      <c r="N71" s="49"/>
      <c r="O71" s="49"/>
      <c r="P71" s="49"/>
      <c r="Q71" s="49"/>
      <c r="R71" s="49"/>
      <c r="S71" s="49"/>
      <c r="T71" s="49"/>
      <c r="U71" s="49"/>
      <c r="V71" s="49"/>
      <c r="W71" s="49"/>
      <c r="X71" s="49"/>
      <c r="Y71" s="49"/>
      <c r="Z71" s="49"/>
      <c r="AA71" s="49"/>
      <c r="AB71" s="49"/>
      <c r="AC71" s="49"/>
      <c r="AD71" s="49"/>
      <c r="AE71" s="49"/>
      <c r="AF71" s="49"/>
      <c r="AG71" s="49"/>
      <c r="AH71" s="49"/>
      <c r="AI71" s="52"/>
      <c r="AJ71" s="52"/>
      <c r="AK71" s="52"/>
      <c r="AL71" s="52"/>
      <c r="AM71" s="52"/>
      <c r="AN71" s="52"/>
      <c r="AO71" s="52"/>
      <c r="AP71" s="52"/>
      <c r="AQ71" s="52"/>
      <c r="AR71" s="52"/>
      <c r="AS71" s="52"/>
      <c r="AT71" s="52"/>
      <c r="AU71" s="52"/>
      <c r="AV71" s="52"/>
      <c r="AW71" s="52"/>
      <c r="AX71" s="52"/>
      <c r="AY71" s="52"/>
      <c r="AZ71" s="52"/>
    </row>
    <row r="72" spans="1:52" ht="17.100000000000001" customHeight="1">
      <c r="A72" s="49"/>
      <c r="B72" s="52"/>
      <c r="C72" s="49" t="s">
        <v>218</v>
      </c>
      <c r="D72" s="181" t="s">
        <v>849</v>
      </c>
      <c r="E72" s="316"/>
      <c r="F72" s="368">
        <v>293.14999999999998</v>
      </c>
      <c r="G72" s="189">
        <v>271.3</v>
      </c>
      <c r="H72" s="189">
        <v>268.3</v>
      </c>
      <c r="I72" s="49"/>
      <c r="J72" s="49"/>
      <c r="K72" s="49"/>
      <c r="L72" s="49"/>
      <c r="M72" s="49"/>
      <c r="N72" s="49"/>
      <c r="O72" s="49"/>
      <c r="P72" s="49"/>
      <c r="Q72" s="49"/>
      <c r="R72" s="49"/>
      <c r="S72" s="49"/>
      <c r="T72" s="49"/>
      <c r="U72" s="49"/>
      <c r="V72" s="49"/>
      <c r="W72" s="49"/>
      <c r="X72" s="49"/>
      <c r="Y72" s="49"/>
      <c r="Z72" s="49"/>
      <c r="AA72" s="49"/>
      <c r="AB72" s="49"/>
      <c r="AC72" s="49"/>
      <c r="AD72" s="49"/>
      <c r="AE72" s="49"/>
      <c r="AF72" s="49"/>
      <c r="AG72" s="49"/>
      <c r="AH72" s="49"/>
      <c r="AI72" s="52"/>
      <c r="AJ72" s="52"/>
      <c r="AK72" s="52"/>
      <c r="AL72" s="52"/>
      <c r="AM72" s="52"/>
      <c r="AN72" s="52"/>
      <c r="AO72" s="52"/>
      <c r="AP72" s="52"/>
      <c r="AQ72" s="52"/>
      <c r="AR72" s="52"/>
      <c r="AS72" s="52"/>
      <c r="AT72" s="52"/>
      <c r="AU72" s="52"/>
      <c r="AV72" s="52"/>
      <c r="AW72" s="52"/>
      <c r="AX72" s="52"/>
      <c r="AY72" s="52"/>
      <c r="AZ72" s="52"/>
    </row>
    <row r="73" spans="1:52" ht="17.100000000000001" customHeight="1">
      <c r="A73" s="49"/>
      <c r="B73" s="52"/>
      <c r="C73" s="49" t="s">
        <v>219</v>
      </c>
      <c r="D73" s="181" t="s">
        <v>849</v>
      </c>
      <c r="E73" s="316"/>
      <c r="F73" s="368">
        <v>293.14999999999998</v>
      </c>
      <c r="G73" s="189">
        <v>280.29166666666669</v>
      </c>
      <c r="H73" s="189">
        <v>277.29166666666669</v>
      </c>
      <c r="I73" s="49"/>
      <c r="J73" s="49"/>
      <c r="K73" s="49"/>
      <c r="L73" s="49"/>
      <c r="M73" s="49"/>
      <c r="N73" s="49"/>
      <c r="O73" s="49"/>
      <c r="P73" s="49"/>
      <c r="Q73" s="49"/>
      <c r="R73" s="49"/>
      <c r="S73" s="49"/>
      <c r="T73" s="49"/>
      <c r="U73" s="49"/>
      <c r="V73" s="49"/>
      <c r="W73" s="49"/>
      <c r="X73" s="49"/>
      <c r="Y73" s="49"/>
      <c r="Z73" s="49"/>
      <c r="AA73" s="49"/>
      <c r="AB73" s="49"/>
      <c r="AC73" s="49"/>
      <c r="AD73" s="49"/>
      <c r="AE73" s="49"/>
      <c r="AF73" s="49"/>
      <c r="AG73" s="49"/>
      <c r="AH73" s="49"/>
      <c r="AI73" s="52"/>
      <c r="AJ73" s="52"/>
      <c r="AK73" s="52"/>
      <c r="AL73" s="52"/>
      <c r="AM73" s="52"/>
      <c r="AN73" s="52"/>
      <c r="AO73" s="52"/>
      <c r="AP73" s="52"/>
      <c r="AQ73" s="52"/>
      <c r="AR73" s="52"/>
      <c r="AS73" s="52"/>
      <c r="AT73" s="52"/>
      <c r="AU73" s="52"/>
      <c r="AV73" s="52"/>
      <c r="AW73" s="52"/>
      <c r="AX73" s="52"/>
      <c r="AY73" s="52"/>
      <c r="AZ73" s="52"/>
    </row>
    <row r="74" spans="1:52" ht="17.100000000000001" hidden="1" customHeight="1">
      <c r="A74" s="49"/>
      <c r="B74" s="52"/>
      <c r="C74" s="49"/>
      <c r="D74" s="49"/>
      <c r="E74" s="49"/>
      <c r="F74" s="49"/>
      <c r="G74" s="49"/>
      <c r="H74" s="49"/>
      <c r="I74" s="49"/>
      <c r="J74" s="49"/>
      <c r="K74" s="49"/>
      <c r="L74" s="49"/>
      <c r="M74" s="49"/>
      <c r="N74" s="49"/>
      <c r="O74" s="49"/>
      <c r="P74" s="49"/>
      <c r="Q74" s="49"/>
      <c r="R74" s="49"/>
      <c r="S74" s="49"/>
      <c r="T74" s="49"/>
      <c r="U74" s="49"/>
      <c r="V74" s="49"/>
      <c r="W74" s="49"/>
      <c r="X74" s="49"/>
      <c r="Y74" s="49"/>
      <c r="Z74" s="49"/>
      <c r="AA74" s="49"/>
      <c r="AB74" s="49"/>
      <c r="AC74" s="49"/>
      <c r="AD74" s="49"/>
      <c r="AE74" s="49"/>
      <c r="AF74" s="49"/>
      <c r="AG74" s="49"/>
      <c r="AH74" s="49"/>
      <c r="AI74" s="52"/>
      <c r="AJ74" s="52"/>
      <c r="AK74" s="52"/>
      <c r="AL74" s="52"/>
      <c r="AM74" s="52"/>
      <c r="AN74" s="52"/>
      <c r="AO74" s="52"/>
      <c r="AP74" s="52"/>
      <c r="AQ74" s="52"/>
      <c r="AR74" s="52"/>
      <c r="AS74" s="52"/>
      <c r="AT74" s="52"/>
      <c r="AU74" s="52"/>
      <c r="AV74" s="52"/>
      <c r="AW74" s="52"/>
      <c r="AX74" s="52"/>
      <c r="AY74" s="52"/>
      <c r="AZ74" s="52"/>
    </row>
    <row r="75" spans="1:52" ht="17.100000000000001" hidden="1" customHeight="1">
      <c r="A75" s="49"/>
      <c r="B75" s="52"/>
      <c r="C75" s="49"/>
      <c r="D75" s="49"/>
      <c r="E75" s="49"/>
      <c r="F75" s="49"/>
      <c r="G75" s="49"/>
      <c r="H75" s="49"/>
      <c r="I75" s="49"/>
      <c r="J75" s="49"/>
      <c r="K75" s="49"/>
      <c r="L75" s="49"/>
      <c r="M75" s="49"/>
      <c r="N75" s="49"/>
      <c r="O75" s="49"/>
      <c r="P75" s="49"/>
      <c r="Q75" s="49"/>
      <c r="R75" s="49"/>
      <c r="S75" s="49"/>
      <c r="T75" s="49"/>
      <c r="U75" s="49"/>
      <c r="V75" s="49"/>
      <c r="W75" s="49"/>
      <c r="X75" s="49"/>
      <c r="Y75" s="49"/>
      <c r="Z75" s="49"/>
      <c r="AA75" s="49"/>
      <c r="AB75" s="49"/>
      <c r="AC75" s="49"/>
      <c r="AD75" s="49"/>
      <c r="AE75" s="49"/>
      <c r="AF75" s="49"/>
      <c r="AG75" s="49"/>
      <c r="AH75" s="49"/>
      <c r="AI75" s="52"/>
      <c r="AJ75" s="52"/>
      <c r="AK75" s="52"/>
      <c r="AL75" s="52"/>
      <c r="AM75" s="52"/>
      <c r="AN75" s="52"/>
      <c r="AO75" s="52"/>
      <c r="AP75" s="52"/>
      <c r="AQ75" s="52"/>
      <c r="AR75" s="52"/>
      <c r="AS75" s="52"/>
      <c r="AT75" s="52"/>
      <c r="AU75" s="52"/>
      <c r="AV75" s="52"/>
      <c r="AW75" s="52"/>
      <c r="AX75" s="52"/>
      <c r="AY75" s="52"/>
      <c r="AZ75" s="52"/>
    </row>
    <row r="76" spans="1:52" ht="17.100000000000001" hidden="1" customHeight="1">
      <c r="A76" s="49"/>
      <c r="B76" s="52"/>
      <c r="C76" s="49"/>
      <c r="D76" s="49"/>
      <c r="E76" s="49"/>
      <c r="F76" s="49"/>
      <c r="G76" s="49"/>
      <c r="H76" s="49"/>
      <c r="I76" s="49"/>
      <c r="J76" s="49"/>
      <c r="K76" s="49"/>
      <c r="L76" s="49"/>
      <c r="M76" s="49"/>
      <c r="N76" s="49"/>
      <c r="O76" s="49"/>
      <c r="P76" s="49"/>
      <c r="Q76" s="49"/>
      <c r="R76" s="49"/>
      <c r="S76" s="49"/>
      <c r="T76" s="49"/>
      <c r="U76" s="49"/>
      <c r="V76" s="49"/>
      <c r="W76" s="49"/>
      <c r="X76" s="49"/>
      <c r="Y76" s="49"/>
      <c r="Z76" s="49"/>
      <c r="AA76" s="49"/>
      <c r="AB76" s="49"/>
      <c r="AC76" s="49"/>
      <c r="AD76" s="49"/>
      <c r="AE76" s="49"/>
      <c r="AF76" s="49"/>
      <c r="AG76" s="49"/>
      <c r="AH76" s="49"/>
      <c r="AI76" s="52"/>
      <c r="AJ76" s="52"/>
      <c r="AK76" s="52"/>
      <c r="AL76" s="52"/>
      <c r="AM76" s="52"/>
      <c r="AN76" s="52"/>
      <c r="AO76" s="52"/>
      <c r="AP76" s="52"/>
      <c r="AQ76" s="52"/>
      <c r="AR76" s="52"/>
      <c r="AS76" s="52"/>
      <c r="AT76" s="52"/>
      <c r="AU76" s="52"/>
      <c r="AV76" s="52"/>
      <c r="AW76" s="52"/>
      <c r="AX76" s="52"/>
      <c r="AY76" s="52"/>
      <c r="AZ76" s="52"/>
    </row>
    <row r="77" spans="1:52" ht="17.100000000000001" hidden="1" customHeight="1">
      <c r="A77" s="49"/>
      <c r="B77" s="52"/>
      <c r="C77" s="49"/>
      <c r="D77" s="49"/>
      <c r="E77" s="49"/>
      <c r="F77" s="49"/>
      <c r="G77" s="49"/>
      <c r="H77" s="49"/>
      <c r="I77" s="49"/>
      <c r="J77" s="49"/>
      <c r="K77" s="49"/>
      <c r="L77" s="49"/>
      <c r="M77" s="49"/>
      <c r="N77" s="49"/>
      <c r="O77" s="49"/>
      <c r="P77" s="49"/>
      <c r="Q77" s="49"/>
      <c r="R77" s="49"/>
      <c r="S77" s="49"/>
      <c r="T77" s="49"/>
      <c r="U77" s="49"/>
      <c r="V77" s="49"/>
      <c r="W77" s="49"/>
      <c r="X77" s="49"/>
      <c r="Y77" s="49"/>
      <c r="Z77" s="49"/>
      <c r="AA77" s="49"/>
      <c r="AB77" s="49"/>
      <c r="AC77" s="49"/>
      <c r="AD77" s="49"/>
      <c r="AE77" s="49"/>
      <c r="AF77" s="49"/>
      <c r="AG77" s="49"/>
      <c r="AH77" s="49"/>
      <c r="AI77" s="52"/>
      <c r="AJ77" s="52"/>
      <c r="AK77" s="52"/>
      <c r="AL77" s="52"/>
      <c r="AM77" s="52"/>
      <c r="AN77" s="52"/>
      <c r="AO77" s="52"/>
      <c r="AP77" s="52"/>
      <c r="AQ77" s="52"/>
      <c r="AR77" s="52"/>
      <c r="AS77" s="52"/>
      <c r="AT77" s="52"/>
      <c r="AU77" s="52"/>
      <c r="AV77" s="52"/>
      <c r="AW77" s="52"/>
      <c r="AX77" s="52"/>
      <c r="AY77" s="52"/>
      <c r="AZ77" s="52"/>
    </row>
    <row r="78" spans="1:52" ht="17.100000000000001" hidden="1" customHeight="1">
      <c r="A78" s="49"/>
      <c r="B78" s="52"/>
      <c r="C78" s="49"/>
      <c r="D78" s="49"/>
      <c r="E78" s="49"/>
      <c r="F78" s="49"/>
      <c r="G78" s="49"/>
      <c r="H78" s="49"/>
      <c r="I78" s="49"/>
      <c r="J78" s="49"/>
      <c r="K78" s="49"/>
      <c r="L78" s="49"/>
      <c r="M78" s="49"/>
      <c r="N78" s="49"/>
      <c r="O78" s="49"/>
      <c r="P78" s="49"/>
      <c r="Q78" s="49"/>
      <c r="R78" s="49"/>
      <c r="S78" s="49"/>
      <c r="T78" s="49"/>
      <c r="U78" s="49"/>
      <c r="V78" s="49"/>
      <c r="W78" s="49"/>
      <c r="X78" s="49"/>
      <c r="Y78" s="49"/>
      <c r="Z78" s="49"/>
      <c r="AA78" s="49"/>
      <c r="AB78" s="49"/>
      <c r="AC78" s="49"/>
      <c r="AD78" s="49"/>
      <c r="AE78" s="49"/>
      <c r="AF78" s="49"/>
      <c r="AG78" s="49"/>
      <c r="AH78" s="49"/>
      <c r="AI78" s="52"/>
      <c r="AJ78" s="52"/>
      <c r="AK78" s="52"/>
      <c r="AL78" s="52"/>
      <c r="AM78" s="52"/>
      <c r="AN78" s="52"/>
      <c r="AO78" s="52"/>
      <c r="AP78" s="52"/>
      <c r="AQ78" s="52"/>
      <c r="AR78" s="52"/>
      <c r="AS78" s="52"/>
      <c r="AT78" s="52"/>
      <c r="AU78" s="52"/>
      <c r="AV78" s="52"/>
      <c r="AW78" s="52"/>
      <c r="AX78" s="52"/>
      <c r="AY78" s="52"/>
      <c r="AZ78" s="52"/>
    </row>
    <row r="79" spans="1:52" ht="17.100000000000001" customHeight="1">
      <c r="A79" s="49"/>
      <c r="B79" s="52"/>
      <c r="C79" s="49"/>
      <c r="D79" s="49"/>
      <c r="E79" s="49"/>
      <c r="F79" s="49"/>
      <c r="G79" s="49"/>
      <c r="H79" s="49"/>
      <c r="I79" s="49"/>
      <c r="J79" s="49"/>
      <c r="K79" s="49"/>
      <c r="L79" s="49"/>
      <c r="M79" s="49"/>
      <c r="N79" s="49"/>
      <c r="O79" s="49"/>
      <c r="P79" s="49"/>
      <c r="Q79" s="49"/>
      <c r="R79" s="49"/>
      <c r="S79" s="49"/>
      <c r="T79" s="49"/>
      <c r="U79" s="49"/>
      <c r="V79" s="49"/>
      <c r="W79" s="49"/>
      <c r="X79" s="49"/>
      <c r="Y79" s="49"/>
      <c r="Z79" s="49"/>
      <c r="AA79" s="49"/>
      <c r="AB79" s="49"/>
      <c r="AC79" s="49"/>
      <c r="AD79" s="49"/>
      <c r="AE79" s="49"/>
      <c r="AF79" s="49"/>
      <c r="AG79" s="49"/>
      <c r="AH79" s="49"/>
      <c r="AI79" s="52"/>
      <c r="AJ79" s="52"/>
      <c r="AK79" s="52"/>
      <c r="AL79" s="52"/>
      <c r="AM79" s="52"/>
      <c r="AN79" s="52"/>
      <c r="AO79" s="52"/>
      <c r="AP79" s="52"/>
      <c r="AQ79" s="52"/>
      <c r="AR79" s="52"/>
      <c r="AS79" s="52"/>
      <c r="AT79" s="52"/>
      <c r="AU79" s="52"/>
      <c r="AV79" s="52"/>
      <c r="AW79" s="52"/>
      <c r="AX79" s="52"/>
      <c r="AY79" s="52"/>
      <c r="AZ79" s="52"/>
    </row>
    <row r="80" spans="1:52" ht="17.100000000000001" customHeight="1">
      <c r="A80" s="49"/>
      <c r="B80" s="115" t="s">
        <v>837</v>
      </c>
      <c r="C80" s="115"/>
      <c r="D80" s="115" t="s">
        <v>464</v>
      </c>
      <c r="E80" s="257"/>
      <c r="F80" s="257" t="s">
        <v>428</v>
      </c>
      <c r="G80" s="257" t="s">
        <v>43</v>
      </c>
      <c r="H80" s="257" t="s">
        <v>77</v>
      </c>
      <c r="I80" s="257"/>
      <c r="J80" s="257"/>
      <c r="K80" s="257"/>
      <c r="L80" s="257"/>
      <c r="M80" s="257"/>
      <c r="N80" s="257"/>
      <c r="O80" s="257"/>
      <c r="P80" s="257"/>
      <c r="Q80" s="257"/>
      <c r="R80" s="257"/>
      <c r="S80" s="257"/>
      <c r="T80" s="257"/>
      <c r="U80" s="257"/>
      <c r="V80" s="257"/>
      <c r="W80" s="257"/>
      <c r="X80" s="257"/>
      <c r="Y80" s="257"/>
      <c r="Z80" s="257"/>
      <c r="AA80" s="257"/>
      <c r="AB80" s="257"/>
      <c r="AC80" s="257"/>
      <c r="AD80" s="257"/>
      <c r="AE80" s="257"/>
      <c r="AF80" s="257"/>
      <c r="AG80" s="257"/>
      <c r="AH80" s="257"/>
      <c r="AI80" s="52"/>
      <c r="AJ80" s="52"/>
      <c r="AK80" s="52"/>
      <c r="AL80" s="52"/>
      <c r="AM80" s="52"/>
      <c r="AN80" s="52"/>
      <c r="AO80" s="52"/>
      <c r="AP80" s="52"/>
      <c r="AQ80" s="52"/>
      <c r="AR80" s="52"/>
      <c r="AS80" s="52"/>
      <c r="AT80" s="52"/>
      <c r="AU80" s="52"/>
      <c r="AV80" s="52"/>
      <c r="AW80" s="52"/>
      <c r="AX80" s="52"/>
      <c r="AY80" s="52"/>
      <c r="AZ80" s="52"/>
    </row>
    <row r="81" spans="1:52" ht="17.100000000000001" customHeight="1">
      <c r="A81" s="49"/>
      <c r="B81" s="52"/>
      <c r="C81" s="49" t="s">
        <v>207</v>
      </c>
      <c r="D81" s="181" t="s">
        <v>850</v>
      </c>
      <c r="E81" s="316"/>
      <c r="F81" s="180">
        <v>1</v>
      </c>
      <c r="G81" s="189">
        <v>4.4000000000000004</v>
      </c>
      <c r="H81" s="46">
        <v>5.4</v>
      </c>
      <c r="I81" s="49"/>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52"/>
      <c r="AJ81" s="52"/>
      <c r="AK81" s="52"/>
      <c r="AL81" s="52"/>
      <c r="AM81" s="52"/>
      <c r="AN81" s="52"/>
      <c r="AO81" s="52"/>
      <c r="AP81" s="52"/>
      <c r="AQ81" s="52"/>
      <c r="AR81" s="52"/>
      <c r="AS81" s="52"/>
      <c r="AT81" s="52"/>
      <c r="AU81" s="52"/>
      <c r="AV81" s="52"/>
      <c r="AW81" s="52"/>
      <c r="AX81" s="52"/>
      <c r="AY81" s="52"/>
      <c r="AZ81" s="52"/>
    </row>
    <row r="82" spans="1:52" ht="17.100000000000001" customHeight="1">
      <c r="A82" s="49"/>
      <c r="B82" s="52"/>
      <c r="C82" s="49" t="s">
        <v>208</v>
      </c>
      <c r="D82" s="181" t="s">
        <v>850</v>
      </c>
      <c r="E82" s="316"/>
      <c r="F82" s="180">
        <v>1</v>
      </c>
      <c r="G82" s="189">
        <v>5.0999999999999996</v>
      </c>
      <c r="H82" s="46">
        <v>6.1</v>
      </c>
      <c r="I82" s="49"/>
      <c r="J82" s="49"/>
      <c r="K82" s="49"/>
      <c r="L82" s="49"/>
      <c r="M82" s="49"/>
      <c r="N82" s="49"/>
      <c r="O82" s="49"/>
      <c r="P82" s="49"/>
      <c r="Q82" s="49"/>
      <c r="R82" s="49"/>
      <c r="S82" s="49"/>
      <c r="T82" s="49"/>
      <c r="U82" s="49"/>
      <c r="V82" s="49"/>
      <c r="W82" s="49"/>
      <c r="X82" s="49"/>
      <c r="Y82" s="49"/>
      <c r="Z82" s="49"/>
      <c r="AA82" s="49"/>
      <c r="AB82" s="49"/>
      <c r="AC82" s="49"/>
      <c r="AD82" s="49"/>
      <c r="AE82" s="49"/>
      <c r="AF82" s="49"/>
      <c r="AG82" s="49"/>
      <c r="AH82" s="49"/>
      <c r="AI82" s="52"/>
      <c r="AJ82" s="52"/>
      <c r="AK82" s="52"/>
      <c r="AL82" s="52"/>
      <c r="AM82" s="52"/>
      <c r="AN82" s="52"/>
      <c r="AO82" s="52"/>
      <c r="AP82" s="52"/>
      <c r="AQ82" s="52"/>
      <c r="AR82" s="52"/>
      <c r="AS82" s="52"/>
      <c r="AT82" s="52"/>
      <c r="AU82" s="52"/>
      <c r="AV82" s="52"/>
      <c r="AW82" s="52"/>
      <c r="AX82" s="52"/>
      <c r="AY82" s="52"/>
      <c r="AZ82" s="52"/>
    </row>
    <row r="83" spans="1:52" ht="17.100000000000001" customHeight="1">
      <c r="A83" s="49"/>
      <c r="B83" s="52"/>
      <c r="C83" s="49" t="s">
        <v>209</v>
      </c>
      <c r="D83" s="181" t="s">
        <v>850</v>
      </c>
      <c r="E83" s="316"/>
      <c r="F83" s="180">
        <v>1</v>
      </c>
      <c r="G83" s="189">
        <v>4.0999999999999996</v>
      </c>
      <c r="H83" s="46">
        <v>5.0999999999999996</v>
      </c>
      <c r="I83" s="49"/>
      <c r="J83" s="49"/>
      <c r="K83" s="49"/>
      <c r="L83" s="49"/>
      <c r="M83" s="49"/>
      <c r="N83" s="49"/>
      <c r="O83" s="49"/>
      <c r="P83" s="49"/>
      <c r="Q83" s="49"/>
      <c r="R83" s="49"/>
      <c r="S83" s="49"/>
      <c r="T83" s="49"/>
      <c r="U83" s="49"/>
      <c r="V83" s="49"/>
      <c r="W83" s="49"/>
      <c r="X83" s="49"/>
      <c r="Y83" s="49"/>
      <c r="Z83" s="49"/>
      <c r="AA83" s="49"/>
      <c r="AB83" s="49"/>
      <c r="AC83" s="49"/>
      <c r="AD83" s="49"/>
      <c r="AE83" s="49"/>
      <c r="AF83" s="49"/>
      <c r="AG83" s="49"/>
      <c r="AH83" s="49"/>
      <c r="AI83" s="52"/>
      <c r="AJ83" s="52"/>
      <c r="AK83" s="52"/>
      <c r="AL83" s="52"/>
      <c r="AM83" s="52"/>
      <c r="AN83" s="52"/>
      <c r="AO83" s="52"/>
      <c r="AP83" s="52"/>
      <c r="AQ83" s="52"/>
      <c r="AR83" s="52"/>
      <c r="AS83" s="52"/>
      <c r="AT83" s="52"/>
      <c r="AU83" s="52"/>
      <c r="AV83" s="52"/>
      <c r="AW83" s="52"/>
      <c r="AX83" s="52"/>
      <c r="AY83" s="52"/>
      <c r="AZ83" s="52"/>
    </row>
    <row r="84" spans="1:52" ht="17.100000000000001" customHeight="1">
      <c r="A84" s="49"/>
      <c r="B84" s="52"/>
      <c r="C84" s="49" t="s">
        <v>210</v>
      </c>
      <c r="D84" s="181" t="s">
        <v>850</v>
      </c>
      <c r="E84" s="316"/>
      <c r="F84" s="180">
        <v>1</v>
      </c>
      <c r="G84" s="189">
        <v>3.8</v>
      </c>
      <c r="H84" s="46">
        <v>4.8</v>
      </c>
      <c r="I84" s="49"/>
      <c r="J84" s="49"/>
      <c r="K84" s="49"/>
      <c r="L84" s="49"/>
      <c r="M84" s="49"/>
      <c r="N84" s="49"/>
      <c r="O84" s="49"/>
      <c r="P84" s="49"/>
      <c r="Q84" s="49"/>
      <c r="R84" s="49"/>
      <c r="S84" s="49"/>
      <c r="T84" s="49"/>
      <c r="U84" s="49"/>
      <c r="V84" s="49"/>
      <c r="W84" s="49"/>
      <c r="X84" s="49"/>
      <c r="Y84" s="49"/>
      <c r="Z84" s="49"/>
      <c r="AA84" s="49"/>
      <c r="AB84" s="49"/>
      <c r="AC84" s="49"/>
      <c r="AD84" s="49"/>
      <c r="AE84" s="49"/>
      <c r="AF84" s="49"/>
      <c r="AG84" s="49"/>
      <c r="AH84" s="49"/>
      <c r="AI84" s="52"/>
      <c r="AJ84" s="52"/>
      <c r="AK84" s="52"/>
      <c r="AL84" s="52"/>
      <c r="AM84" s="52"/>
      <c r="AN84" s="52"/>
      <c r="AO84" s="52"/>
      <c r="AP84" s="52"/>
      <c r="AQ84" s="52"/>
      <c r="AR84" s="52"/>
      <c r="AS84" s="52"/>
      <c r="AT84" s="52"/>
      <c r="AU84" s="52"/>
      <c r="AV84" s="52"/>
      <c r="AW84" s="52"/>
      <c r="AX84" s="52"/>
      <c r="AY84" s="52"/>
      <c r="AZ84" s="52"/>
    </row>
    <row r="85" spans="1:52" ht="17.100000000000001" customHeight="1">
      <c r="A85" s="49"/>
      <c r="B85" s="52"/>
      <c r="C85" s="49" t="s">
        <v>211</v>
      </c>
      <c r="D85" s="181" t="s">
        <v>850</v>
      </c>
      <c r="E85" s="316"/>
      <c r="F85" s="180">
        <v>1</v>
      </c>
      <c r="G85" s="189">
        <v>4</v>
      </c>
      <c r="H85" s="46">
        <v>5</v>
      </c>
      <c r="I85" s="49"/>
      <c r="J85" s="49"/>
      <c r="K85" s="49"/>
      <c r="L85" s="49"/>
      <c r="M85" s="49"/>
      <c r="N85" s="49"/>
      <c r="O85" s="49"/>
      <c r="P85" s="49"/>
      <c r="Q85" s="49"/>
      <c r="R85" s="49"/>
      <c r="S85" s="49"/>
      <c r="T85" s="49"/>
      <c r="U85" s="49"/>
      <c r="V85" s="49"/>
      <c r="W85" s="49"/>
      <c r="X85" s="49"/>
      <c r="Y85" s="49"/>
      <c r="Z85" s="49"/>
      <c r="AA85" s="49"/>
      <c r="AB85" s="49"/>
      <c r="AC85" s="49"/>
      <c r="AD85" s="49"/>
      <c r="AE85" s="49"/>
      <c r="AF85" s="49"/>
      <c r="AG85" s="49"/>
      <c r="AH85" s="49"/>
      <c r="AI85" s="52"/>
      <c r="AJ85" s="52"/>
      <c r="AK85" s="52"/>
      <c r="AL85" s="52"/>
      <c r="AM85" s="52"/>
      <c r="AN85" s="52"/>
      <c r="AO85" s="52"/>
      <c r="AP85" s="52"/>
      <c r="AQ85" s="52"/>
      <c r="AR85" s="52"/>
      <c r="AS85" s="52"/>
      <c r="AT85" s="52"/>
      <c r="AU85" s="52"/>
      <c r="AV85" s="52"/>
      <c r="AW85" s="52"/>
      <c r="AX85" s="52"/>
      <c r="AY85" s="52"/>
      <c r="AZ85" s="52"/>
    </row>
    <row r="86" spans="1:52" ht="17.100000000000001" customHeight="1">
      <c r="A86" s="49"/>
      <c r="B86" s="52"/>
      <c r="C86" s="49" t="s">
        <v>212</v>
      </c>
      <c r="D86" s="181" t="s">
        <v>850</v>
      </c>
      <c r="E86" s="316"/>
      <c r="F86" s="180">
        <v>1</v>
      </c>
      <c r="G86" s="189">
        <v>4.0999999999999996</v>
      </c>
      <c r="H86" s="46">
        <v>5.0999999999999996</v>
      </c>
      <c r="I86" s="49"/>
      <c r="J86" s="49"/>
      <c r="K86" s="49"/>
      <c r="L86" s="49"/>
      <c r="M86" s="49"/>
      <c r="N86" s="49"/>
      <c r="O86" s="49"/>
      <c r="P86" s="49"/>
      <c r="Q86" s="49"/>
      <c r="R86" s="49"/>
      <c r="S86" s="49"/>
      <c r="T86" s="49"/>
      <c r="U86" s="49"/>
      <c r="V86" s="49"/>
      <c r="W86" s="49"/>
      <c r="X86" s="49"/>
      <c r="Y86" s="49"/>
      <c r="Z86" s="49"/>
      <c r="AA86" s="49"/>
      <c r="AB86" s="49"/>
      <c r="AC86" s="49"/>
      <c r="AD86" s="49"/>
      <c r="AE86" s="49"/>
      <c r="AF86" s="49"/>
      <c r="AG86" s="49"/>
      <c r="AH86" s="49"/>
      <c r="AI86" s="52"/>
      <c r="AJ86" s="52"/>
      <c r="AK86" s="52"/>
      <c r="AL86" s="52"/>
      <c r="AM86" s="52"/>
      <c r="AN86" s="52"/>
      <c r="AO86" s="52"/>
      <c r="AP86" s="52"/>
      <c r="AQ86" s="52"/>
      <c r="AR86" s="52"/>
      <c r="AS86" s="52"/>
      <c r="AT86" s="52"/>
      <c r="AU86" s="52"/>
      <c r="AV86" s="52"/>
      <c r="AW86" s="52"/>
      <c r="AX86" s="52"/>
      <c r="AY86" s="52"/>
      <c r="AZ86" s="52"/>
    </row>
    <row r="87" spans="1:52" ht="17.100000000000001" customHeight="1">
      <c r="A87" s="49"/>
      <c r="B87" s="52"/>
      <c r="C87" s="49" t="s">
        <v>213</v>
      </c>
      <c r="D87" s="181" t="s">
        <v>850</v>
      </c>
      <c r="E87" s="316"/>
      <c r="F87" s="180">
        <v>1</v>
      </c>
      <c r="G87" s="189">
        <v>3.5999999999999996</v>
      </c>
      <c r="H87" s="46">
        <v>4.5999999999999996</v>
      </c>
      <c r="I87" s="49"/>
      <c r="J87" s="49"/>
      <c r="K87" s="49"/>
      <c r="L87" s="49"/>
      <c r="M87" s="49"/>
      <c r="N87" s="49"/>
      <c r="O87" s="49"/>
      <c r="P87" s="49"/>
      <c r="Q87" s="49"/>
      <c r="R87" s="49"/>
      <c r="S87" s="49"/>
      <c r="T87" s="49"/>
      <c r="U87" s="49"/>
      <c r="V87" s="49"/>
      <c r="W87" s="49"/>
      <c r="X87" s="49"/>
      <c r="Y87" s="49"/>
      <c r="Z87" s="49"/>
      <c r="AA87" s="49"/>
      <c r="AB87" s="49"/>
      <c r="AC87" s="49"/>
      <c r="AD87" s="49"/>
      <c r="AE87" s="49"/>
      <c r="AF87" s="49"/>
      <c r="AG87" s="49"/>
      <c r="AH87" s="49"/>
      <c r="AI87" s="52"/>
      <c r="AJ87" s="52"/>
      <c r="AK87" s="52"/>
      <c r="AL87" s="52"/>
      <c r="AM87" s="52"/>
      <c r="AN87" s="52"/>
      <c r="AO87" s="52"/>
      <c r="AP87" s="52"/>
      <c r="AQ87" s="52"/>
      <c r="AR87" s="52"/>
      <c r="AS87" s="52"/>
      <c r="AT87" s="52"/>
      <c r="AU87" s="52"/>
      <c r="AV87" s="52"/>
      <c r="AW87" s="52"/>
      <c r="AX87" s="52"/>
      <c r="AY87" s="52"/>
      <c r="AZ87" s="52"/>
    </row>
    <row r="88" spans="1:52" ht="17.100000000000001" customHeight="1">
      <c r="A88" s="49"/>
      <c r="B88" s="52"/>
      <c r="C88" s="49" t="s">
        <v>214</v>
      </c>
      <c r="D88" s="181" t="s">
        <v>850</v>
      </c>
      <c r="E88" s="316"/>
      <c r="F88" s="180">
        <v>1</v>
      </c>
      <c r="G88" s="189">
        <v>3.5999999999999996</v>
      </c>
      <c r="H88" s="46">
        <v>4.5999999999999996</v>
      </c>
      <c r="I88" s="49"/>
      <c r="J88" s="49"/>
      <c r="K88" s="49"/>
      <c r="L88" s="49"/>
      <c r="M88" s="49"/>
      <c r="N88" s="49"/>
      <c r="O88" s="49"/>
      <c r="P88" s="49"/>
      <c r="Q88" s="49"/>
      <c r="R88" s="49"/>
      <c r="S88" s="49"/>
      <c r="T88" s="49"/>
      <c r="U88" s="49"/>
      <c r="V88" s="49"/>
      <c r="W88" s="49"/>
      <c r="X88" s="49"/>
      <c r="Y88" s="49"/>
      <c r="Z88" s="49"/>
      <c r="AA88" s="49"/>
      <c r="AB88" s="49"/>
      <c r="AC88" s="49"/>
      <c r="AD88" s="49"/>
      <c r="AE88" s="49"/>
      <c r="AF88" s="49"/>
      <c r="AG88" s="49"/>
      <c r="AH88" s="49"/>
      <c r="AI88" s="52"/>
      <c r="AJ88" s="52"/>
      <c r="AK88" s="52"/>
      <c r="AL88" s="52"/>
      <c r="AM88" s="52"/>
      <c r="AN88" s="52"/>
      <c r="AO88" s="52"/>
      <c r="AP88" s="52"/>
      <c r="AQ88" s="52"/>
      <c r="AR88" s="52"/>
      <c r="AS88" s="52"/>
      <c r="AT88" s="52"/>
      <c r="AU88" s="52"/>
      <c r="AV88" s="52"/>
      <c r="AW88" s="52"/>
      <c r="AX88" s="52"/>
      <c r="AY88" s="52"/>
      <c r="AZ88" s="52"/>
    </row>
    <row r="89" spans="1:52" ht="17.100000000000001" customHeight="1">
      <c r="A89" s="49"/>
      <c r="B89" s="52"/>
      <c r="C89" s="49" t="s">
        <v>215</v>
      </c>
      <c r="D89" s="181" t="s">
        <v>850</v>
      </c>
      <c r="E89" s="316"/>
      <c r="F89" s="180">
        <v>1</v>
      </c>
      <c r="G89" s="189">
        <v>4.2</v>
      </c>
      <c r="H89" s="46">
        <v>5.2</v>
      </c>
      <c r="I89" s="49"/>
      <c r="J89" s="49"/>
      <c r="K89" s="49"/>
      <c r="L89" s="49"/>
      <c r="M89" s="49"/>
      <c r="N89" s="49"/>
      <c r="O89" s="49"/>
      <c r="P89" s="49"/>
      <c r="Q89" s="49"/>
      <c r="R89" s="49"/>
      <c r="S89" s="49"/>
      <c r="T89" s="49"/>
      <c r="U89" s="49"/>
      <c r="V89" s="49"/>
      <c r="W89" s="49"/>
      <c r="X89" s="49"/>
      <c r="Y89" s="49"/>
      <c r="Z89" s="49"/>
      <c r="AA89" s="49"/>
      <c r="AB89" s="49"/>
      <c r="AC89" s="49"/>
      <c r="AD89" s="49"/>
      <c r="AE89" s="49"/>
      <c r="AF89" s="49"/>
      <c r="AG89" s="49"/>
      <c r="AH89" s="49"/>
      <c r="AI89" s="52"/>
      <c r="AJ89" s="52"/>
      <c r="AK89" s="52"/>
      <c r="AL89" s="52"/>
      <c r="AM89" s="52"/>
      <c r="AN89" s="52"/>
      <c r="AO89" s="52"/>
      <c r="AP89" s="52"/>
      <c r="AQ89" s="52"/>
      <c r="AR89" s="52"/>
      <c r="AS89" s="52"/>
      <c r="AT89" s="52"/>
      <c r="AU89" s="52"/>
      <c r="AV89" s="52"/>
      <c r="AW89" s="52"/>
      <c r="AX89" s="52"/>
      <c r="AY89" s="52"/>
      <c r="AZ89" s="52"/>
    </row>
    <row r="90" spans="1:52" ht="17.100000000000001" customHeight="1">
      <c r="A90" s="49"/>
      <c r="B90" s="52"/>
      <c r="C90" s="49" t="s">
        <v>216</v>
      </c>
      <c r="D90" s="181" t="s">
        <v>850</v>
      </c>
      <c r="E90" s="316"/>
      <c r="F90" s="180">
        <v>1</v>
      </c>
      <c r="G90" s="189">
        <v>4.9000000000000004</v>
      </c>
      <c r="H90" s="46">
        <v>5.9</v>
      </c>
      <c r="I90" s="49"/>
      <c r="J90" s="49"/>
      <c r="K90" s="49"/>
      <c r="L90" s="49"/>
      <c r="M90" s="49"/>
      <c r="N90" s="49"/>
      <c r="O90" s="49"/>
      <c r="P90" s="49"/>
      <c r="Q90" s="49"/>
      <c r="R90" s="49"/>
      <c r="S90" s="49"/>
      <c r="T90" s="49"/>
      <c r="U90" s="49"/>
      <c r="V90" s="49"/>
      <c r="W90" s="49"/>
      <c r="X90" s="49"/>
      <c r="Y90" s="49"/>
      <c r="Z90" s="49"/>
      <c r="AA90" s="49"/>
      <c r="AB90" s="49"/>
      <c r="AC90" s="49"/>
      <c r="AD90" s="49"/>
      <c r="AE90" s="49"/>
      <c r="AF90" s="49"/>
      <c r="AG90" s="49"/>
      <c r="AH90" s="49"/>
      <c r="AI90" s="52"/>
      <c r="AJ90" s="52"/>
      <c r="AK90" s="52"/>
      <c r="AL90" s="52"/>
      <c r="AM90" s="52"/>
      <c r="AN90" s="52"/>
      <c r="AO90" s="52"/>
      <c r="AP90" s="52"/>
      <c r="AQ90" s="52"/>
      <c r="AR90" s="52"/>
      <c r="AS90" s="52"/>
      <c r="AT90" s="52"/>
      <c r="AU90" s="52"/>
      <c r="AV90" s="52"/>
      <c r="AW90" s="52"/>
      <c r="AX90" s="52"/>
      <c r="AY90" s="52"/>
      <c r="AZ90" s="52"/>
    </row>
    <row r="91" spans="1:52" ht="17.100000000000001" customHeight="1">
      <c r="A91" s="49"/>
      <c r="B91" s="52"/>
      <c r="C91" s="49" t="s">
        <v>217</v>
      </c>
      <c r="D91" s="181" t="s">
        <v>850</v>
      </c>
      <c r="E91" s="316"/>
      <c r="F91" s="180">
        <v>1</v>
      </c>
      <c r="G91" s="189">
        <v>5.2</v>
      </c>
      <c r="H91" s="46">
        <v>6.2</v>
      </c>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52"/>
      <c r="AJ91" s="52"/>
      <c r="AK91" s="52"/>
      <c r="AL91" s="52"/>
      <c r="AM91" s="52"/>
      <c r="AN91" s="52"/>
      <c r="AO91" s="52"/>
      <c r="AP91" s="52"/>
      <c r="AQ91" s="52"/>
      <c r="AR91" s="52"/>
      <c r="AS91" s="52"/>
      <c r="AT91" s="52"/>
      <c r="AU91" s="52"/>
      <c r="AV91" s="52"/>
      <c r="AW91" s="52"/>
      <c r="AX91" s="52"/>
      <c r="AY91" s="52"/>
      <c r="AZ91" s="52"/>
    </row>
    <row r="92" spans="1:52" ht="17.100000000000001" customHeight="1">
      <c r="A92" s="49"/>
      <c r="B92" s="52"/>
      <c r="C92" s="49" t="s">
        <v>218</v>
      </c>
      <c r="D92" s="181" t="s">
        <v>850</v>
      </c>
      <c r="E92" s="316"/>
      <c r="F92" s="180">
        <v>1</v>
      </c>
      <c r="G92" s="189">
        <v>5.0999999999999996</v>
      </c>
      <c r="H92" s="46">
        <v>6.1</v>
      </c>
      <c r="I92" s="49"/>
      <c r="J92" s="49"/>
      <c r="K92" s="49"/>
      <c r="L92" s="49"/>
      <c r="M92" s="49"/>
      <c r="N92" s="49"/>
      <c r="O92" s="49"/>
      <c r="P92" s="49"/>
      <c r="Q92" s="49"/>
      <c r="R92" s="49"/>
      <c r="S92" s="49"/>
      <c r="T92" s="49"/>
      <c r="U92" s="49"/>
      <c r="V92" s="49"/>
      <c r="W92" s="49"/>
      <c r="X92" s="49"/>
      <c r="Y92" s="49"/>
      <c r="Z92" s="49"/>
      <c r="AA92" s="49"/>
      <c r="AB92" s="49"/>
      <c r="AC92" s="49"/>
      <c r="AD92" s="49"/>
      <c r="AE92" s="49"/>
      <c r="AF92" s="49"/>
      <c r="AG92" s="49"/>
      <c r="AH92" s="49"/>
      <c r="AI92" s="52"/>
      <c r="AJ92" s="52"/>
      <c r="AK92" s="52"/>
      <c r="AL92" s="52"/>
      <c r="AM92" s="52"/>
      <c r="AN92" s="52"/>
      <c r="AO92" s="52"/>
      <c r="AP92" s="52"/>
      <c r="AQ92" s="52"/>
      <c r="AR92" s="52"/>
      <c r="AS92" s="52"/>
      <c r="AT92" s="52"/>
      <c r="AU92" s="52"/>
      <c r="AV92" s="52"/>
      <c r="AW92" s="52"/>
      <c r="AX92" s="52"/>
      <c r="AY92" s="52"/>
      <c r="AZ92" s="52"/>
    </row>
    <row r="93" spans="1:52" ht="17.100000000000001" customHeight="1">
      <c r="A93" s="49"/>
      <c r="B93" s="52"/>
      <c r="C93" s="49" t="s">
        <v>219</v>
      </c>
      <c r="D93" s="181" t="s">
        <v>850</v>
      </c>
      <c r="E93" s="316"/>
      <c r="F93" s="180">
        <v>1</v>
      </c>
      <c r="G93" s="189">
        <v>4.3</v>
      </c>
      <c r="H93" s="46">
        <v>5.3</v>
      </c>
      <c r="I93" s="49"/>
      <c r="J93" s="49"/>
      <c r="K93" s="49"/>
      <c r="L93" s="49"/>
      <c r="M93" s="49"/>
      <c r="N93" s="49"/>
      <c r="O93" s="49"/>
      <c r="P93" s="49"/>
      <c r="Q93" s="49"/>
      <c r="R93" s="49"/>
      <c r="S93" s="49"/>
      <c r="T93" s="49"/>
      <c r="U93" s="49"/>
      <c r="V93" s="49"/>
      <c r="W93" s="49"/>
      <c r="X93" s="49"/>
      <c r="Y93" s="49"/>
      <c r="Z93" s="49"/>
      <c r="AA93" s="49"/>
      <c r="AB93" s="49"/>
      <c r="AC93" s="49"/>
      <c r="AD93" s="49"/>
      <c r="AE93" s="49"/>
      <c r="AF93" s="49"/>
      <c r="AG93" s="49"/>
      <c r="AH93" s="49"/>
      <c r="AI93" s="52"/>
      <c r="AJ93" s="52"/>
      <c r="AK93" s="52"/>
      <c r="AL93" s="52"/>
      <c r="AM93" s="52"/>
      <c r="AN93" s="52"/>
      <c r="AO93" s="52"/>
      <c r="AP93" s="52"/>
      <c r="AQ93" s="52"/>
      <c r="AR93" s="52"/>
      <c r="AS93" s="52"/>
      <c r="AT93" s="52"/>
      <c r="AU93" s="52"/>
      <c r="AV93" s="52"/>
      <c r="AW93" s="52"/>
      <c r="AX93" s="52"/>
      <c r="AY93" s="52"/>
      <c r="AZ93" s="52"/>
    </row>
    <row r="94" spans="1:52" ht="17.100000000000001" hidden="1" customHeight="1">
      <c r="A94" s="49"/>
      <c r="B94" s="52"/>
      <c r="C94" s="49"/>
      <c r="D94" s="49"/>
      <c r="E94" s="49"/>
      <c r="F94" s="49"/>
      <c r="G94" s="49"/>
      <c r="H94" s="49"/>
      <c r="I94" s="49"/>
      <c r="J94" s="49"/>
      <c r="K94" s="49"/>
      <c r="L94" s="49"/>
      <c r="M94" s="49"/>
      <c r="N94" s="49"/>
      <c r="O94" s="49"/>
      <c r="P94" s="49"/>
      <c r="Q94" s="49"/>
      <c r="R94" s="49"/>
      <c r="S94" s="49"/>
      <c r="T94" s="49"/>
      <c r="U94" s="49"/>
      <c r="V94" s="49"/>
      <c r="W94" s="49"/>
      <c r="X94" s="49"/>
      <c r="Y94" s="49"/>
      <c r="Z94" s="49"/>
      <c r="AA94" s="49"/>
      <c r="AB94" s="49"/>
      <c r="AC94" s="49"/>
      <c r="AD94" s="49"/>
      <c r="AE94" s="49"/>
      <c r="AF94" s="49"/>
      <c r="AG94" s="49"/>
      <c r="AH94" s="49"/>
      <c r="AI94" s="52"/>
      <c r="AJ94" s="52"/>
      <c r="AK94" s="52"/>
      <c r="AL94" s="52"/>
      <c r="AM94" s="52"/>
      <c r="AN94" s="52"/>
      <c r="AO94" s="52"/>
      <c r="AP94" s="52"/>
      <c r="AQ94" s="52"/>
      <c r="AR94" s="52"/>
      <c r="AS94" s="52"/>
      <c r="AT94" s="52"/>
      <c r="AU94" s="52"/>
      <c r="AV94" s="52"/>
      <c r="AW94" s="52"/>
      <c r="AX94" s="52"/>
      <c r="AY94" s="52"/>
      <c r="AZ94" s="52"/>
    </row>
    <row r="95" spans="1:52" ht="17.100000000000001" hidden="1" customHeight="1">
      <c r="A95" s="49"/>
      <c r="B95" s="52"/>
      <c r="C95" s="49"/>
      <c r="D95" s="49"/>
      <c r="E95" s="49"/>
      <c r="F95" s="49"/>
      <c r="G95" s="49"/>
      <c r="H95" s="49"/>
      <c r="I95" s="49"/>
      <c r="J95" s="49"/>
      <c r="K95" s="49"/>
      <c r="L95" s="49"/>
      <c r="M95" s="49"/>
      <c r="N95" s="49"/>
      <c r="O95" s="49"/>
      <c r="P95" s="49"/>
      <c r="Q95" s="49"/>
      <c r="R95" s="49"/>
      <c r="S95" s="49"/>
      <c r="T95" s="49"/>
      <c r="U95" s="49"/>
      <c r="V95" s="49"/>
      <c r="W95" s="49"/>
      <c r="X95" s="49"/>
      <c r="Y95" s="49"/>
      <c r="Z95" s="49"/>
      <c r="AA95" s="49"/>
      <c r="AB95" s="49"/>
      <c r="AC95" s="49"/>
      <c r="AD95" s="49"/>
      <c r="AE95" s="49"/>
      <c r="AF95" s="49"/>
      <c r="AG95" s="49"/>
      <c r="AH95" s="49"/>
      <c r="AI95" s="52"/>
      <c r="AJ95" s="52"/>
      <c r="AK95" s="52"/>
      <c r="AL95" s="52"/>
      <c r="AM95" s="52"/>
      <c r="AN95" s="52"/>
      <c r="AO95" s="52"/>
      <c r="AP95" s="52"/>
      <c r="AQ95" s="52"/>
      <c r="AR95" s="52"/>
      <c r="AS95" s="52"/>
      <c r="AT95" s="52"/>
      <c r="AU95" s="52"/>
      <c r="AV95" s="52"/>
      <c r="AW95" s="52"/>
      <c r="AX95" s="52"/>
      <c r="AY95" s="52"/>
      <c r="AZ95" s="52"/>
    </row>
    <row r="96" spans="1:52" ht="17.100000000000001" hidden="1" customHeight="1">
      <c r="A96" s="49"/>
      <c r="B96" s="52"/>
      <c r="C96" s="49"/>
      <c r="D96" s="49"/>
      <c r="E96" s="49"/>
      <c r="F96" s="49"/>
      <c r="G96" s="49"/>
      <c r="H96" s="49"/>
      <c r="I96" s="49"/>
      <c r="J96" s="49"/>
      <c r="K96" s="49"/>
      <c r="L96" s="49"/>
      <c r="M96" s="49"/>
      <c r="N96" s="49"/>
      <c r="O96" s="49"/>
      <c r="P96" s="49"/>
      <c r="Q96" s="49"/>
      <c r="R96" s="49"/>
      <c r="S96" s="49"/>
      <c r="T96" s="49"/>
      <c r="U96" s="49"/>
      <c r="V96" s="49"/>
      <c r="W96" s="49"/>
      <c r="X96" s="49"/>
      <c r="Y96" s="49"/>
      <c r="Z96" s="49"/>
      <c r="AA96" s="49"/>
      <c r="AB96" s="49"/>
      <c r="AC96" s="49"/>
      <c r="AD96" s="49"/>
      <c r="AE96" s="49"/>
      <c r="AF96" s="49"/>
      <c r="AG96" s="49"/>
      <c r="AH96" s="49"/>
      <c r="AI96" s="52"/>
      <c r="AJ96" s="52"/>
      <c r="AK96" s="52"/>
      <c r="AL96" s="52"/>
      <c r="AM96" s="52"/>
      <c r="AN96" s="52"/>
      <c r="AO96" s="52"/>
      <c r="AP96" s="52"/>
      <c r="AQ96" s="52"/>
      <c r="AR96" s="52"/>
      <c r="AS96" s="52"/>
      <c r="AT96" s="52"/>
      <c r="AU96" s="52"/>
      <c r="AV96" s="52"/>
      <c r="AW96" s="52"/>
      <c r="AX96" s="52"/>
      <c r="AY96" s="52"/>
      <c r="AZ96" s="52"/>
    </row>
    <row r="97" spans="1:52" ht="17.100000000000001" hidden="1" customHeight="1">
      <c r="A97" s="49"/>
      <c r="B97" s="52"/>
      <c r="C97" s="49"/>
      <c r="D97" s="49"/>
      <c r="E97" s="49"/>
      <c r="F97" s="49"/>
      <c r="G97" s="49"/>
      <c r="H97" s="49"/>
      <c r="I97" s="49"/>
      <c r="J97" s="49"/>
      <c r="K97" s="49"/>
      <c r="L97" s="49"/>
      <c r="M97" s="49"/>
      <c r="N97" s="49"/>
      <c r="O97" s="49"/>
      <c r="P97" s="49"/>
      <c r="Q97" s="49"/>
      <c r="R97" s="49"/>
      <c r="S97" s="49"/>
      <c r="T97" s="49"/>
      <c r="U97" s="49"/>
      <c r="V97" s="49"/>
      <c r="W97" s="49"/>
      <c r="X97" s="49"/>
      <c r="Y97" s="49"/>
      <c r="Z97" s="49"/>
      <c r="AA97" s="49"/>
      <c r="AB97" s="49"/>
      <c r="AC97" s="49"/>
      <c r="AD97" s="49"/>
      <c r="AE97" s="49"/>
      <c r="AF97" s="49"/>
      <c r="AG97" s="49"/>
      <c r="AH97" s="49"/>
      <c r="AI97" s="52"/>
      <c r="AJ97" s="52"/>
      <c r="AK97" s="52"/>
      <c r="AL97" s="52"/>
      <c r="AM97" s="52"/>
      <c r="AN97" s="52"/>
      <c r="AO97" s="52"/>
      <c r="AP97" s="52"/>
      <c r="AQ97" s="52"/>
      <c r="AR97" s="52"/>
      <c r="AS97" s="52"/>
      <c r="AT97" s="52"/>
      <c r="AU97" s="52"/>
      <c r="AV97" s="52"/>
      <c r="AW97" s="52"/>
      <c r="AX97" s="52"/>
      <c r="AY97" s="52"/>
      <c r="AZ97" s="52"/>
    </row>
    <row r="98" spans="1:52" ht="17.100000000000001" hidden="1" customHeight="1">
      <c r="A98" s="49"/>
      <c r="B98" s="52"/>
      <c r="C98" s="49"/>
      <c r="D98" s="49"/>
      <c r="E98" s="49"/>
      <c r="F98" s="49"/>
      <c r="G98" s="49"/>
      <c r="H98" s="49"/>
      <c r="I98" s="49"/>
      <c r="J98" s="49"/>
      <c r="K98" s="49"/>
      <c r="L98" s="49"/>
      <c r="M98" s="49"/>
      <c r="N98" s="49"/>
      <c r="O98" s="49"/>
      <c r="P98" s="49"/>
      <c r="Q98" s="49"/>
      <c r="R98" s="49"/>
      <c r="S98" s="49"/>
      <c r="T98" s="49"/>
      <c r="U98" s="49"/>
      <c r="V98" s="49"/>
      <c r="W98" s="49"/>
      <c r="X98" s="49"/>
      <c r="Y98" s="49"/>
      <c r="Z98" s="49"/>
      <c r="AA98" s="49"/>
      <c r="AB98" s="49"/>
      <c r="AC98" s="49"/>
      <c r="AD98" s="49"/>
      <c r="AE98" s="49"/>
      <c r="AF98" s="49"/>
      <c r="AG98" s="49"/>
      <c r="AH98" s="49"/>
      <c r="AI98" s="52"/>
      <c r="AJ98" s="52"/>
      <c r="AK98" s="52"/>
      <c r="AL98" s="52"/>
      <c r="AM98" s="52"/>
      <c r="AN98" s="52"/>
      <c r="AO98" s="52"/>
      <c r="AP98" s="52"/>
      <c r="AQ98" s="52"/>
      <c r="AR98" s="52"/>
      <c r="AS98" s="52"/>
      <c r="AT98" s="52"/>
      <c r="AU98" s="52"/>
      <c r="AV98" s="52"/>
      <c r="AW98" s="52"/>
      <c r="AX98" s="52"/>
      <c r="AY98" s="52"/>
      <c r="AZ98" s="52"/>
    </row>
    <row r="99" spans="1:52" ht="17.100000000000001" customHeight="1">
      <c r="A99" s="49"/>
      <c r="B99" s="52"/>
      <c r="C99" s="49"/>
      <c r="D99" s="49"/>
      <c r="E99" s="49"/>
      <c r="F99" s="49"/>
      <c r="G99" s="49"/>
      <c r="H99" s="49"/>
      <c r="I99" s="49"/>
      <c r="J99" s="49"/>
      <c r="K99" s="49"/>
      <c r="L99" s="49"/>
      <c r="M99" s="49"/>
      <c r="N99" s="49"/>
      <c r="O99" s="49"/>
      <c r="P99" s="49"/>
      <c r="Q99" s="49"/>
      <c r="R99" s="49"/>
      <c r="S99" s="49"/>
      <c r="T99" s="49"/>
      <c r="U99" s="49"/>
      <c r="V99" s="49"/>
      <c r="W99" s="49"/>
      <c r="X99" s="49"/>
      <c r="Y99" s="49"/>
      <c r="Z99" s="49"/>
      <c r="AA99" s="49"/>
      <c r="AB99" s="49"/>
      <c r="AC99" s="49"/>
      <c r="AD99" s="49"/>
      <c r="AE99" s="49"/>
      <c r="AF99" s="49"/>
      <c r="AG99" s="49"/>
      <c r="AH99" s="49"/>
      <c r="AI99" s="52"/>
      <c r="AJ99" s="52"/>
      <c r="AK99" s="52"/>
      <c r="AL99" s="52"/>
      <c r="AM99" s="52"/>
      <c r="AN99" s="52"/>
      <c r="AO99" s="52"/>
      <c r="AP99" s="52"/>
      <c r="AQ99" s="52"/>
      <c r="AR99" s="52"/>
      <c r="AS99" s="52"/>
      <c r="AT99" s="52"/>
      <c r="AU99" s="52"/>
      <c r="AV99" s="52"/>
      <c r="AW99" s="52"/>
      <c r="AX99" s="52"/>
      <c r="AY99" s="52"/>
      <c r="AZ99" s="52"/>
    </row>
    <row r="100" spans="1:52" ht="17.100000000000001" customHeight="1">
      <c r="A100" s="49"/>
      <c r="B100" s="115" t="s">
        <v>838</v>
      </c>
      <c r="C100" s="115"/>
      <c r="D100" s="115" t="s">
        <v>464</v>
      </c>
      <c r="E100" s="257"/>
      <c r="F100" s="257" t="s">
        <v>428</v>
      </c>
      <c r="G100" s="257" t="s">
        <v>43</v>
      </c>
      <c r="H100" s="257" t="s">
        <v>77</v>
      </c>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52"/>
      <c r="AJ100" s="52"/>
      <c r="AK100" s="52"/>
      <c r="AL100" s="52"/>
      <c r="AM100" s="52"/>
      <c r="AN100" s="52"/>
      <c r="AO100" s="52"/>
      <c r="AP100" s="52"/>
      <c r="AQ100" s="52"/>
      <c r="AR100" s="52"/>
      <c r="AS100" s="52"/>
      <c r="AT100" s="52"/>
      <c r="AU100" s="52"/>
      <c r="AV100" s="52"/>
      <c r="AW100" s="52"/>
      <c r="AX100" s="52"/>
      <c r="AY100" s="52"/>
      <c r="AZ100" s="52"/>
    </row>
    <row r="101" spans="1:52" ht="17.100000000000001" customHeight="1">
      <c r="A101" s="49"/>
      <c r="B101" s="52"/>
      <c r="C101" s="49" t="s">
        <v>207</v>
      </c>
      <c r="D101" s="181" t="s">
        <v>783</v>
      </c>
      <c r="E101" s="316"/>
      <c r="F101" s="180">
        <v>170000</v>
      </c>
      <c r="G101" s="46">
        <v>110800.0000000001</v>
      </c>
      <c r="H101" s="46">
        <v>110800</v>
      </c>
      <c r="I101" s="49"/>
      <c r="J101" s="49"/>
      <c r="K101" s="49"/>
      <c r="L101" s="49"/>
      <c r="M101" s="49"/>
      <c r="N101" s="49"/>
      <c r="O101" s="49"/>
      <c r="P101" s="49"/>
      <c r="Q101" s="49"/>
      <c r="R101" s="49"/>
      <c r="S101" s="49"/>
      <c r="T101" s="49"/>
      <c r="U101" s="49"/>
      <c r="V101" s="49"/>
      <c r="W101" s="49"/>
      <c r="X101" s="49"/>
      <c r="Y101" s="49"/>
      <c r="Z101" s="49"/>
      <c r="AA101" s="49"/>
      <c r="AB101" s="49"/>
      <c r="AC101" s="49"/>
      <c r="AD101" s="49"/>
      <c r="AE101" s="49"/>
      <c r="AF101" s="49"/>
      <c r="AG101" s="49"/>
      <c r="AH101" s="49"/>
      <c r="AI101" s="52"/>
      <c r="AJ101" s="52"/>
      <c r="AK101" s="52"/>
      <c r="AL101" s="52"/>
      <c r="AM101" s="52"/>
      <c r="AN101" s="52"/>
      <c r="AO101" s="52"/>
      <c r="AP101" s="52"/>
      <c r="AQ101" s="52"/>
      <c r="AR101" s="52"/>
      <c r="AS101" s="52"/>
      <c r="AT101" s="52"/>
      <c r="AU101" s="52"/>
      <c r="AV101" s="52"/>
      <c r="AW101" s="52"/>
      <c r="AX101" s="52"/>
      <c r="AY101" s="52"/>
      <c r="AZ101" s="52"/>
    </row>
    <row r="102" spans="1:52" ht="17.100000000000001" customHeight="1">
      <c r="A102" s="49"/>
      <c r="B102" s="52"/>
      <c r="C102" s="49" t="s">
        <v>208</v>
      </c>
      <c r="D102" s="181" t="s">
        <v>783</v>
      </c>
      <c r="E102" s="316"/>
      <c r="F102" s="180">
        <v>170000</v>
      </c>
      <c r="G102" s="46">
        <v>163500.00000000009</v>
      </c>
      <c r="H102" s="46">
        <v>163500</v>
      </c>
      <c r="I102" s="49"/>
      <c r="J102" s="49"/>
      <c r="K102" s="49"/>
      <c r="L102" s="49"/>
      <c r="M102" s="49"/>
      <c r="N102" s="49"/>
      <c r="O102" s="49"/>
      <c r="P102" s="49"/>
      <c r="Q102" s="49"/>
      <c r="R102" s="49"/>
      <c r="S102" s="49"/>
      <c r="T102" s="49"/>
      <c r="U102" s="49"/>
      <c r="V102" s="49"/>
      <c r="W102" s="49"/>
      <c r="X102" s="49"/>
      <c r="Y102" s="49"/>
      <c r="Z102" s="49"/>
      <c r="AA102" s="49"/>
      <c r="AB102" s="49"/>
      <c r="AC102" s="49"/>
      <c r="AD102" s="49"/>
      <c r="AE102" s="49"/>
      <c r="AF102" s="49"/>
      <c r="AG102" s="49"/>
      <c r="AH102" s="49"/>
      <c r="AI102" s="52"/>
      <c r="AJ102" s="52"/>
      <c r="AK102" s="52"/>
      <c r="AL102" s="52"/>
      <c r="AM102" s="52"/>
      <c r="AN102" s="52"/>
      <c r="AO102" s="52"/>
      <c r="AP102" s="52"/>
      <c r="AQ102" s="52"/>
      <c r="AR102" s="52"/>
      <c r="AS102" s="52"/>
      <c r="AT102" s="52"/>
      <c r="AU102" s="52"/>
      <c r="AV102" s="52"/>
      <c r="AW102" s="52"/>
      <c r="AX102" s="52"/>
      <c r="AY102" s="52"/>
      <c r="AZ102" s="52"/>
    </row>
    <row r="103" spans="1:52" ht="17.100000000000001" customHeight="1">
      <c r="A103" s="49"/>
      <c r="B103" s="52"/>
      <c r="C103" s="49" t="s">
        <v>209</v>
      </c>
      <c r="D103" s="181" t="s">
        <v>783</v>
      </c>
      <c r="E103" s="316"/>
      <c r="F103" s="180">
        <v>170000</v>
      </c>
      <c r="G103" s="46">
        <v>227100.00000000009</v>
      </c>
      <c r="H103" s="46">
        <v>227100</v>
      </c>
      <c r="I103" s="49"/>
      <c r="J103" s="49"/>
      <c r="K103" s="49"/>
      <c r="L103" s="49"/>
      <c r="M103" s="49"/>
      <c r="N103" s="49"/>
      <c r="O103" s="49"/>
      <c r="P103" s="49"/>
      <c r="Q103" s="49"/>
      <c r="R103" s="49"/>
      <c r="S103" s="49"/>
      <c r="T103" s="49"/>
      <c r="U103" s="49"/>
      <c r="V103" s="49"/>
      <c r="W103" s="49"/>
      <c r="X103" s="49"/>
      <c r="Y103" s="49"/>
      <c r="Z103" s="49"/>
      <c r="AA103" s="49"/>
      <c r="AB103" s="49"/>
      <c r="AC103" s="49"/>
      <c r="AD103" s="49"/>
      <c r="AE103" s="49"/>
      <c r="AF103" s="49"/>
      <c r="AG103" s="49"/>
      <c r="AH103" s="49"/>
      <c r="AI103" s="52"/>
      <c r="AJ103" s="52"/>
      <c r="AK103" s="52"/>
      <c r="AL103" s="52"/>
      <c r="AM103" s="52"/>
      <c r="AN103" s="52"/>
      <c r="AO103" s="52"/>
      <c r="AP103" s="52"/>
      <c r="AQ103" s="52"/>
      <c r="AR103" s="52"/>
      <c r="AS103" s="52"/>
      <c r="AT103" s="52"/>
      <c r="AU103" s="52"/>
      <c r="AV103" s="52"/>
      <c r="AW103" s="52"/>
      <c r="AX103" s="52"/>
      <c r="AY103" s="52"/>
      <c r="AZ103" s="52"/>
    </row>
    <row r="104" spans="1:52" ht="17.100000000000001" customHeight="1">
      <c r="A104" s="49"/>
      <c r="B104" s="52"/>
      <c r="C104" s="49" t="s">
        <v>210</v>
      </c>
      <c r="D104" s="181" t="s">
        <v>783</v>
      </c>
      <c r="E104" s="316"/>
      <c r="F104" s="180">
        <v>170000</v>
      </c>
      <c r="G104" s="46">
        <v>354200.00000000012</v>
      </c>
      <c r="H104" s="46">
        <v>354200</v>
      </c>
      <c r="I104" s="49"/>
      <c r="J104" s="49"/>
      <c r="K104" s="49"/>
      <c r="L104" s="49"/>
      <c r="M104" s="49"/>
      <c r="N104" s="49"/>
      <c r="O104" s="49"/>
      <c r="P104" s="49"/>
      <c r="Q104" s="49"/>
      <c r="R104" s="49"/>
      <c r="S104" s="49"/>
      <c r="T104" s="49"/>
      <c r="U104" s="49"/>
      <c r="V104" s="49"/>
      <c r="W104" s="49"/>
      <c r="X104" s="49"/>
      <c r="Y104" s="49"/>
      <c r="Z104" s="49"/>
      <c r="AA104" s="49"/>
      <c r="AB104" s="49"/>
      <c r="AC104" s="49"/>
      <c r="AD104" s="49"/>
      <c r="AE104" s="49"/>
      <c r="AF104" s="49"/>
      <c r="AG104" s="49"/>
      <c r="AH104" s="49"/>
      <c r="AI104" s="52"/>
      <c r="AJ104" s="52"/>
      <c r="AK104" s="52"/>
      <c r="AL104" s="52"/>
      <c r="AM104" s="52"/>
      <c r="AN104" s="52"/>
      <c r="AO104" s="52"/>
      <c r="AP104" s="52"/>
      <c r="AQ104" s="52"/>
      <c r="AR104" s="52"/>
      <c r="AS104" s="52"/>
      <c r="AT104" s="52"/>
      <c r="AU104" s="52"/>
      <c r="AV104" s="52"/>
      <c r="AW104" s="52"/>
      <c r="AX104" s="52"/>
      <c r="AY104" s="52"/>
      <c r="AZ104" s="52"/>
    </row>
    <row r="105" spans="1:52" ht="17.100000000000001" customHeight="1">
      <c r="A105" s="49"/>
      <c r="B105" s="52"/>
      <c r="C105" s="49" t="s">
        <v>211</v>
      </c>
      <c r="D105" s="181" t="s">
        <v>783</v>
      </c>
      <c r="E105" s="316"/>
      <c r="F105" s="180">
        <v>170000</v>
      </c>
      <c r="G105" s="46">
        <v>481300.00000000012</v>
      </c>
      <c r="H105" s="46">
        <v>481300</v>
      </c>
      <c r="I105" s="49"/>
      <c r="J105" s="49"/>
      <c r="K105" s="49"/>
      <c r="L105" s="49"/>
      <c r="M105" s="49"/>
      <c r="N105" s="49"/>
      <c r="O105" s="49"/>
      <c r="P105" s="49"/>
      <c r="Q105" s="49"/>
      <c r="R105" s="49"/>
      <c r="S105" s="49"/>
      <c r="T105" s="49"/>
      <c r="U105" s="49"/>
      <c r="V105" s="49"/>
      <c r="W105" s="49"/>
      <c r="X105" s="49"/>
      <c r="Y105" s="49"/>
      <c r="Z105" s="49"/>
      <c r="AA105" s="49"/>
      <c r="AB105" s="49"/>
      <c r="AC105" s="49"/>
      <c r="AD105" s="49"/>
      <c r="AE105" s="49"/>
      <c r="AF105" s="49"/>
      <c r="AG105" s="49"/>
      <c r="AH105" s="49"/>
      <c r="AI105" s="52"/>
      <c r="AJ105" s="52"/>
      <c r="AK105" s="52"/>
      <c r="AL105" s="52"/>
      <c r="AM105" s="52"/>
      <c r="AN105" s="52"/>
      <c r="AO105" s="52"/>
      <c r="AP105" s="52"/>
      <c r="AQ105" s="52"/>
      <c r="AR105" s="52"/>
      <c r="AS105" s="52"/>
      <c r="AT105" s="52"/>
      <c r="AU105" s="52"/>
      <c r="AV105" s="52"/>
      <c r="AW105" s="52"/>
      <c r="AX105" s="52"/>
      <c r="AY105" s="52"/>
      <c r="AZ105" s="52"/>
    </row>
    <row r="106" spans="1:52" ht="17.100000000000001" customHeight="1">
      <c r="A106" s="49"/>
      <c r="B106" s="52"/>
      <c r="C106" s="49" t="s">
        <v>212</v>
      </c>
      <c r="D106" s="181" t="s">
        <v>783</v>
      </c>
      <c r="E106" s="316"/>
      <c r="F106" s="180">
        <v>170000</v>
      </c>
      <c r="G106" s="46">
        <v>581300.00000000012</v>
      </c>
      <c r="H106" s="46">
        <v>581300</v>
      </c>
      <c r="I106" s="49"/>
      <c r="J106" s="49"/>
      <c r="K106" s="49"/>
      <c r="L106" s="49"/>
      <c r="M106" s="49"/>
      <c r="N106" s="49"/>
      <c r="O106" s="49"/>
      <c r="P106" s="49"/>
      <c r="Q106" s="49"/>
      <c r="R106" s="49"/>
      <c r="S106" s="49"/>
      <c r="T106" s="49"/>
      <c r="U106" s="49"/>
      <c r="V106" s="49"/>
      <c r="W106" s="49"/>
      <c r="X106" s="49"/>
      <c r="Y106" s="49"/>
      <c r="Z106" s="49"/>
      <c r="AA106" s="49"/>
      <c r="AB106" s="49"/>
      <c r="AC106" s="49"/>
      <c r="AD106" s="49"/>
      <c r="AE106" s="49"/>
      <c r="AF106" s="49"/>
      <c r="AG106" s="49"/>
      <c r="AH106" s="49"/>
      <c r="AI106" s="52"/>
      <c r="AJ106" s="52"/>
      <c r="AK106" s="52"/>
      <c r="AL106" s="52"/>
      <c r="AM106" s="52"/>
      <c r="AN106" s="52"/>
      <c r="AO106" s="52"/>
      <c r="AP106" s="52"/>
      <c r="AQ106" s="52"/>
      <c r="AR106" s="52"/>
      <c r="AS106" s="52"/>
      <c r="AT106" s="52"/>
      <c r="AU106" s="52"/>
      <c r="AV106" s="52"/>
      <c r="AW106" s="52"/>
      <c r="AX106" s="52"/>
      <c r="AY106" s="52"/>
      <c r="AZ106" s="52"/>
    </row>
    <row r="107" spans="1:52" ht="17.100000000000001" customHeight="1">
      <c r="A107" s="49"/>
      <c r="B107" s="52"/>
      <c r="C107" s="49" t="s">
        <v>213</v>
      </c>
      <c r="D107" s="181" t="s">
        <v>783</v>
      </c>
      <c r="E107" s="316"/>
      <c r="F107" s="180">
        <v>170000</v>
      </c>
      <c r="G107" s="46">
        <v>581300.00000000012</v>
      </c>
      <c r="H107" s="46">
        <v>581300</v>
      </c>
      <c r="I107" s="49"/>
      <c r="J107" s="49"/>
      <c r="K107" s="49"/>
      <c r="L107" s="49"/>
      <c r="M107" s="49"/>
      <c r="N107" s="49"/>
      <c r="O107" s="49"/>
      <c r="P107" s="49"/>
      <c r="Q107" s="49"/>
      <c r="R107" s="49"/>
      <c r="S107" s="49"/>
      <c r="T107" s="49"/>
      <c r="U107" s="49"/>
      <c r="V107" s="49"/>
      <c r="W107" s="49"/>
      <c r="X107" s="49"/>
      <c r="Y107" s="49"/>
      <c r="Z107" s="49"/>
      <c r="AA107" s="49"/>
      <c r="AB107" s="49"/>
      <c r="AC107" s="49"/>
      <c r="AD107" s="49"/>
      <c r="AE107" s="49"/>
      <c r="AF107" s="49"/>
      <c r="AG107" s="49"/>
      <c r="AH107" s="49"/>
      <c r="AI107" s="52"/>
      <c r="AJ107" s="52"/>
      <c r="AK107" s="52"/>
      <c r="AL107" s="52"/>
      <c r="AM107" s="52"/>
      <c r="AN107" s="52"/>
      <c r="AO107" s="52"/>
      <c r="AP107" s="52"/>
      <c r="AQ107" s="52"/>
      <c r="AR107" s="52"/>
      <c r="AS107" s="52"/>
      <c r="AT107" s="52"/>
      <c r="AU107" s="52"/>
      <c r="AV107" s="52"/>
      <c r="AW107" s="52"/>
      <c r="AX107" s="52"/>
      <c r="AY107" s="52"/>
      <c r="AZ107" s="52"/>
    </row>
    <row r="108" spans="1:52" ht="17.100000000000001" customHeight="1">
      <c r="A108" s="49"/>
      <c r="B108" s="52"/>
      <c r="C108" s="49" t="s">
        <v>214</v>
      </c>
      <c r="D108" s="181" t="s">
        <v>783</v>
      </c>
      <c r="E108" s="316"/>
      <c r="F108" s="180">
        <v>170000</v>
      </c>
      <c r="G108" s="46">
        <v>481300.00000000012</v>
      </c>
      <c r="H108" s="46">
        <v>481300</v>
      </c>
      <c r="I108" s="49"/>
      <c r="J108" s="49"/>
      <c r="K108" s="49"/>
      <c r="L108" s="49"/>
      <c r="M108" s="49"/>
      <c r="N108" s="49"/>
      <c r="O108" s="49"/>
      <c r="P108" s="49"/>
      <c r="Q108" s="49"/>
      <c r="R108" s="49"/>
      <c r="S108" s="49"/>
      <c r="T108" s="49"/>
      <c r="U108" s="49"/>
      <c r="V108" s="49"/>
      <c r="W108" s="49"/>
      <c r="X108" s="49"/>
      <c r="Y108" s="49"/>
      <c r="Z108" s="49"/>
      <c r="AA108" s="49"/>
      <c r="AB108" s="49"/>
      <c r="AC108" s="49"/>
      <c r="AD108" s="49"/>
      <c r="AE108" s="49"/>
      <c r="AF108" s="49"/>
      <c r="AG108" s="49"/>
      <c r="AH108" s="49"/>
      <c r="AI108" s="52"/>
      <c r="AJ108" s="52"/>
      <c r="AK108" s="52"/>
      <c r="AL108" s="52"/>
      <c r="AM108" s="52"/>
      <c r="AN108" s="52"/>
      <c r="AO108" s="52"/>
      <c r="AP108" s="52"/>
      <c r="AQ108" s="52"/>
      <c r="AR108" s="52"/>
      <c r="AS108" s="52"/>
      <c r="AT108" s="52"/>
      <c r="AU108" s="52"/>
      <c r="AV108" s="52"/>
      <c r="AW108" s="52"/>
      <c r="AX108" s="52"/>
      <c r="AY108" s="52"/>
      <c r="AZ108" s="52"/>
    </row>
    <row r="109" spans="1:52" ht="17.100000000000001" customHeight="1">
      <c r="A109" s="49"/>
      <c r="B109" s="52"/>
      <c r="C109" s="49" t="s">
        <v>215</v>
      </c>
      <c r="D109" s="181" t="s">
        <v>783</v>
      </c>
      <c r="E109" s="316"/>
      <c r="F109" s="180">
        <v>170000</v>
      </c>
      <c r="G109" s="46">
        <v>354200.00000000012</v>
      </c>
      <c r="H109" s="46">
        <v>354200</v>
      </c>
      <c r="I109" s="49"/>
      <c r="J109" s="49"/>
      <c r="K109" s="49"/>
      <c r="L109" s="49"/>
      <c r="M109" s="49"/>
      <c r="N109" s="49"/>
      <c r="O109" s="49"/>
      <c r="P109" s="49"/>
      <c r="Q109" s="49"/>
      <c r="R109" s="49"/>
      <c r="S109" s="49"/>
      <c r="T109" s="49"/>
      <c r="U109" s="49"/>
      <c r="V109" s="49"/>
      <c r="W109" s="49"/>
      <c r="X109" s="49"/>
      <c r="Y109" s="49"/>
      <c r="Z109" s="49"/>
      <c r="AA109" s="49"/>
      <c r="AB109" s="49"/>
      <c r="AC109" s="49"/>
      <c r="AD109" s="49"/>
      <c r="AE109" s="49"/>
      <c r="AF109" s="49"/>
      <c r="AG109" s="49"/>
      <c r="AH109" s="49"/>
      <c r="AI109" s="52"/>
      <c r="AJ109" s="52"/>
      <c r="AK109" s="52"/>
      <c r="AL109" s="52"/>
      <c r="AM109" s="52"/>
      <c r="AN109" s="52"/>
      <c r="AO109" s="52"/>
      <c r="AP109" s="52"/>
      <c r="AQ109" s="52"/>
      <c r="AR109" s="52"/>
      <c r="AS109" s="52"/>
      <c r="AT109" s="52"/>
      <c r="AU109" s="52"/>
      <c r="AV109" s="52"/>
      <c r="AW109" s="52"/>
      <c r="AX109" s="52"/>
      <c r="AY109" s="52"/>
      <c r="AZ109" s="52"/>
    </row>
    <row r="110" spans="1:52" ht="17.100000000000001" customHeight="1">
      <c r="A110" s="49"/>
      <c r="B110" s="52"/>
      <c r="C110" s="49" t="s">
        <v>216</v>
      </c>
      <c r="D110" s="181" t="s">
        <v>783</v>
      </c>
      <c r="E110" s="316"/>
      <c r="F110" s="180">
        <v>170000</v>
      </c>
      <c r="G110" s="46">
        <v>227100.00000000009</v>
      </c>
      <c r="H110" s="46">
        <v>227100</v>
      </c>
      <c r="I110" s="49"/>
      <c r="J110" s="49"/>
      <c r="K110" s="49"/>
      <c r="L110" s="49"/>
      <c r="M110" s="49"/>
      <c r="N110" s="49"/>
      <c r="O110" s="49"/>
      <c r="P110" s="49"/>
      <c r="Q110" s="49"/>
      <c r="R110" s="49"/>
      <c r="S110" s="49"/>
      <c r="T110" s="49"/>
      <c r="U110" s="49"/>
      <c r="V110" s="49"/>
      <c r="W110" s="49"/>
      <c r="X110" s="49"/>
      <c r="Y110" s="49"/>
      <c r="Z110" s="49"/>
      <c r="AA110" s="49"/>
      <c r="AB110" s="49"/>
      <c r="AC110" s="49"/>
      <c r="AD110" s="49"/>
      <c r="AE110" s="49"/>
      <c r="AF110" s="49"/>
      <c r="AG110" s="49"/>
      <c r="AH110" s="49"/>
      <c r="AI110" s="52"/>
      <c r="AJ110" s="52"/>
      <c r="AK110" s="52"/>
      <c r="AL110" s="52"/>
      <c r="AM110" s="52"/>
      <c r="AN110" s="52"/>
      <c r="AO110" s="52"/>
      <c r="AP110" s="52"/>
      <c r="AQ110" s="52"/>
      <c r="AR110" s="52"/>
      <c r="AS110" s="52"/>
      <c r="AT110" s="52"/>
      <c r="AU110" s="52"/>
      <c r="AV110" s="52"/>
      <c r="AW110" s="52"/>
      <c r="AX110" s="52"/>
      <c r="AY110" s="52"/>
      <c r="AZ110" s="52"/>
    </row>
    <row r="111" spans="1:52" ht="17.100000000000001" customHeight="1">
      <c r="A111" s="49"/>
      <c r="B111" s="52"/>
      <c r="C111" s="49" t="s">
        <v>217</v>
      </c>
      <c r="D111" s="181" t="s">
        <v>783</v>
      </c>
      <c r="E111" s="316"/>
      <c r="F111" s="180">
        <v>170000</v>
      </c>
      <c r="G111" s="46">
        <v>163500.00000000009</v>
      </c>
      <c r="H111" s="46">
        <v>163500</v>
      </c>
      <c r="I111" s="49"/>
      <c r="J111" s="49"/>
      <c r="K111" s="49"/>
      <c r="L111" s="49"/>
      <c r="M111" s="49"/>
      <c r="N111" s="49"/>
      <c r="O111" s="49"/>
      <c r="P111" s="49"/>
      <c r="Q111" s="49"/>
      <c r="R111" s="49"/>
      <c r="S111" s="49"/>
      <c r="T111" s="49"/>
      <c r="U111" s="49"/>
      <c r="V111" s="49"/>
      <c r="W111" s="49"/>
      <c r="X111" s="49"/>
      <c r="Y111" s="49"/>
      <c r="Z111" s="49"/>
      <c r="AA111" s="49"/>
      <c r="AB111" s="49"/>
      <c r="AC111" s="49"/>
      <c r="AD111" s="49"/>
      <c r="AE111" s="49"/>
      <c r="AF111" s="49"/>
      <c r="AG111" s="49"/>
      <c r="AH111" s="49"/>
      <c r="AI111" s="52"/>
      <c r="AJ111" s="52"/>
      <c r="AK111" s="52"/>
      <c r="AL111" s="52"/>
      <c r="AM111" s="52"/>
      <c r="AN111" s="52"/>
      <c r="AO111" s="52"/>
      <c r="AP111" s="52"/>
      <c r="AQ111" s="52"/>
      <c r="AR111" s="52"/>
      <c r="AS111" s="52"/>
      <c r="AT111" s="52"/>
      <c r="AU111" s="52"/>
      <c r="AV111" s="52"/>
      <c r="AW111" s="52"/>
      <c r="AX111" s="52"/>
      <c r="AY111" s="52"/>
      <c r="AZ111" s="52"/>
    </row>
    <row r="112" spans="1:52" ht="17.100000000000001" customHeight="1">
      <c r="A112" s="49"/>
      <c r="B112" s="52"/>
      <c r="C112" s="49" t="s">
        <v>218</v>
      </c>
      <c r="D112" s="181" t="s">
        <v>783</v>
      </c>
      <c r="E112" s="316"/>
      <c r="F112" s="180">
        <v>170000</v>
      </c>
      <c r="G112" s="46">
        <v>110800.0000000001</v>
      </c>
      <c r="H112" s="46">
        <v>110800</v>
      </c>
      <c r="I112" s="49"/>
      <c r="J112" s="49"/>
      <c r="K112" s="49"/>
      <c r="L112" s="49"/>
      <c r="M112" s="49"/>
      <c r="N112" s="49"/>
      <c r="O112" s="49"/>
      <c r="P112" s="49"/>
      <c r="Q112" s="49"/>
      <c r="R112" s="49"/>
      <c r="S112" s="49"/>
      <c r="T112" s="49"/>
      <c r="U112" s="49"/>
      <c r="V112" s="49"/>
      <c r="W112" s="49"/>
      <c r="X112" s="49"/>
      <c r="Y112" s="49"/>
      <c r="Z112" s="49"/>
      <c r="AA112" s="49"/>
      <c r="AB112" s="49"/>
      <c r="AC112" s="49"/>
      <c r="AD112" s="49"/>
      <c r="AE112" s="49"/>
      <c r="AF112" s="49"/>
      <c r="AG112" s="49"/>
      <c r="AH112" s="49"/>
      <c r="AI112" s="52"/>
      <c r="AJ112" s="52"/>
      <c r="AK112" s="52"/>
      <c r="AL112" s="52"/>
      <c r="AM112" s="52"/>
      <c r="AN112" s="52"/>
      <c r="AO112" s="52"/>
      <c r="AP112" s="52"/>
      <c r="AQ112" s="52"/>
      <c r="AR112" s="52"/>
      <c r="AS112" s="52"/>
      <c r="AT112" s="52"/>
      <c r="AU112" s="52"/>
      <c r="AV112" s="52"/>
      <c r="AW112" s="52"/>
      <c r="AX112" s="52"/>
      <c r="AY112" s="52"/>
      <c r="AZ112" s="52"/>
    </row>
    <row r="113" spans="1:52" ht="17.100000000000001" customHeight="1">
      <c r="A113" s="49"/>
      <c r="B113" s="52"/>
      <c r="C113" s="49" t="s">
        <v>839</v>
      </c>
      <c r="D113" s="181" t="s">
        <v>783</v>
      </c>
      <c r="E113" s="317"/>
      <c r="F113" s="180">
        <v>170000</v>
      </c>
      <c r="G113" s="49"/>
      <c r="H113" s="49"/>
      <c r="I113" s="49"/>
      <c r="J113" s="49"/>
      <c r="K113" s="49"/>
      <c r="L113" s="49"/>
      <c r="M113" s="49"/>
      <c r="N113" s="49"/>
      <c r="O113" s="49"/>
      <c r="P113" s="49"/>
      <c r="Q113" s="49"/>
      <c r="R113" s="49"/>
      <c r="S113" s="49"/>
      <c r="T113" s="49"/>
      <c r="U113" s="49"/>
      <c r="V113" s="49"/>
      <c r="W113" s="49"/>
      <c r="X113" s="49"/>
      <c r="Y113" s="49"/>
      <c r="Z113" s="49"/>
      <c r="AA113" s="49"/>
      <c r="AB113" s="49"/>
      <c r="AC113" s="49"/>
      <c r="AD113" s="49"/>
      <c r="AE113" s="49"/>
      <c r="AF113" s="49"/>
      <c r="AG113" s="49"/>
      <c r="AH113" s="49"/>
      <c r="AI113" s="52"/>
      <c r="AJ113" s="52"/>
      <c r="AK113" s="52"/>
      <c r="AL113" s="52"/>
      <c r="AM113" s="52"/>
      <c r="AN113" s="52"/>
      <c r="AO113" s="52"/>
      <c r="AP113" s="52"/>
      <c r="AQ113" s="52"/>
      <c r="AR113" s="52"/>
      <c r="AS113" s="52"/>
      <c r="AT113" s="52"/>
      <c r="AU113" s="52"/>
      <c r="AV113" s="52"/>
      <c r="AW113" s="52"/>
      <c r="AX113" s="52"/>
      <c r="AY113" s="52"/>
      <c r="AZ113" s="52"/>
    </row>
    <row r="114" spans="1:52" ht="16.899999999999999" hidden="1" customHeight="1">
      <c r="A114" s="49"/>
      <c r="B114" s="52"/>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c r="AA114" s="49"/>
      <c r="AB114" s="49"/>
      <c r="AC114" s="49"/>
      <c r="AD114" s="49"/>
      <c r="AE114" s="49"/>
      <c r="AF114" s="49"/>
      <c r="AG114" s="49"/>
      <c r="AH114" s="49"/>
      <c r="AI114" s="52"/>
      <c r="AJ114" s="52"/>
      <c r="AK114" s="52"/>
      <c r="AL114" s="52"/>
      <c r="AM114" s="52"/>
      <c r="AN114" s="52"/>
      <c r="AO114" s="52"/>
      <c r="AP114" s="52"/>
      <c r="AQ114" s="52"/>
      <c r="AR114" s="52"/>
      <c r="AS114" s="52"/>
      <c r="AT114" s="52"/>
      <c r="AU114" s="52"/>
      <c r="AV114" s="52"/>
      <c r="AW114" s="52"/>
      <c r="AX114" s="52"/>
      <c r="AY114" s="52"/>
      <c r="AZ114" s="52"/>
    </row>
    <row r="115" spans="1:52" ht="17.100000000000001" hidden="1" customHeight="1">
      <c r="A115" s="49"/>
      <c r="B115" s="52"/>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c r="AA115" s="49"/>
      <c r="AB115" s="49"/>
      <c r="AC115" s="49"/>
      <c r="AD115" s="49"/>
      <c r="AE115" s="49"/>
      <c r="AF115" s="49"/>
      <c r="AG115" s="49"/>
      <c r="AH115" s="49"/>
      <c r="AI115" s="52"/>
      <c r="AJ115" s="52"/>
      <c r="AK115" s="52"/>
      <c r="AL115" s="52"/>
      <c r="AM115" s="52"/>
      <c r="AN115" s="52"/>
      <c r="AO115" s="52"/>
      <c r="AP115" s="52"/>
      <c r="AQ115" s="52"/>
      <c r="AR115" s="52"/>
      <c r="AS115" s="52"/>
      <c r="AT115" s="52"/>
      <c r="AU115" s="52"/>
      <c r="AV115" s="52"/>
      <c r="AW115" s="52"/>
      <c r="AX115" s="52"/>
      <c r="AY115" s="52"/>
      <c r="AZ115" s="52"/>
    </row>
    <row r="116" spans="1:52" ht="17.100000000000001" hidden="1" customHeight="1">
      <c r="A116" s="49"/>
      <c r="B116" s="52"/>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c r="AA116" s="49"/>
      <c r="AB116" s="49"/>
      <c r="AC116" s="49"/>
      <c r="AD116" s="49"/>
      <c r="AE116" s="49"/>
      <c r="AF116" s="49"/>
      <c r="AG116" s="49"/>
      <c r="AH116" s="49"/>
      <c r="AI116" s="52"/>
      <c r="AJ116" s="52"/>
      <c r="AK116" s="52"/>
      <c r="AL116" s="52"/>
      <c r="AM116" s="52"/>
      <c r="AN116" s="52"/>
      <c r="AO116" s="52"/>
      <c r="AP116" s="52"/>
      <c r="AQ116" s="52"/>
      <c r="AR116" s="52"/>
      <c r="AS116" s="52"/>
      <c r="AT116" s="52"/>
      <c r="AU116" s="52"/>
      <c r="AV116" s="52"/>
      <c r="AW116" s="52"/>
      <c r="AX116" s="52"/>
      <c r="AY116" s="52"/>
      <c r="AZ116" s="52"/>
    </row>
    <row r="117" spans="1:52" ht="17.100000000000001" hidden="1" customHeight="1">
      <c r="A117" s="49"/>
      <c r="B117" s="52"/>
      <c r="C117" s="49"/>
      <c r="D117" s="49"/>
      <c r="E117" s="49"/>
      <c r="F117" s="49"/>
      <c r="G117" s="49"/>
      <c r="H117" s="49"/>
      <c r="I117" s="49"/>
      <c r="J117" s="49"/>
      <c r="K117" s="49"/>
      <c r="L117" s="49"/>
      <c r="M117" s="49"/>
      <c r="N117" s="49"/>
      <c r="O117" s="49"/>
      <c r="P117" s="49"/>
      <c r="Q117" s="49"/>
      <c r="R117" s="49"/>
      <c r="S117" s="49"/>
      <c r="T117" s="49"/>
      <c r="U117" s="49"/>
      <c r="V117" s="49"/>
      <c r="W117" s="49"/>
      <c r="X117" s="49"/>
      <c r="Y117" s="49"/>
      <c r="Z117" s="49"/>
      <c r="AA117" s="49"/>
      <c r="AB117" s="49"/>
      <c r="AC117" s="49"/>
      <c r="AD117" s="49"/>
      <c r="AE117" s="49"/>
      <c r="AF117" s="49"/>
      <c r="AG117" s="49"/>
      <c r="AH117" s="49"/>
      <c r="AI117" s="52"/>
      <c r="AJ117" s="52"/>
      <c r="AK117" s="52"/>
      <c r="AL117" s="52"/>
      <c r="AM117" s="52"/>
      <c r="AN117" s="52"/>
      <c r="AO117" s="52"/>
      <c r="AP117" s="52"/>
      <c r="AQ117" s="52"/>
      <c r="AR117" s="52"/>
      <c r="AS117" s="52"/>
      <c r="AT117" s="52"/>
      <c r="AU117" s="52"/>
      <c r="AV117" s="52"/>
      <c r="AW117" s="52"/>
      <c r="AX117" s="52"/>
      <c r="AY117" s="52"/>
      <c r="AZ117" s="52"/>
    </row>
    <row r="118" spans="1:52" ht="17.100000000000001" hidden="1" customHeight="1">
      <c r="A118" s="49"/>
      <c r="B118" s="52"/>
      <c r="C118" s="49"/>
      <c r="D118" s="49"/>
      <c r="E118" s="49"/>
      <c r="F118" s="49"/>
      <c r="G118" s="49"/>
      <c r="H118" s="49"/>
      <c r="I118" s="49"/>
      <c r="J118" s="49"/>
      <c r="K118" s="49"/>
      <c r="L118" s="49"/>
      <c r="M118" s="49"/>
      <c r="N118" s="49"/>
      <c r="O118" s="49"/>
      <c r="P118" s="49"/>
      <c r="Q118" s="49"/>
      <c r="R118" s="49"/>
      <c r="S118" s="49"/>
      <c r="T118" s="49"/>
      <c r="U118" s="49"/>
      <c r="V118" s="49"/>
      <c r="W118" s="49"/>
      <c r="X118" s="49"/>
      <c r="Y118" s="49"/>
      <c r="Z118" s="49"/>
      <c r="AA118" s="49"/>
      <c r="AB118" s="49"/>
      <c r="AC118" s="49"/>
      <c r="AD118" s="49"/>
      <c r="AE118" s="49"/>
      <c r="AF118" s="49"/>
      <c r="AG118" s="49"/>
      <c r="AH118" s="49"/>
      <c r="AI118" s="52"/>
      <c r="AJ118" s="52"/>
      <c r="AK118" s="52"/>
      <c r="AL118" s="52"/>
      <c r="AM118" s="52"/>
      <c r="AN118" s="52"/>
      <c r="AO118" s="52"/>
      <c r="AP118" s="52"/>
      <c r="AQ118" s="52"/>
      <c r="AR118" s="52"/>
      <c r="AS118" s="52"/>
      <c r="AT118" s="52"/>
      <c r="AU118" s="52"/>
      <c r="AV118" s="52"/>
      <c r="AW118" s="52"/>
      <c r="AX118" s="52"/>
      <c r="AY118" s="52"/>
      <c r="AZ118" s="52"/>
    </row>
    <row r="119" spans="1:52" ht="17.100000000000001" customHeight="1">
      <c r="A119" s="49"/>
      <c r="B119" s="52"/>
      <c r="C119" s="49"/>
      <c r="D119" s="49"/>
      <c r="E119" s="49"/>
      <c r="F119" s="49"/>
      <c r="G119" s="49"/>
      <c r="H119" s="49"/>
      <c r="I119" s="49"/>
      <c r="J119" s="49"/>
      <c r="K119" s="49"/>
      <c r="L119" s="49"/>
      <c r="M119" s="49"/>
      <c r="N119" s="49"/>
      <c r="O119" s="49"/>
      <c r="P119" s="49"/>
      <c r="Q119" s="49"/>
      <c r="R119" s="49"/>
      <c r="S119" s="49"/>
      <c r="T119" s="49"/>
      <c r="U119" s="49"/>
      <c r="V119" s="49"/>
      <c r="W119" s="49"/>
      <c r="X119" s="49"/>
      <c r="Y119" s="49"/>
      <c r="Z119" s="49"/>
      <c r="AA119" s="49"/>
      <c r="AB119" s="49"/>
      <c r="AC119" s="49"/>
      <c r="AD119" s="49"/>
      <c r="AE119" s="49"/>
      <c r="AF119" s="49"/>
      <c r="AG119" s="49"/>
      <c r="AH119" s="49"/>
      <c r="AI119" s="52"/>
      <c r="AJ119" s="52"/>
      <c r="AK119" s="52"/>
      <c r="AL119" s="52"/>
      <c r="AM119" s="52"/>
      <c r="AN119" s="52"/>
      <c r="AO119" s="52"/>
      <c r="AP119" s="52"/>
      <c r="AQ119" s="52"/>
      <c r="AR119" s="52"/>
      <c r="AS119" s="52"/>
      <c r="AT119" s="52"/>
      <c r="AU119" s="52"/>
      <c r="AV119" s="52"/>
      <c r="AW119" s="52"/>
      <c r="AX119" s="52"/>
      <c r="AY119" s="52"/>
      <c r="AZ119" s="52"/>
    </row>
    <row r="120" spans="1:52" ht="17.100000000000001" customHeight="1">
      <c r="A120" s="49"/>
      <c r="B120" s="115" t="s">
        <v>879</v>
      </c>
      <c r="C120" s="115"/>
      <c r="D120" s="115" t="s">
        <v>464</v>
      </c>
      <c r="E120" s="257"/>
      <c r="F120" s="257" t="s">
        <v>428</v>
      </c>
      <c r="G120" s="257" t="s">
        <v>43</v>
      </c>
      <c r="H120" s="257" t="s">
        <v>77</v>
      </c>
      <c r="I120" s="257"/>
      <c r="J120" s="257"/>
      <c r="K120" s="257"/>
      <c r="L120" s="257"/>
      <c r="M120" s="257"/>
      <c r="N120" s="257"/>
      <c r="O120" s="257"/>
      <c r="P120" s="257"/>
      <c r="Q120" s="257"/>
      <c r="R120" s="257"/>
      <c r="S120" s="257"/>
      <c r="T120" s="257"/>
      <c r="U120" s="257"/>
      <c r="V120" s="257"/>
      <c r="W120" s="257"/>
      <c r="X120" s="257"/>
      <c r="Y120" s="257"/>
      <c r="Z120" s="257"/>
      <c r="AA120" s="257"/>
      <c r="AB120" s="257"/>
      <c r="AC120" s="257"/>
      <c r="AD120" s="257"/>
      <c r="AE120" s="257"/>
      <c r="AF120" s="257"/>
      <c r="AG120" s="257"/>
      <c r="AH120" s="257"/>
      <c r="AI120" s="52"/>
      <c r="AJ120" s="52"/>
      <c r="AK120" s="52"/>
      <c r="AL120" s="52"/>
      <c r="AM120" s="52"/>
      <c r="AN120" s="52"/>
      <c r="AO120" s="52"/>
      <c r="AP120" s="52"/>
      <c r="AQ120" s="52"/>
      <c r="AR120" s="52"/>
      <c r="AS120" s="52"/>
      <c r="AT120" s="52"/>
      <c r="AU120" s="52"/>
      <c r="AV120" s="52"/>
      <c r="AW120" s="52"/>
      <c r="AX120" s="52"/>
      <c r="AY120" s="52"/>
      <c r="AZ120" s="52"/>
    </row>
    <row r="121" spans="1:52" ht="17.100000000000001" customHeight="1">
      <c r="B121" s="52"/>
      <c r="C121" s="49" t="s">
        <v>207</v>
      </c>
      <c r="D121" s="181" t="s">
        <v>880</v>
      </c>
      <c r="E121" s="316"/>
      <c r="F121" s="49"/>
      <c r="G121" s="46">
        <v>59.199999999999996</v>
      </c>
      <c r="H121" s="46">
        <v>45.3</v>
      </c>
      <c r="I121" s="49"/>
      <c r="J121" s="49"/>
      <c r="K121" s="49"/>
      <c r="L121" s="49"/>
      <c r="M121" s="49"/>
      <c r="N121" s="49"/>
      <c r="O121" s="49"/>
      <c r="P121" s="49"/>
      <c r="Q121" s="49"/>
      <c r="R121" s="49"/>
      <c r="S121" s="49"/>
      <c r="T121" s="49"/>
      <c r="U121" s="49"/>
      <c r="V121" s="49"/>
      <c r="W121" s="49"/>
      <c r="X121" s="49"/>
      <c r="Y121" s="49"/>
      <c r="Z121" s="49"/>
      <c r="AA121" s="49"/>
      <c r="AB121" s="49"/>
      <c r="AC121" s="49"/>
      <c r="AD121" s="49"/>
      <c r="AE121" s="49"/>
      <c r="AF121" s="49"/>
      <c r="AG121" s="49"/>
      <c r="AH121" s="49"/>
      <c r="AI121" s="52"/>
      <c r="AJ121" s="52"/>
      <c r="AK121" s="52"/>
      <c r="AL121" s="52"/>
      <c r="AM121" s="52"/>
      <c r="AN121" s="52"/>
      <c r="AO121" s="52"/>
      <c r="AP121" s="52"/>
      <c r="AQ121" s="52"/>
      <c r="AR121" s="52"/>
      <c r="AS121" s="52"/>
      <c r="AT121" s="52"/>
      <c r="AU121" s="52"/>
      <c r="AV121" s="52"/>
      <c r="AW121" s="52"/>
      <c r="AX121" s="52"/>
      <c r="AY121" s="52"/>
      <c r="AZ121" s="52"/>
    </row>
    <row r="122" spans="1:52" ht="17.100000000000001" customHeight="1">
      <c r="A122" s="49"/>
      <c r="B122" s="52"/>
      <c r="C122" s="49" t="s">
        <v>208</v>
      </c>
      <c r="D122" s="181" t="s">
        <v>880</v>
      </c>
      <c r="E122" s="316"/>
      <c r="F122" s="49"/>
      <c r="G122" s="46">
        <v>49.9</v>
      </c>
      <c r="H122" s="46">
        <v>36</v>
      </c>
      <c r="I122" s="49"/>
      <c r="J122" s="49"/>
      <c r="K122" s="49"/>
      <c r="L122" s="49"/>
      <c r="M122" s="49"/>
      <c r="N122" s="49"/>
      <c r="O122" s="49"/>
      <c r="P122" s="49"/>
      <c r="Q122" s="49"/>
      <c r="R122" s="49"/>
      <c r="S122" s="49"/>
      <c r="T122" s="49"/>
      <c r="U122" s="49"/>
      <c r="V122" s="49"/>
      <c r="W122" s="49"/>
      <c r="X122" s="49"/>
      <c r="Y122" s="49"/>
      <c r="Z122" s="49"/>
      <c r="AA122" s="49"/>
      <c r="AB122" s="49"/>
      <c r="AC122" s="49"/>
      <c r="AD122" s="49"/>
      <c r="AE122" s="49"/>
      <c r="AF122" s="49"/>
      <c r="AG122" s="49"/>
      <c r="AH122" s="49"/>
      <c r="AI122" s="49"/>
      <c r="AJ122" s="49"/>
      <c r="AK122" s="49"/>
      <c r="AL122" s="49"/>
      <c r="AM122" s="49"/>
      <c r="AN122" s="49"/>
      <c r="AO122" s="49"/>
      <c r="AP122" s="49"/>
      <c r="AQ122" s="49"/>
      <c r="AR122" s="49"/>
      <c r="AS122" s="49"/>
      <c r="AT122" s="49"/>
      <c r="AU122" s="49"/>
      <c r="AV122" s="49"/>
      <c r="AW122" s="49"/>
      <c r="AX122" s="49"/>
      <c r="AY122" s="49"/>
      <c r="AZ122" s="49"/>
    </row>
    <row r="123" spans="1:52" ht="17.100000000000001" customHeight="1">
      <c r="A123" s="49"/>
      <c r="B123" s="52"/>
      <c r="C123" s="49" t="s">
        <v>209</v>
      </c>
      <c r="D123" s="181" t="s">
        <v>880</v>
      </c>
      <c r="E123" s="316"/>
      <c r="F123" s="49"/>
      <c r="G123" s="46">
        <v>47.3</v>
      </c>
      <c r="H123" s="46">
        <v>33.4</v>
      </c>
      <c r="I123" s="49"/>
      <c r="J123" s="49"/>
      <c r="K123" s="49"/>
      <c r="L123" s="49"/>
      <c r="M123" s="49"/>
      <c r="N123" s="49"/>
      <c r="O123" s="49"/>
      <c r="P123" s="49"/>
      <c r="Q123" s="49"/>
      <c r="R123" s="49"/>
      <c r="S123" s="49"/>
      <c r="T123" s="49"/>
      <c r="U123" s="49"/>
      <c r="V123" s="49"/>
      <c r="W123" s="49"/>
      <c r="X123" s="49"/>
      <c r="Y123" s="49"/>
      <c r="Z123" s="49"/>
      <c r="AA123" s="49"/>
      <c r="AB123" s="49"/>
      <c r="AC123" s="49"/>
      <c r="AD123" s="49"/>
      <c r="AE123" s="49"/>
      <c r="AF123" s="49"/>
      <c r="AG123" s="49"/>
      <c r="AH123" s="49"/>
      <c r="AI123" s="49"/>
      <c r="AJ123" s="49"/>
      <c r="AK123" s="49"/>
      <c r="AL123" s="49"/>
      <c r="AM123" s="49"/>
      <c r="AN123" s="49"/>
      <c r="AO123" s="49"/>
      <c r="AP123" s="49"/>
      <c r="AQ123" s="49"/>
      <c r="AR123" s="49"/>
      <c r="AS123" s="49"/>
      <c r="AT123" s="49"/>
      <c r="AU123" s="49"/>
      <c r="AV123" s="49"/>
      <c r="AW123" s="49"/>
      <c r="AX123" s="49"/>
      <c r="AY123" s="49"/>
      <c r="AZ123" s="49"/>
    </row>
    <row r="124" spans="1:52" ht="17.100000000000001" customHeight="1">
      <c r="A124" s="49"/>
      <c r="B124" s="52"/>
      <c r="C124" s="49" t="s">
        <v>210</v>
      </c>
      <c r="D124" s="181" t="s">
        <v>880</v>
      </c>
      <c r="E124" s="316"/>
      <c r="F124" s="49"/>
      <c r="G124" s="46">
        <v>49.699999999999996</v>
      </c>
      <c r="H124" s="46">
        <v>35.799999999999997</v>
      </c>
      <c r="I124" s="49"/>
      <c r="J124" s="49"/>
      <c r="K124" s="49"/>
      <c r="L124" s="49"/>
      <c r="M124" s="49"/>
      <c r="N124" s="49"/>
      <c r="O124" s="49"/>
      <c r="P124" s="49"/>
      <c r="Q124" s="49"/>
      <c r="R124" s="49"/>
      <c r="S124" s="49"/>
      <c r="T124" s="49"/>
      <c r="U124" s="49"/>
      <c r="V124" s="49"/>
      <c r="W124" s="49"/>
      <c r="X124" s="49"/>
      <c r="Y124" s="49"/>
      <c r="Z124" s="49"/>
      <c r="AA124" s="49"/>
      <c r="AB124" s="49"/>
      <c r="AC124" s="49"/>
      <c r="AD124" s="49"/>
      <c r="AE124" s="49"/>
      <c r="AF124" s="49"/>
      <c r="AG124" s="49"/>
      <c r="AH124" s="49"/>
      <c r="AI124" s="49"/>
      <c r="AJ124" s="49"/>
      <c r="AK124" s="49"/>
      <c r="AL124" s="49"/>
      <c r="AM124" s="49"/>
      <c r="AN124" s="49"/>
      <c r="AO124" s="49"/>
      <c r="AP124" s="49"/>
      <c r="AQ124" s="49"/>
      <c r="AR124" s="49"/>
      <c r="AS124" s="49"/>
      <c r="AT124" s="49"/>
      <c r="AU124" s="49"/>
      <c r="AV124" s="49"/>
      <c r="AW124" s="49"/>
      <c r="AX124" s="49"/>
      <c r="AY124" s="49"/>
      <c r="AZ124" s="49"/>
    </row>
    <row r="125" spans="1:52" ht="17.100000000000001" customHeight="1">
      <c r="A125" s="49"/>
      <c r="B125" s="52"/>
      <c r="C125" s="49" t="s">
        <v>211</v>
      </c>
      <c r="D125" s="181" t="s">
        <v>880</v>
      </c>
      <c r="E125" s="316"/>
      <c r="F125" s="49"/>
      <c r="G125" s="46">
        <v>55.6</v>
      </c>
      <c r="H125" s="46">
        <v>41.7</v>
      </c>
      <c r="I125" s="49"/>
      <c r="J125" s="49"/>
      <c r="K125" s="49"/>
      <c r="L125" s="49"/>
      <c r="M125" s="49"/>
      <c r="N125" s="49"/>
      <c r="O125" s="49"/>
      <c r="P125" s="49"/>
      <c r="Q125" s="49"/>
      <c r="R125" s="49"/>
      <c r="S125" s="49"/>
      <c r="T125" s="49"/>
      <c r="U125" s="49"/>
      <c r="V125" s="49"/>
      <c r="W125" s="49"/>
      <c r="X125" s="49"/>
      <c r="Y125" s="49"/>
      <c r="Z125" s="49"/>
      <c r="AA125" s="49"/>
      <c r="AB125" s="49"/>
      <c r="AC125" s="49"/>
      <c r="AD125" s="49"/>
      <c r="AE125" s="49"/>
      <c r="AF125" s="49"/>
      <c r="AG125" s="49"/>
      <c r="AH125" s="49"/>
      <c r="AI125" s="49"/>
      <c r="AJ125" s="49"/>
      <c r="AK125" s="49"/>
      <c r="AL125" s="49"/>
      <c r="AM125" s="49"/>
      <c r="AN125" s="49"/>
      <c r="AO125" s="49"/>
      <c r="AP125" s="49"/>
      <c r="AQ125" s="49"/>
      <c r="AR125" s="49"/>
      <c r="AS125" s="49"/>
      <c r="AT125" s="49"/>
      <c r="AU125" s="49"/>
      <c r="AV125" s="49"/>
      <c r="AW125" s="49"/>
      <c r="AX125" s="49"/>
      <c r="AY125" s="49"/>
      <c r="AZ125" s="49"/>
    </row>
    <row r="126" spans="1:52" ht="17.100000000000001" customHeight="1">
      <c r="A126" s="49"/>
      <c r="B126" s="52"/>
      <c r="C126" s="49" t="s">
        <v>212</v>
      </c>
      <c r="D126" s="181" t="s">
        <v>880</v>
      </c>
      <c r="E126" s="316"/>
      <c r="F126" s="49"/>
      <c r="G126" s="46">
        <v>89.5</v>
      </c>
      <c r="H126" s="46">
        <v>75.599999999999994</v>
      </c>
      <c r="I126" s="49"/>
      <c r="J126" s="49"/>
      <c r="K126" s="49"/>
      <c r="L126" s="49"/>
      <c r="M126" s="49"/>
      <c r="N126" s="49"/>
      <c r="O126" s="49"/>
      <c r="P126" s="49"/>
      <c r="Q126" s="49"/>
      <c r="R126" s="49"/>
      <c r="S126" s="49"/>
      <c r="T126" s="49"/>
      <c r="U126" s="49"/>
      <c r="V126" s="49"/>
      <c r="W126" s="49"/>
      <c r="X126" s="49"/>
      <c r="Y126" s="49"/>
      <c r="Z126" s="49"/>
      <c r="AA126" s="49"/>
      <c r="AB126" s="49"/>
      <c r="AC126" s="49"/>
      <c r="AD126" s="49"/>
      <c r="AE126" s="49"/>
      <c r="AF126" s="49"/>
      <c r="AG126" s="49"/>
      <c r="AH126" s="49"/>
      <c r="AI126" s="49"/>
      <c r="AJ126" s="49"/>
      <c r="AK126" s="49"/>
      <c r="AL126" s="49"/>
      <c r="AM126" s="49"/>
      <c r="AN126" s="49"/>
      <c r="AO126" s="49"/>
      <c r="AP126" s="49"/>
      <c r="AQ126" s="49"/>
      <c r="AR126" s="49"/>
      <c r="AS126" s="49"/>
      <c r="AT126" s="49"/>
      <c r="AU126" s="49"/>
      <c r="AV126" s="49"/>
      <c r="AW126" s="49"/>
      <c r="AX126" s="49"/>
      <c r="AY126" s="49"/>
      <c r="AZ126" s="49"/>
    </row>
    <row r="127" spans="1:52" ht="17.100000000000001" customHeight="1">
      <c r="A127" s="49"/>
      <c r="B127" s="52"/>
      <c r="C127" s="49" t="s">
        <v>213</v>
      </c>
      <c r="D127" s="181" t="s">
        <v>880</v>
      </c>
      <c r="E127" s="316"/>
      <c r="F127" s="49"/>
      <c r="G127" s="46">
        <v>89.2</v>
      </c>
      <c r="H127" s="46">
        <v>75.3</v>
      </c>
      <c r="I127" s="49"/>
      <c r="J127" s="49"/>
      <c r="K127" s="49"/>
      <c r="L127" s="49"/>
      <c r="M127" s="49"/>
      <c r="N127" s="49"/>
      <c r="O127" s="49"/>
      <c r="P127" s="49"/>
      <c r="Q127" s="49"/>
      <c r="R127" s="49"/>
      <c r="S127" s="49"/>
      <c r="T127" s="49"/>
      <c r="U127" s="49"/>
      <c r="V127" s="49"/>
      <c r="W127" s="49"/>
      <c r="X127" s="49"/>
      <c r="Y127" s="49"/>
      <c r="Z127" s="49"/>
      <c r="AA127" s="49"/>
      <c r="AB127" s="49"/>
      <c r="AC127" s="49"/>
      <c r="AD127" s="49"/>
      <c r="AE127" s="49"/>
      <c r="AF127" s="49"/>
      <c r="AG127" s="49"/>
      <c r="AH127" s="49"/>
      <c r="AI127" s="49"/>
      <c r="AJ127" s="49"/>
      <c r="AK127" s="49"/>
      <c r="AL127" s="49"/>
      <c r="AM127" s="49"/>
      <c r="AN127" s="49"/>
      <c r="AO127" s="49"/>
      <c r="AP127" s="49"/>
      <c r="AQ127" s="49"/>
      <c r="AR127" s="49"/>
      <c r="AS127" s="49"/>
      <c r="AT127" s="49"/>
      <c r="AU127" s="49"/>
      <c r="AV127" s="49"/>
      <c r="AW127" s="49"/>
      <c r="AX127" s="49"/>
      <c r="AY127" s="49"/>
      <c r="AZ127" s="49"/>
    </row>
    <row r="128" spans="1:52" ht="17.100000000000001" customHeight="1">
      <c r="A128" s="49"/>
      <c r="B128" s="52"/>
      <c r="C128" s="49" t="s">
        <v>214</v>
      </c>
      <c r="D128" s="181" t="s">
        <v>880</v>
      </c>
      <c r="E128" s="316"/>
      <c r="F128" s="49"/>
      <c r="G128" s="46">
        <v>95</v>
      </c>
      <c r="H128" s="46">
        <v>81.099999999999994</v>
      </c>
      <c r="I128" s="49"/>
      <c r="J128" s="49"/>
      <c r="K128" s="49"/>
      <c r="L128" s="49"/>
      <c r="M128" s="49"/>
      <c r="N128" s="49"/>
      <c r="O128" s="49"/>
      <c r="P128" s="49"/>
      <c r="Q128" s="49"/>
      <c r="R128" s="49"/>
      <c r="S128" s="49"/>
      <c r="T128" s="49"/>
      <c r="U128" s="49"/>
      <c r="V128" s="49"/>
      <c r="W128" s="49"/>
      <c r="X128" s="49"/>
      <c r="Y128" s="49"/>
      <c r="Z128" s="49"/>
      <c r="AA128" s="49"/>
      <c r="AB128" s="49"/>
      <c r="AC128" s="49"/>
      <c r="AD128" s="49"/>
      <c r="AE128" s="49"/>
      <c r="AF128" s="49"/>
      <c r="AG128" s="49"/>
      <c r="AH128" s="49"/>
      <c r="AI128" s="49"/>
      <c r="AJ128" s="49"/>
      <c r="AK128" s="49"/>
      <c r="AL128" s="49"/>
      <c r="AM128" s="49"/>
      <c r="AN128" s="49"/>
      <c r="AO128" s="49"/>
      <c r="AP128" s="49"/>
      <c r="AQ128" s="49"/>
      <c r="AR128" s="49"/>
      <c r="AS128" s="49"/>
      <c r="AT128" s="49"/>
      <c r="AU128" s="49"/>
      <c r="AV128" s="49"/>
      <c r="AW128" s="49"/>
      <c r="AX128" s="49"/>
      <c r="AY128" s="49"/>
      <c r="AZ128" s="49"/>
    </row>
    <row r="129" spans="1:52" ht="17.100000000000001" customHeight="1">
      <c r="A129" s="49"/>
      <c r="B129" s="52"/>
      <c r="C129" s="49" t="s">
        <v>215</v>
      </c>
      <c r="D129" s="181" t="s">
        <v>880</v>
      </c>
      <c r="E129" s="316"/>
      <c r="F129" s="49"/>
      <c r="G129" s="46">
        <v>79.2</v>
      </c>
      <c r="H129" s="46">
        <v>65.3</v>
      </c>
      <c r="I129" s="49"/>
      <c r="J129" s="49"/>
      <c r="K129" s="49"/>
      <c r="L129" s="49"/>
      <c r="M129" s="49"/>
      <c r="N129" s="49"/>
      <c r="O129" s="49"/>
      <c r="P129" s="49"/>
      <c r="Q129" s="49"/>
      <c r="R129" s="49"/>
      <c r="S129" s="49"/>
      <c r="T129" s="49"/>
      <c r="U129" s="49"/>
      <c r="V129" s="49"/>
      <c r="W129" s="49"/>
      <c r="X129" s="49"/>
      <c r="Y129" s="49"/>
      <c r="Z129" s="49"/>
      <c r="AA129" s="49"/>
      <c r="AB129" s="49"/>
      <c r="AC129" s="49"/>
      <c r="AD129" s="49"/>
      <c r="AE129" s="49"/>
      <c r="AF129" s="49"/>
      <c r="AG129" s="49"/>
      <c r="AH129" s="49"/>
      <c r="AI129" s="49"/>
      <c r="AJ129" s="49"/>
      <c r="AK129" s="49"/>
      <c r="AL129" s="49"/>
      <c r="AM129" s="49"/>
      <c r="AN129" s="49"/>
      <c r="AO129" s="49"/>
      <c r="AP129" s="49"/>
      <c r="AQ129" s="49"/>
      <c r="AR129" s="49"/>
      <c r="AS129" s="49"/>
      <c r="AT129" s="49"/>
      <c r="AU129" s="49"/>
      <c r="AV129" s="49"/>
      <c r="AW129" s="49"/>
      <c r="AX129" s="49"/>
      <c r="AY129" s="49"/>
      <c r="AZ129" s="49"/>
    </row>
    <row r="130" spans="1:52" ht="17.100000000000001" customHeight="1">
      <c r="A130" s="49"/>
      <c r="B130" s="52"/>
      <c r="C130" s="49" t="s">
        <v>216</v>
      </c>
      <c r="D130" s="181" t="s">
        <v>880</v>
      </c>
      <c r="E130" s="316"/>
      <c r="F130" s="49"/>
      <c r="G130" s="46">
        <v>76.900000000000006</v>
      </c>
      <c r="H130" s="46">
        <v>63</v>
      </c>
      <c r="I130" s="49"/>
      <c r="J130" s="49"/>
      <c r="K130" s="49"/>
      <c r="L130" s="49"/>
      <c r="M130" s="49"/>
      <c r="N130" s="49"/>
      <c r="O130" s="49"/>
      <c r="P130" s="49"/>
      <c r="Q130" s="49"/>
      <c r="R130" s="49"/>
      <c r="S130" s="49"/>
      <c r="T130" s="49"/>
      <c r="U130" s="49"/>
      <c r="V130" s="49"/>
      <c r="W130" s="49"/>
      <c r="X130" s="49"/>
      <c r="Y130" s="49"/>
      <c r="Z130" s="49"/>
      <c r="AA130" s="49"/>
      <c r="AB130" s="49"/>
      <c r="AC130" s="49"/>
      <c r="AD130" s="49"/>
      <c r="AE130" s="49"/>
      <c r="AF130" s="49"/>
      <c r="AG130" s="49"/>
      <c r="AH130" s="49"/>
      <c r="AI130" s="49"/>
      <c r="AJ130" s="49"/>
      <c r="AK130" s="49"/>
      <c r="AL130" s="49"/>
      <c r="AM130" s="49"/>
      <c r="AN130" s="49"/>
      <c r="AO130" s="49"/>
      <c r="AP130" s="49"/>
      <c r="AQ130" s="49"/>
      <c r="AR130" s="49"/>
      <c r="AS130" s="49"/>
      <c r="AT130" s="49"/>
      <c r="AU130" s="49"/>
      <c r="AV130" s="49"/>
      <c r="AW130" s="49"/>
      <c r="AX130" s="49"/>
      <c r="AY130" s="49"/>
      <c r="AZ130" s="49"/>
    </row>
    <row r="131" spans="1:52" ht="17.100000000000001" customHeight="1">
      <c r="A131" s="49"/>
      <c r="B131" s="52"/>
      <c r="C131" s="49" t="s">
        <v>217</v>
      </c>
      <c r="D131" s="181" t="s">
        <v>880</v>
      </c>
      <c r="E131" s="316"/>
      <c r="F131" s="49"/>
      <c r="G131" s="46">
        <v>72.2</v>
      </c>
      <c r="H131" s="46">
        <v>58.3</v>
      </c>
      <c r="I131" s="49"/>
      <c r="J131" s="49"/>
      <c r="K131" s="49"/>
      <c r="L131" s="49"/>
      <c r="M131" s="49"/>
      <c r="N131" s="49"/>
      <c r="O131" s="49"/>
      <c r="P131" s="49"/>
      <c r="Q131" s="49"/>
      <c r="R131" s="49"/>
      <c r="S131" s="49"/>
      <c r="T131" s="49"/>
      <c r="U131" s="49"/>
      <c r="V131" s="49"/>
      <c r="W131" s="49"/>
      <c r="X131" s="49"/>
      <c r="Y131" s="49"/>
      <c r="Z131" s="49"/>
      <c r="AA131" s="49"/>
      <c r="AB131" s="49"/>
      <c r="AC131" s="49"/>
      <c r="AD131" s="49"/>
      <c r="AE131" s="49"/>
      <c r="AF131" s="49"/>
      <c r="AG131" s="49"/>
      <c r="AH131" s="49"/>
      <c r="AI131" s="49"/>
      <c r="AJ131" s="49"/>
      <c r="AK131" s="49"/>
      <c r="AL131" s="49"/>
      <c r="AM131" s="49"/>
      <c r="AN131" s="49"/>
      <c r="AO131" s="49"/>
      <c r="AP131" s="49"/>
      <c r="AQ131" s="49"/>
      <c r="AR131" s="49"/>
      <c r="AS131" s="49"/>
      <c r="AT131" s="49"/>
      <c r="AU131" s="49"/>
      <c r="AV131" s="49"/>
      <c r="AW131" s="49"/>
      <c r="AX131" s="49"/>
      <c r="AY131" s="49"/>
      <c r="AZ131" s="49"/>
    </row>
    <row r="132" spans="1:52" ht="17.100000000000001" customHeight="1">
      <c r="B132" s="52"/>
      <c r="C132" s="49" t="s">
        <v>218</v>
      </c>
      <c r="D132" s="181" t="s">
        <v>880</v>
      </c>
      <c r="E132" s="316"/>
      <c r="F132" s="49"/>
      <c r="G132" s="46">
        <v>72.5</v>
      </c>
      <c r="H132" s="46">
        <v>58.6</v>
      </c>
      <c r="I132" s="49"/>
      <c r="J132" s="49"/>
      <c r="K132" s="49"/>
      <c r="L132" s="49"/>
      <c r="M132" s="49"/>
      <c r="N132" s="49"/>
      <c r="O132" s="49"/>
      <c r="P132" s="49"/>
      <c r="Q132" s="49"/>
      <c r="R132" s="49"/>
      <c r="S132" s="49"/>
      <c r="T132" s="49"/>
      <c r="U132" s="49"/>
      <c r="V132" s="49"/>
      <c r="W132" s="49"/>
      <c r="X132" s="49"/>
      <c r="Y132" s="49"/>
      <c r="Z132" s="49"/>
      <c r="AA132" s="49"/>
      <c r="AB132" s="49"/>
      <c r="AC132" s="49"/>
      <c r="AD132" s="49"/>
      <c r="AE132" s="49"/>
      <c r="AF132" s="49"/>
      <c r="AG132" s="49"/>
      <c r="AH132" s="49"/>
      <c r="AI132" s="49"/>
      <c r="AJ132" s="49"/>
      <c r="AK132" s="49"/>
      <c r="AL132" s="49"/>
      <c r="AM132" s="49"/>
      <c r="AN132" s="49"/>
      <c r="AO132" s="49"/>
      <c r="AP132" s="49"/>
      <c r="AQ132" s="49"/>
      <c r="AR132" s="49"/>
      <c r="AS132" s="49"/>
      <c r="AT132" s="49"/>
      <c r="AU132" s="49"/>
      <c r="AV132" s="49"/>
      <c r="AW132" s="49"/>
      <c r="AX132" s="49"/>
      <c r="AY132" s="49"/>
      <c r="AZ132" s="49"/>
    </row>
    <row r="133" spans="1:52">
      <c r="B133" s="49"/>
      <c r="C133" s="49"/>
      <c r="D133" s="49"/>
      <c r="E133" s="49"/>
      <c r="F133" s="49"/>
      <c r="G133" s="49"/>
      <c r="H133" s="49"/>
      <c r="I133" s="49"/>
      <c r="J133" s="49"/>
      <c r="K133" s="49"/>
      <c r="L133" s="49"/>
      <c r="M133" s="49"/>
      <c r="N133" s="49"/>
      <c r="O133" s="49"/>
      <c r="P133" s="49"/>
      <c r="Q133" s="49"/>
      <c r="R133" s="49"/>
      <c r="S133" s="49"/>
      <c r="T133" s="49"/>
      <c r="U133" s="49"/>
      <c r="V133" s="49"/>
      <c r="W133" s="49"/>
      <c r="X133" s="49"/>
      <c r="Y133" s="49"/>
      <c r="Z133" s="49"/>
      <c r="AA133" s="49"/>
      <c r="AB133" s="49"/>
      <c r="AC133" s="49"/>
      <c r="AD133" s="49"/>
      <c r="AE133" s="49"/>
      <c r="AF133" s="49"/>
      <c r="AG133" s="49"/>
      <c r="AH133" s="49"/>
      <c r="AI133" s="49"/>
      <c r="AJ133" s="49"/>
      <c r="AK133" s="49"/>
      <c r="AL133" s="49"/>
      <c r="AM133" s="49"/>
      <c r="AN133" s="49"/>
      <c r="AO133" s="49"/>
      <c r="AP133" s="49"/>
      <c r="AQ133" s="49"/>
      <c r="AR133" s="49"/>
      <c r="AS133" s="49"/>
      <c r="AT133" s="49"/>
      <c r="AU133" s="49"/>
      <c r="AV133" s="49"/>
      <c r="AW133" s="49"/>
      <c r="AX133" s="49"/>
      <c r="AY133" s="49"/>
      <c r="AZ133" s="49"/>
    </row>
    <row r="134" spans="1:52" ht="17.100000000000001" customHeight="1">
      <c r="A134" s="49"/>
      <c r="B134" s="49"/>
      <c r="C134" s="49"/>
      <c r="D134" s="49"/>
      <c r="E134" s="49"/>
      <c r="F134" s="49"/>
      <c r="G134" s="49"/>
      <c r="H134" s="49"/>
      <c r="I134" s="49"/>
      <c r="J134" s="49"/>
      <c r="K134" s="49"/>
      <c r="L134" s="49"/>
      <c r="M134" s="49"/>
      <c r="N134" s="49"/>
      <c r="O134" s="49"/>
      <c r="P134" s="49"/>
      <c r="Q134" s="49"/>
      <c r="R134" s="49"/>
      <c r="S134" s="49"/>
      <c r="T134" s="49"/>
      <c r="U134" s="49"/>
      <c r="V134" s="49"/>
      <c r="W134" s="49"/>
      <c r="X134" s="49"/>
      <c r="Y134" s="49"/>
      <c r="Z134" s="49"/>
      <c r="AA134" s="49"/>
      <c r="AB134" s="49"/>
      <c r="AC134" s="49"/>
      <c r="AD134" s="49"/>
      <c r="AE134" s="49"/>
      <c r="AF134" s="49"/>
      <c r="AG134" s="49"/>
      <c r="AH134" s="49"/>
      <c r="AI134" s="49"/>
      <c r="AJ134" s="49"/>
      <c r="AK134" s="49"/>
      <c r="AL134" s="49"/>
      <c r="AM134" s="49"/>
      <c r="AN134" s="49"/>
      <c r="AO134" s="49"/>
      <c r="AP134" s="49"/>
      <c r="AQ134" s="49"/>
      <c r="AR134" s="49"/>
      <c r="AS134" s="49"/>
      <c r="AT134" s="49"/>
      <c r="AU134" s="49"/>
      <c r="AV134" s="49"/>
      <c r="AW134" s="49"/>
      <c r="AX134" s="49"/>
      <c r="AY134" s="49"/>
      <c r="AZ134" s="49"/>
    </row>
    <row r="135" spans="1:52">
      <c r="B135" s="49"/>
      <c r="C135" s="49"/>
      <c r="D135" s="49"/>
      <c r="E135" s="49"/>
      <c r="F135" s="49"/>
      <c r="G135" s="49"/>
      <c r="H135" s="49"/>
      <c r="I135" s="49"/>
      <c r="J135" s="49"/>
      <c r="K135" s="49"/>
      <c r="L135" s="49"/>
      <c r="M135" s="49"/>
      <c r="N135" s="49"/>
      <c r="O135" s="49"/>
      <c r="P135" s="49"/>
      <c r="Q135" s="49"/>
      <c r="R135" s="49"/>
      <c r="S135" s="49"/>
      <c r="T135" s="49"/>
      <c r="U135" s="49"/>
      <c r="V135" s="49"/>
      <c r="W135" s="49"/>
      <c r="X135" s="49"/>
      <c r="Y135" s="49"/>
      <c r="Z135" s="49"/>
      <c r="AA135" s="49"/>
      <c r="AB135" s="49"/>
      <c r="AC135" s="49"/>
      <c r="AD135" s="49"/>
      <c r="AE135" s="49"/>
      <c r="AF135" s="49"/>
      <c r="AG135" s="49"/>
      <c r="AH135" s="49"/>
      <c r="AI135" s="49"/>
      <c r="AJ135" s="49"/>
      <c r="AK135" s="49"/>
      <c r="AL135" s="49"/>
      <c r="AM135" s="49"/>
      <c r="AN135" s="49"/>
      <c r="AO135" s="49"/>
      <c r="AP135" s="49"/>
      <c r="AQ135" s="49"/>
      <c r="AR135" s="49"/>
      <c r="AS135" s="49"/>
      <c r="AT135" s="49"/>
      <c r="AU135" s="49"/>
      <c r="AV135" s="49"/>
      <c r="AW135" s="49"/>
      <c r="AX135" s="49"/>
      <c r="AY135" s="49"/>
      <c r="AZ135" s="49"/>
    </row>
    <row r="136" spans="1:52" ht="17.100000000000001" customHeight="1">
      <c r="A136" s="49"/>
      <c r="B136" s="49"/>
      <c r="C136" s="49"/>
      <c r="D136" s="49"/>
      <c r="E136" s="49"/>
      <c r="F136" s="49"/>
      <c r="G136" s="49"/>
      <c r="H136" s="49"/>
      <c r="I136" s="49"/>
      <c r="J136" s="49"/>
      <c r="K136" s="49"/>
      <c r="L136" s="49"/>
      <c r="M136" s="49"/>
      <c r="N136" s="49"/>
      <c r="O136" s="49"/>
      <c r="P136" s="49"/>
      <c r="Q136" s="49"/>
      <c r="R136" s="49"/>
      <c r="S136" s="49"/>
      <c r="T136" s="49"/>
      <c r="U136" s="49"/>
      <c r="V136" s="49"/>
      <c r="W136" s="49"/>
      <c r="X136" s="49"/>
      <c r="Y136" s="49"/>
      <c r="Z136" s="49"/>
      <c r="AA136" s="49"/>
      <c r="AB136" s="49"/>
      <c r="AC136" s="49"/>
      <c r="AD136" s="49"/>
      <c r="AE136" s="49"/>
      <c r="AF136" s="49"/>
      <c r="AG136" s="49"/>
      <c r="AH136" s="49"/>
      <c r="AI136" s="49"/>
      <c r="AJ136" s="49"/>
      <c r="AK136" s="49"/>
      <c r="AL136" s="49"/>
      <c r="AM136" s="49"/>
      <c r="AN136" s="49"/>
      <c r="AO136" s="49"/>
      <c r="AP136" s="49"/>
      <c r="AQ136" s="49"/>
      <c r="AR136" s="49"/>
      <c r="AS136" s="49"/>
      <c r="AT136" s="49"/>
      <c r="AU136" s="49"/>
      <c r="AV136" s="49"/>
      <c r="AW136" s="49"/>
      <c r="AX136" s="49"/>
      <c r="AY136" s="49"/>
      <c r="AZ136" s="49"/>
    </row>
    <row r="137" spans="1:52">
      <c r="B137" s="49"/>
      <c r="C137" s="49"/>
      <c r="D137" s="49"/>
      <c r="E137" s="49"/>
      <c r="F137" s="49"/>
      <c r="G137" s="49"/>
      <c r="H137" s="49"/>
      <c r="I137" s="49"/>
      <c r="J137" s="49"/>
      <c r="K137" s="49"/>
      <c r="L137" s="49"/>
      <c r="M137" s="49"/>
      <c r="N137" s="49"/>
      <c r="O137" s="49"/>
      <c r="P137" s="49"/>
      <c r="Q137" s="49"/>
      <c r="R137" s="49"/>
      <c r="S137" s="49"/>
      <c r="T137" s="49"/>
      <c r="U137" s="49"/>
      <c r="V137" s="49"/>
      <c r="W137" s="49"/>
      <c r="X137" s="49"/>
      <c r="Y137" s="49"/>
      <c r="Z137" s="49"/>
      <c r="AA137" s="49"/>
      <c r="AB137" s="49"/>
      <c r="AC137" s="49"/>
      <c r="AD137" s="49"/>
      <c r="AE137" s="49"/>
      <c r="AF137" s="49"/>
      <c r="AG137" s="49"/>
      <c r="AH137" s="49"/>
      <c r="AI137" s="49"/>
      <c r="AJ137" s="49"/>
      <c r="AK137" s="49"/>
      <c r="AL137" s="49"/>
      <c r="AM137" s="49"/>
      <c r="AN137" s="49"/>
      <c r="AO137" s="49"/>
      <c r="AP137" s="49"/>
      <c r="AQ137" s="49"/>
      <c r="AR137" s="49"/>
      <c r="AS137" s="49"/>
      <c r="AT137" s="49"/>
      <c r="AU137" s="49"/>
      <c r="AV137" s="49"/>
      <c r="AW137" s="49"/>
      <c r="AX137" s="49"/>
      <c r="AY137" s="49"/>
      <c r="AZ137" s="49"/>
    </row>
    <row r="138" spans="1:52" ht="17.100000000000001" customHeight="1">
      <c r="A138" s="49"/>
      <c r="B138" s="49"/>
      <c r="C138" s="49"/>
      <c r="D138" s="49"/>
      <c r="E138" s="49"/>
      <c r="F138" s="49"/>
      <c r="G138" s="49"/>
      <c r="H138" s="49"/>
      <c r="I138" s="49"/>
      <c r="J138" s="49"/>
      <c r="K138" s="49"/>
      <c r="L138" s="49"/>
      <c r="M138" s="49"/>
      <c r="N138" s="49"/>
      <c r="O138" s="49"/>
      <c r="P138" s="49"/>
      <c r="Q138" s="49"/>
      <c r="R138" s="49"/>
      <c r="S138" s="49"/>
      <c r="T138" s="49"/>
      <c r="U138" s="49"/>
      <c r="V138" s="49"/>
      <c r="W138" s="49"/>
      <c r="X138" s="49"/>
      <c r="Y138" s="49"/>
      <c r="Z138" s="49"/>
      <c r="AA138" s="49"/>
      <c r="AB138" s="49"/>
      <c r="AC138" s="49"/>
      <c r="AD138" s="49"/>
      <c r="AE138" s="49"/>
      <c r="AF138" s="49"/>
      <c r="AG138" s="49"/>
      <c r="AH138" s="49"/>
      <c r="AI138" s="49"/>
      <c r="AJ138" s="49"/>
      <c r="AK138" s="49"/>
      <c r="AL138" s="49"/>
      <c r="AM138" s="49"/>
      <c r="AN138" s="49"/>
      <c r="AO138" s="49"/>
      <c r="AP138" s="49"/>
      <c r="AQ138" s="49"/>
      <c r="AR138" s="49"/>
      <c r="AS138" s="49"/>
      <c r="AT138" s="49"/>
      <c r="AU138" s="49"/>
      <c r="AV138" s="49"/>
      <c r="AW138" s="49"/>
      <c r="AX138" s="49"/>
      <c r="AY138" s="49"/>
      <c r="AZ138" s="49"/>
    </row>
    <row r="139" spans="1:52">
      <c r="B139" s="49"/>
      <c r="C139" s="49"/>
      <c r="D139" s="49"/>
      <c r="E139" s="49"/>
      <c r="F139" s="49"/>
      <c r="G139" s="49"/>
      <c r="H139" s="49"/>
      <c r="I139" s="49"/>
      <c r="J139" s="49"/>
      <c r="K139" s="49"/>
      <c r="L139" s="49"/>
      <c r="M139" s="49"/>
      <c r="N139" s="49"/>
      <c r="O139" s="49"/>
      <c r="P139" s="49"/>
      <c r="Q139" s="49"/>
      <c r="R139" s="49"/>
      <c r="S139" s="49"/>
      <c r="T139" s="49"/>
      <c r="U139" s="49"/>
      <c r="V139" s="49"/>
      <c r="W139" s="49"/>
      <c r="X139" s="49"/>
      <c r="Y139" s="49"/>
      <c r="Z139" s="49"/>
      <c r="AA139" s="49"/>
      <c r="AB139" s="49"/>
      <c r="AC139" s="49"/>
      <c r="AD139" s="49"/>
      <c r="AE139" s="49"/>
      <c r="AF139" s="49"/>
      <c r="AG139" s="49"/>
      <c r="AH139" s="49"/>
      <c r="AI139" s="49"/>
      <c r="AJ139" s="49"/>
      <c r="AK139" s="49"/>
      <c r="AL139" s="49"/>
      <c r="AM139" s="49"/>
      <c r="AN139" s="49"/>
      <c r="AO139" s="49"/>
      <c r="AP139" s="49"/>
      <c r="AQ139" s="49"/>
      <c r="AR139" s="49"/>
      <c r="AS139" s="49"/>
      <c r="AT139" s="49"/>
      <c r="AU139" s="49"/>
      <c r="AV139" s="49"/>
      <c r="AW139" s="49"/>
      <c r="AX139" s="49"/>
      <c r="AY139" s="49"/>
      <c r="AZ139" s="49"/>
    </row>
    <row r="140" spans="1:52" ht="17.100000000000001" customHeight="1">
      <c r="A140" s="49"/>
      <c r="B140" s="49"/>
      <c r="C140" s="49"/>
      <c r="D140" s="49"/>
      <c r="E140" s="49"/>
      <c r="F140" s="49"/>
      <c r="G140" s="49"/>
      <c r="H140" s="49"/>
      <c r="I140" s="49"/>
      <c r="J140" s="49"/>
      <c r="K140" s="49"/>
      <c r="L140" s="49"/>
      <c r="M140" s="49"/>
      <c r="N140" s="49"/>
      <c r="O140" s="49"/>
      <c r="P140" s="49"/>
      <c r="Q140" s="49"/>
      <c r="R140" s="49"/>
      <c r="S140" s="49"/>
      <c r="T140" s="49"/>
      <c r="U140" s="49"/>
      <c r="V140" s="49"/>
      <c r="W140" s="49"/>
      <c r="X140" s="49"/>
      <c r="Y140" s="49"/>
      <c r="Z140" s="49"/>
      <c r="AA140" s="49"/>
      <c r="AB140" s="49"/>
      <c r="AC140" s="49"/>
      <c r="AD140" s="49"/>
      <c r="AE140" s="49"/>
      <c r="AF140" s="49"/>
      <c r="AG140" s="49"/>
      <c r="AH140" s="49"/>
      <c r="AI140" s="49"/>
      <c r="AJ140" s="49"/>
      <c r="AK140" s="49"/>
      <c r="AL140" s="49"/>
      <c r="AM140" s="49"/>
      <c r="AN140" s="49"/>
      <c r="AO140" s="49"/>
      <c r="AP140" s="49"/>
      <c r="AQ140" s="49"/>
      <c r="AR140" s="49"/>
      <c r="AS140" s="49"/>
      <c r="AT140" s="49"/>
      <c r="AU140" s="49"/>
      <c r="AV140" s="49"/>
      <c r="AW140" s="49"/>
      <c r="AX140" s="49"/>
      <c r="AY140" s="49"/>
      <c r="AZ140" s="49"/>
    </row>
  </sheetData>
  <sheetProtection algorithmName="SHA-512" hashValue="ROTd8ePkzfPmB4+VijsYcgSZIhteWCBczxBhrd2j2/Qi+/onDV9/Mv9da/6Y7DkUebgCRvhL4oljkf16ESJrqg==" saltValue="gCpQWIwO2sap8EPPb6AdFQ==" spinCount="100000" sheet="1" objects="1" scenarios="1"/>
  <phoneticPr fontId="2" type="noConversion"/>
  <pageMargins left="0.7" right="0.7" top="0.75" bottom="0.75" header="0.3" footer="0.3"/>
  <pageSetup paperSize="9" orientation="portrait" horizontalDpi="4294967293"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4434-6524-4BAA-9048-C8B5A9AAE113}">
  <sheetPr codeName="Sheet4">
    <tabColor rgb="FF0070C0"/>
  </sheetPr>
  <dimension ref="A1:T91"/>
  <sheetViews>
    <sheetView workbookViewId="0">
      <selection activeCell="J61" sqref="J61"/>
    </sheetView>
  </sheetViews>
  <sheetFormatPr defaultColWidth="8.86328125" defaultRowHeight="14.25"/>
  <cols>
    <col min="1" max="1" width="2.3984375" customWidth="1"/>
    <col min="2" max="2" width="36" customWidth="1"/>
    <col min="3" max="3" width="51.86328125" customWidth="1"/>
    <col min="4" max="5" width="12.86328125" customWidth="1"/>
    <col min="6" max="6" width="19.3984375" customWidth="1"/>
  </cols>
  <sheetData>
    <row r="1" spans="1:20" ht="50.1" customHeight="1">
      <c r="A1" s="83"/>
      <c r="B1" s="63" t="s">
        <v>808</v>
      </c>
      <c r="C1" s="16"/>
      <c r="D1" s="16"/>
      <c r="E1" s="16"/>
      <c r="F1" s="16"/>
      <c r="G1" s="16"/>
      <c r="H1" s="16"/>
      <c r="I1" s="16"/>
      <c r="J1" s="16"/>
      <c r="K1" s="16"/>
      <c r="L1" s="16"/>
      <c r="M1" s="16"/>
      <c r="N1" s="16"/>
      <c r="O1" s="16"/>
      <c r="P1" s="16"/>
      <c r="Q1" s="84"/>
      <c r="R1" s="84"/>
      <c r="S1" s="84"/>
      <c r="T1" s="84"/>
    </row>
    <row r="2" spans="1:20" ht="15.95" hidden="1" customHeight="1">
      <c r="A2" s="83"/>
      <c r="B2" s="30"/>
      <c r="C2" s="21"/>
      <c r="D2" s="21"/>
      <c r="E2" s="21"/>
      <c r="F2" s="21"/>
      <c r="G2" s="21"/>
      <c r="H2" s="21"/>
      <c r="I2" s="21"/>
      <c r="J2" s="21"/>
      <c r="K2" s="21"/>
      <c r="L2" s="21"/>
      <c r="M2" s="21"/>
      <c r="N2" s="21"/>
      <c r="O2" s="21"/>
      <c r="P2" s="21"/>
      <c r="Q2" s="85"/>
      <c r="R2" s="85"/>
      <c r="S2" s="85"/>
      <c r="T2" s="85"/>
    </row>
    <row r="3" spans="1:20" ht="15.95" hidden="1" customHeight="1">
      <c r="A3" s="83"/>
      <c r="B3" s="30"/>
      <c r="C3" s="21"/>
      <c r="D3" s="21"/>
      <c r="E3" s="21"/>
      <c r="F3" s="21"/>
      <c r="G3" s="21"/>
      <c r="H3" s="21"/>
      <c r="I3" s="21"/>
      <c r="J3" s="21"/>
      <c r="K3" s="21"/>
      <c r="L3" s="21"/>
      <c r="M3" s="16"/>
      <c r="N3" s="16"/>
      <c r="O3" s="16"/>
      <c r="P3" s="16"/>
      <c r="Q3" s="85"/>
      <c r="R3" s="85"/>
      <c r="S3" s="85"/>
      <c r="T3" s="85"/>
    </row>
    <row r="4" spans="1:20" ht="15.95" hidden="1" customHeight="1">
      <c r="A4" s="83"/>
      <c r="B4" s="16"/>
      <c r="C4" s="16"/>
      <c r="D4" s="16"/>
      <c r="E4" s="16"/>
      <c r="F4" s="16"/>
      <c r="G4" s="16"/>
      <c r="H4" s="16"/>
      <c r="I4" s="16"/>
      <c r="J4" s="16"/>
      <c r="K4" s="16"/>
      <c r="L4" s="16"/>
      <c r="M4" s="16"/>
      <c r="N4" s="16"/>
      <c r="O4" s="16"/>
      <c r="P4" s="16"/>
      <c r="Q4" s="84"/>
      <c r="R4" s="84"/>
      <c r="S4" s="84"/>
      <c r="T4" s="84"/>
    </row>
    <row r="5" spans="1:20" ht="15.95" hidden="1" customHeight="1">
      <c r="A5" s="83"/>
      <c r="B5" s="16"/>
      <c r="C5" s="16"/>
      <c r="D5" s="16"/>
      <c r="E5" s="16"/>
      <c r="F5" s="16"/>
      <c r="G5" s="16"/>
      <c r="H5" s="16"/>
      <c r="I5" s="16"/>
      <c r="J5" s="16"/>
      <c r="K5" s="16"/>
      <c r="L5" s="16"/>
      <c r="M5" s="16"/>
      <c r="N5" s="16"/>
      <c r="O5" s="16"/>
      <c r="P5" s="16"/>
      <c r="Q5" s="84"/>
      <c r="R5" s="84"/>
      <c r="S5" s="84"/>
      <c r="T5" s="84"/>
    </row>
    <row r="6" spans="1:20" ht="15.95" hidden="1" customHeight="1">
      <c r="A6" s="83"/>
      <c r="B6" s="16"/>
      <c r="C6" s="16"/>
      <c r="D6" s="16"/>
      <c r="E6" s="16"/>
      <c r="F6" s="16"/>
      <c r="G6" s="16"/>
      <c r="H6" s="16"/>
      <c r="I6" s="16"/>
      <c r="J6" s="16"/>
      <c r="K6" s="16"/>
      <c r="L6" s="16"/>
      <c r="M6" s="16"/>
      <c r="N6" s="16"/>
      <c r="O6" s="16"/>
      <c r="P6" s="16"/>
      <c r="Q6" s="84"/>
      <c r="R6" s="84"/>
      <c r="S6" s="84"/>
      <c r="T6" s="84"/>
    </row>
    <row r="7" spans="1:20" ht="15.95" hidden="1" customHeight="1">
      <c r="A7" s="83"/>
      <c r="B7" s="16"/>
      <c r="C7" s="16"/>
      <c r="D7" s="16"/>
      <c r="E7" s="16"/>
      <c r="F7" s="16"/>
      <c r="G7" s="16"/>
      <c r="H7" s="16"/>
      <c r="I7" s="16"/>
      <c r="J7" s="16"/>
      <c r="K7" s="16"/>
      <c r="L7" s="16"/>
      <c r="M7" s="16"/>
      <c r="N7" s="16"/>
      <c r="O7" s="16"/>
      <c r="P7" s="16"/>
      <c r="Q7" s="84"/>
      <c r="R7" s="84"/>
      <c r="S7" s="84"/>
      <c r="T7" s="84"/>
    </row>
    <row r="8" spans="1:20" ht="15.95" hidden="1" customHeight="1">
      <c r="A8" s="83"/>
      <c r="B8" s="16"/>
      <c r="C8" s="22"/>
      <c r="D8" s="16"/>
      <c r="E8" s="16"/>
      <c r="F8" s="16"/>
      <c r="G8" s="16"/>
      <c r="H8" s="16"/>
      <c r="I8" s="16"/>
      <c r="J8" s="16"/>
      <c r="K8" s="16"/>
      <c r="L8" s="16"/>
      <c r="M8" s="16"/>
      <c r="N8" s="16"/>
      <c r="O8" s="16"/>
      <c r="P8" s="16"/>
      <c r="Q8" s="84"/>
      <c r="R8" s="84"/>
      <c r="S8" s="84"/>
      <c r="T8" s="84"/>
    </row>
    <row r="9" spans="1:20" ht="15.95" hidden="1" customHeight="1">
      <c r="A9" s="83"/>
      <c r="B9" s="16"/>
      <c r="C9" s="86"/>
      <c r="D9" s="16"/>
      <c r="E9" s="16"/>
      <c r="F9" s="16"/>
      <c r="G9" s="16"/>
      <c r="H9" s="16"/>
      <c r="I9" s="16"/>
      <c r="J9" s="16"/>
      <c r="K9" s="16"/>
      <c r="L9" s="16"/>
      <c r="M9" s="16"/>
      <c r="N9" s="16"/>
      <c r="O9" s="16"/>
      <c r="P9" s="16"/>
      <c r="Q9" s="84"/>
      <c r="R9" s="84"/>
      <c r="S9" s="84"/>
      <c r="T9" s="84"/>
    </row>
    <row r="10" spans="1:20" ht="15.95" hidden="1" customHeight="1">
      <c r="A10" s="83"/>
      <c r="B10" s="16"/>
      <c r="C10" s="16"/>
      <c r="D10" s="16"/>
      <c r="E10" s="16"/>
      <c r="F10" s="16"/>
      <c r="G10" s="16"/>
      <c r="H10" s="16"/>
      <c r="I10" s="16"/>
      <c r="J10" s="16"/>
      <c r="K10" s="16"/>
      <c r="L10" s="16"/>
      <c r="M10" s="16"/>
      <c r="N10" s="16"/>
      <c r="O10" s="16"/>
      <c r="P10" s="16"/>
      <c r="Q10" s="84"/>
      <c r="R10" s="84"/>
      <c r="S10" s="84"/>
      <c r="T10" s="84"/>
    </row>
    <row r="11" spans="1:20" ht="54" hidden="1" customHeight="1">
      <c r="A11" s="83"/>
      <c r="B11" s="16"/>
      <c r="C11" s="16"/>
      <c r="D11" s="16"/>
      <c r="E11" s="16"/>
      <c r="F11" s="16"/>
      <c r="G11" s="16"/>
      <c r="H11" s="16"/>
      <c r="I11" s="16"/>
      <c r="J11" s="16"/>
      <c r="K11" s="16"/>
      <c r="L11" s="16"/>
      <c r="M11" s="16"/>
      <c r="N11" s="16"/>
      <c r="O11" s="16"/>
      <c r="P11" s="16"/>
      <c r="Q11" s="84"/>
      <c r="R11" s="84"/>
      <c r="S11" s="84"/>
      <c r="T11" s="84"/>
    </row>
    <row r="12" spans="1:20" ht="18" hidden="1" customHeight="1">
      <c r="A12" s="83"/>
      <c r="B12" s="87"/>
      <c r="C12" s="87"/>
      <c r="D12" s="87"/>
      <c r="E12" s="87"/>
      <c r="F12" s="87"/>
      <c r="G12" s="87"/>
      <c r="H12" s="87"/>
      <c r="I12" s="87"/>
      <c r="J12" s="87"/>
      <c r="K12" s="87"/>
      <c r="L12" s="87"/>
      <c r="M12" s="16"/>
      <c r="N12" s="16"/>
      <c r="O12" s="16"/>
      <c r="P12" s="16"/>
      <c r="Q12" s="88"/>
      <c r="R12" s="88"/>
      <c r="S12" s="88"/>
      <c r="T12" s="89"/>
    </row>
    <row r="13" spans="1:20" ht="17.100000000000001" customHeight="1">
      <c r="A13" s="83"/>
      <c r="B13" s="90" t="s">
        <v>760</v>
      </c>
      <c r="C13" s="90"/>
      <c r="D13" s="90"/>
      <c r="E13" s="90"/>
      <c r="F13" s="90"/>
      <c r="G13" s="83"/>
      <c r="H13" s="83"/>
      <c r="I13" s="83"/>
      <c r="J13" s="83"/>
      <c r="K13" s="91"/>
      <c r="L13" s="92"/>
      <c r="M13" s="16"/>
      <c r="N13" s="16"/>
      <c r="O13" s="16"/>
      <c r="P13" s="16"/>
      <c r="Q13" s="93"/>
      <c r="R13" s="93"/>
      <c r="S13" s="93"/>
      <c r="T13" s="93"/>
    </row>
    <row r="14" spans="1:20" ht="17.100000000000001" customHeight="1">
      <c r="A14" s="83"/>
      <c r="B14" s="225"/>
      <c r="C14" s="226" t="s">
        <v>5</v>
      </c>
      <c r="D14" s="226" t="s">
        <v>759</v>
      </c>
      <c r="E14" s="226" t="s">
        <v>370</v>
      </c>
      <c r="F14" s="226" t="s">
        <v>6</v>
      </c>
      <c r="G14" s="83"/>
      <c r="H14" s="83"/>
      <c r="I14" s="83"/>
      <c r="J14" s="83"/>
      <c r="K14" s="94"/>
      <c r="L14" s="95"/>
      <c r="M14" s="16"/>
      <c r="N14" s="16"/>
      <c r="O14" s="16"/>
      <c r="P14" s="16"/>
      <c r="Q14" s="96"/>
      <c r="R14" s="96"/>
      <c r="S14" s="96"/>
      <c r="T14" s="96"/>
    </row>
    <row r="15" spans="1:20" ht="17.100000000000001" customHeight="1">
      <c r="A15" s="83"/>
      <c r="B15" s="227" t="s">
        <v>274</v>
      </c>
      <c r="C15" s="228" t="s">
        <v>770</v>
      </c>
      <c r="D15" s="229">
        <v>81.018000000000001</v>
      </c>
      <c r="E15" s="229">
        <v>70.998999999999995</v>
      </c>
      <c r="F15" s="230" t="s">
        <v>762</v>
      </c>
      <c r="G15" s="83"/>
      <c r="H15" s="83"/>
      <c r="I15" s="83"/>
      <c r="J15" s="83"/>
      <c r="K15" s="94"/>
      <c r="L15" s="95"/>
      <c r="M15" s="16"/>
      <c r="N15" s="16"/>
      <c r="O15" s="16"/>
      <c r="P15" s="16"/>
      <c r="Q15" s="83"/>
      <c r="R15" s="83"/>
      <c r="S15" s="83"/>
      <c r="T15" s="83"/>
    </row>
    <row r="16" spans="1:20" ht="17.100000000000001" customHeight="1">
      <c r="A16" s="83"/>
      <c r="C16" s="97" t="s">
        <v>771</v>
      </c>
      <c r="D16" s="198">
        <v>20.786999999999999</v>
      </c>
      <c r="E16" s="198">
        <v>25.516400000000001</v>
      </c>
      <c r="F16" s="222" t="s">
        <v>762</v>
      </c>
      <c r="G16" s="83"/>
      <c r="H16" s="83"/>
      <c r="I16" s="83"/>
      <c r="J16" s="83"/>
      <c r="K16" s="94"/>
      <c r="L16" s="95"/>
      <c r="M16" s="16"/>
      <c r="N16" s="16"/>
      <c r="O16" s="16"/>
      <c r="P16" s="16"/>
      <c r="Q16" s="83"/>
      <c r="R16" s="83"/>
      <c r="S16" s="83"/>
      <c r="T16" s="83"/>
    </row>
    <row r="17" spans="1:20" ht="17.100000000000001" customHeight="1">
      <c r="A17" s="83"/>
      <c r="B17" s="98"/>
      <c r="C17" s="97" t="s">
        <v>772</v>
      </c>
      <c r="D17" s="198">
        <v>1.8220000000000001</v>
      </c>
      <c r="E17" s="198">
        <v>1.6913</v>
      </c>
      <c r="F17" s="222" t="s">
        <v>763</v>
      </c>
      <c r="G17" s="83"/>
      <c r="H17" s="83"/>
      <c r="I17" s="83"/>
      <c r="J17" s="83"/>
      <c r="K17" s="94"/>
      <c r="L17" s="95"/>
      <c r="M17" s="16"/>
      <c r="N17" s="16"/>
      <c r="O17" s="16"/>
      <c r="P17" s="16"/>
      <c r="Q17" s="83"/>
      <c r="R17" s="83"/>
      <c r="S17" s="83"/>
      <c r="T17" s="83"/>
    </row>
    <row r="18" spans="1:20" ht="17.100000000000001" customHeight="1">
      <c r="A18" s="83"/>
      <c r="B18" s="231"/>
      <c r="C18" s="221" t="s">
        <v>773</v>
      </c>
      <c r="D18" s="232">
        <v>24.404</v>
      </c>
      <c r="E18" s="232">
        <v>24.818999999999999</v>
      </c>
      <c r="F18" s="222" t="s">
        <v>761</v>
      </c>
      <c r="G18" s="83"/>
      <c r="H18" s="83"/>
      <c r="I18" s="83"/>
      <c r="J18" s="83"/>
      <c r="K18" s="94"/>
      <c r="L18" s="95"/>
      <c r="M18" s="16"/>
      <c r="N18" s="16"/>
      <c r="O18" s="16"/>
      <c r="P18" s="16"/>
      <c r="Q18" s="83"/>
      <c r="R18" s="83"/>
      <c r="S18" s="83"/>
      <c r="T18" s="83"/>
    </row>
    <row r="19" spans="1:20" ht="17.100000000000001" customHeight="1">
      <c r="A19" s="83"/>
      <c r="B19" s="227" t="s">
        <v>774</v>
      </c>
      <c r="C19" s="228" t="s">
        <v>766</v>
      </c>
      <c r="D19" s="233">
        <v>15.7</v>
      </c>
      <c r="E19" s="233">
        <v>15.7</v>
      </c>
      <c r="F19" s="234" t="s">
        <v>764</v>
      </c>
      <c r="G19" s="83"/>
      <c r="H19" s="83"/>
      <c r="I19" s="83"/>
      <c r="J19" s="83"/>
      <c r="K19" s="94"/>
      <c r="L19" s="95"/>
      <c r="M19" s="16"/>
      <c r="N19" s="16"/>
      <c r="O19" s="16"/>
      <c r="P19" s="16"/>
      <c r="Q19" s="83"/>
      <c r="R19" s="83"/>
      <c r="S19" s="83"/>
      <c r="T19" s="83"/>
    </row>
    <row r="20" spans="1:20" ht="17.100000000000001" customHeight="1">
      <c r="A20" s="83"/>
      <c r="B20" s="98"/>
      <c r="C20" s="97" t="s">
        <v>767</v>
      </c>
      <c r="D20" s="50">
        <v>1E-3</v>
      </c>
      <c r="E20" s="50">
        <v>1E-3</v>
      </c>
      <c r="F20" s="100" t="s">
        <v>764</v>
      </c>
      <c r="G20" s="83"/>
      <c r="H20" s="83"/>
      <c r="I20" s="83"/>
      <c r="J20" s="83"/>
      <c r="K20" s="94"/>
      <c r="L20" s="95"/>
      <c r="M20" s="16"/>
      <c r="N20" s="16"/>
      <c r="O20" s="16"/>
      <c r="P20" s="16"/>
      <c r="Q20" s="83"/>
      <c r="R20" s="83"/>
      <c r="S20" s="83"/>
      <c r="T20" s="83"/>
    </row>
    <row r="21" spans="1:20" ht="17.100000000000001" customHeight="1">
      <c r="A21" s="83"/>
      <c r="B21" s="98"/>
      <c r="C21" s="97" t="s">
        <v>768</v>
      </c>
      <c r="D21" s="51">
        <v>2E-8</v>
      </c>
      <c r="E21" s="51">
        <v>2E-8</v>
      </c>
      <c r="F21" s="100" t="s">
        <v>764</v>
      </c>
      <c r="G21" s="83"/>
      <c r="H21" s="83"/>
      <c r="I21" s="83"/>
      <c r="J21" s="83"/>
      <c r="K21" s="94"/>
      <c r="L21" s="95"/>
      <c r="M21" s="16"/>
      <c r="N21" s="16"/>
      <c r="O21" s="16"/>
      <c r="P21" s="16"/>
      <c r="Q21" s="83"/>
      <c r="R21" s="83"/>
      <c r="S21" s="83"/>
      <c r="T21" s="83"/>
    </row>
    <row r="22" spans="1:20" ht="17.100000000000001" customHeight="1">
      <c r="A22" s="83"/>
      <c r="B22" s="231"/>
      <c r="C22" s="221" t="s">
        <v>769</v>
      </c>
      <c r="D22" s="50">
        <v>20</v>
      </c>
      <c r="E22" s="50">
        <v>20</v>
      </c>
      <c r="F22" s="235" t="s">
        <v>765</v>
      </c>
      <c r="G22" s="83"/>
      <c r="H22" s="83"/>
      <c r="I22" s="83"/>
      <c r="J22" s="83"/>
      <c r="K22" s="94"/>
      <c r="L22" s="95"/>
      <c r="M22" s="16"/>
      <c r="N22" s="16"/>
      <c r="O22" s="16"/>
      <c r="P22" s="16"/>
      <c r="Q22" s="83"/>
      <c r="R22" s="83"/>
      <c r="S22" s="83"/>
      <c r="T22" s="83"/>
    </row>
    <row r="23" spans="1:20" ht="17.100000000000001" customHeight="1">
      <c r="A23" s="83"/>
      <c r="B23" s="236"/>
      <c r="C23" s="228" t="str">
        <f>"Ingestion rate of food "&amp;ROW($C23)-ROW($C$22)&amp;": "&amp;IF(ISBLANK(Input_Foodweb!B11),"Not defined",Input_Foodweb!B11)</f>
        <v>Ingestion rate of food 1: Zooplankton</v>
      </c>
      <c r="D23" s="237">
        <v>0</v>
      </c>
      <c r="E23" s="237">
        <v>0</v>
      </c>
      <c r="F23" s="234" t="s">
        <v>764</v>
      </c>
      <c r="G23" s="83"/>
      <c r="H23" s="83"/>
      <c r="I23" s="83"/>
      <c r="J23" s="83"/>
      <c r="K23" s="94"/>
      <c r="L23" s="95"/>
      <c r="M23" s="16"/>
      <c r="N23" s="16"/>
      <c r="O23" s="16"/>
      <c r="P23" s="16"/>
      <c r="Q23" s="83"/>
      <c r="R23" s="83"/>
      <c r="S23" s="83"/>
      <c r="T23" s="83"/>
    </row>
    <row r="24" spans="1:20" ht="17.100000000000001" customHeight="1">
      <c r="A24" s="83"/>
      <c r="B24" s="98"/>
      <c r="C24" s="97" t="str">
        <f>"Ingestion rate of food "&amp;ROW($C24)-ROW($C$22)&amp;": "&amp;IF(ISBLANK(Input_Foodweb!B12),"Not defined",Input_Foodweb!B12)</f>
        <v>Ingestion rate of food 2: Planktivorous fish</v>
      </c>
      <c r="D24" s="51">
        <v>1.4883750000000003E-5</v>
      </c>
      <c r="E24" s="51">
        <v>1.2544875000000001E-5</v>
      </c>
      <c r="F24" s="100" t="s">
        <v>764</v>
      </c>
      <c r="G24" s="83"/>
      <c r="H24" s="83"/>
      <c r="I24" s="83"/>
      <c r="J24" s="83"/>
      <c r="K24" s="94"/>
      <c r="L24" s="95"/>
      <c r="M24" s="16"/>
      <c r="N24" s="16"/>
      <c r="O24" s="16"/>
      <c r="P24" s="16"/>
      <c r="Q24" s="83"/>
      <c r="R24" s="83"/>
      <c r="S24" s="83"/>
      <c r="T24" s="83"/>
    </row>
    <row r="25" spans="1:20" ht="17.100000000000001" customHeight="1">
      <c r="A25" s="83"/>
      <c r="B25" s="98"/>
      <c r="C25" s="97" t="str">
        <f>"Ingestion rate of food "&amp;ROW($C25)-ROW($C$22)&amp;": "&amp;IF(ISBLANK(Input_Foodweb!B13),"Not defined",Input_Foodweb!B13)</f>
        <v>Ingestion rate of food 3: Piscivorous fish</v>
      </c>
      <c r="D25" s="51">
        <v>4.961250000000001E-6</v>
      </c>
      <c r="E25" s="51">
        <v>4.181625E-6</v>
      </c>
      <c r="F25" s="100" t="s">
        <v>764</v>
      </c>
      <c r="G25" s="83"/>
      <c r="H25" s="83"/>
      <c r="I25" s="83"/>
      <c r="J25" s="83"/>
      <c r="K25" s="94"/>
      <c r="L25" s="95"/>
      <c r="M25" s="16"/>
      <c r="N25" s="16"/>
      <c r="O25" s="16"/>
      <c r="P25" s="16"/>
      <c r="Q25" s="83"/>
      <c r="R25" s="83"/>
      <c r="S25" s="83"/>
      <c r="T25" s="83"/>
    </row>
    <row r="26" spans="1:20" ht="17.100000000000001" customHeight="1">
      <c r="A26" s="83"/>
      <c r="B26" s="98"/>
      <c r="C26" s="97" t="str">
        <f>"Ingestion rate of food "&amp;ROW($C26)-ROW($C$22)&amp;": "&amp;IF(ISBLANK(Input_Foodweb!B14),"Not defined",Input_Foodweb!B14)</f>
        <v>Ingestion rate of food 4: Plant foliage and leafy vegetables</v>
      </c>
      <c r="D26" s="51">
        <v>3.3434025E-4</v>
      </c>
      <c r="E26" s="51">
        <v>3.0115949999999996E-4</v>
      </c>
      <c r="F26" s="100" t="s">
        <v>764</v>
      </c>
      <c r="G26" s="83"/>
      <c r="H26" s="83"/>
      <c r="I26" s="83"/>
      <c r="J26" s="83"/>
      <c r="K26" s="94"/>
      <c r="L26" s="95"/>
      <c r="M26" s="16"/>
      <c r="N26" s="16"/>
      <c r="O26" s="16"/>
      <c r="P26" s="16"/>
      <c r="Q26" s="83"/>
      <c r="R26" s="83"/>
      <c r="S26" s="83"/>
      <c r="T26" s="83"/>
    </row>
    <row r="27" spans="1:20" ht="17.100000000000001" customHeight="1">
      <c r="A27" s="83"/>
      <c r="B27" s="98"/>
      <c r="C27" s="97" t="str">
        <f>"Ingestion rate of food "&amp;ROW($C27)-ROW($C$22)&amp;": "&amp;IF(ISBLANK(Input_Foodweb!B15),"Not defined",Input_Foodweb!B15)</f>
        <v>Ingestion rate of food 5: Plant root and root vegetables</v>
      </c>
      <c r="D27" s="51">
        <v>4.5033300000000001E-5</v>
      </c>
      <c r="E27" s="51">
        <v>4.8727800000000005E-5</v>
      </c>
      <c r="F27" s="100" t="s">
        <v>764</v>
      </c>
      <c r="G27" s="83"/>
      <c r="H27" s="83"/>
      <c r="I27" s="83"/>
      <c r="J27" s="83"/>
      <c r="K27" s="94"/>
      <c r="L27" s="95"/>
      <c r="M27" s="16"/>
      <c r="N27" s="16"/>
      <c r="O27" s="16"/>
      <c r="P27" s="16"/>
      <c r="Q27" s="83"/>
      <c r="R27" s="83"/>
      <c r="S27" s="83"/>
      <c r="T27" s="83"/>
    </row>
    <row r="28" spans="1:20" ht="17.100000000000001" customHeight="1">
      <c r="A28" s="83"/>
      <c r="B28" s="98"/>
      <c r="C28" s="97" t="str">
        <f>"Ingestion rate of food "&amp;ROW($C28)-ROW($C$22)&amp;": "&amp;IF(ISBLANK(Input_Foodweb!B16),"Not defined",Input_Foodweb!B16)</f>
        <v>Ingestion rate of food 6: Invertebrate/earthworm</v>
      </c>
      <c r="D28" s="51">
        <v>0</v>
      </c>
      <c r="E28" s="51">
        <v>0</v>
      </c>
      <c r="F28" s="100" t="s">
        <v>764</v>
      </c>
      <c r="G28" s="83"/>
      <c r="H28" s="83"/>
      <c r="I28" s="83"/>
      <c r="J28" s="83"/>
      <c r="K28" s="94"/>
      <c r="L28" s="95"/>
      <c r="M28" s="16"/>
      <c r="N28" s="16"/>
      <c r="O28" s="16"/>
      <c r="P28" s="16"/>
      <c r="Q28" s="83"/>
      <c r="R28" s="83"/>
      <c r="S28" s="83"/>
      <c r="T28" s="83"/>
    </row>
    <row r="29" spans="1:20" ht="17.100000000000001" customHeight="1">
      <c r="A29" s="83"/>
      <c r="B29" s="98"/>
      <c r="C29" s="97" t="str">
        <f>"Ingestion rate of food "&amp;ROW($C29)-ROW($C$22)&amp;": "&amp;IF(ISBLANK(Input_Foodweb!B17),"Not defined",Input_Foodweb!B17)</f>
        <v>Ingestion rate of food 7: Beef cattle</v>
      </c>
      <c r="D29" s="51">
        <v>4.6579049999999992E-5</v>
      </c>
      <c r="E29" s="51">
        <v>2.7346410000000007E-5</v>
      </c>
      <c r="F29" s="100" t="s">
        <v>764</v>
      </c>
      <c r="G29" s="83"/>
      <c r="H29" s="83"/>
      <c r="I29" s="83"/>
      <c r="J29" s="83"/>
      <c r="K29" s="94"/>
      <c r="L29" s="95"/>
      <c r="M29" s="16"/>
      <c r="N29" s="16"/>
      <c r="O29" s="16"/>
      <c r="P29" s="16"/>
      <c r="Q29" s="83"/>
      <c r="R29" s="83"/>
      <c r="S29" s="83"/>
      <c r="T29" s="83"/>
    </row>
    <row r="30" spans="1:20" ht="17.100000000000001" customHeight="1">
      <c r="A30" s="83"/>
      <c r="B30" s="98"/>
      <c r="C30" s="97" t="str">
        <f>"Ingestion rate of food "&amp;ROW($C30)-ROW($C$22)&amp;": "&amp;IF(ISBLANK(Input_Foodweb!B18),"Not defined",Input_Foodweb!B18)</f>
        <v>Ingestion rate of food 8: Dairy cattle</v>
      </c>
      <c r="D30" s="51">
        <v>1.5190000000000001E-4</v>
      </c>
      <c r="E30" s="51">
        <v>1.2984999999999998E-4</v>
      </c>
      <c r="F30" s="100" t="s">
        <v>764</v>
      </c>
      <c r="G30" s="83"/>
      <c r="H30" s="83"/>
      <c r="I30" s="83"/>
      <c r="J30" s="83"/>
      <c r="K30" s="94"/>
      <c r="L30" s="95"/>
      <c r="M30" s="16"/>
      <c r="N30" s="16"/>
      <c r="O30" s="16"/>
      <c r="P30" s="16"/>
      <c r="Q30" s="83"/>
      <c r="R30" s="83"/>
      <c r="S30" s="83"/>
      <c r="T30" s="83"/>
    </row>
    <row r="31" spans="1:20" ht="17.100000000000001" customHeight="1">
      <c r="A31" s="83"/>
      <c r="B31" s="98"/>
      <c r="C31" s="97" t="str">
        <f>"Ingestion rate of food "&amp;ROW($C31)-ROW($C$22)&amp;": "&amp;IF(ISBLANK(Input_Foodweb!B19),"Not defined",Input_Foodweb!B19)</f>
        <v>Ingestion rate of food 9: Broiler poultry</v>
      </c>
      <c r="D31" s="51">
        <v>7.6261500000000002E-5</v>
      </c>
      <c r="E31" s="51">
        <v>4.84785E-5</v>
      </c>
      <c r="F31" s="100" t="s">
        <v>764</v>
      </c>
      <c r="G31" s="83"/>
      <c r="H31" s="83"/>
      <c r="I31" s="83"/>
      <c r="J31" s="83"/>
      <c r="K31" s="94"/>
      <c r="L31" s="95"/>
      <c r="M31" s="16"/>
      <c r="N31" s="16"/>
      <c r="O31" s="16"/>
      <c r="P31" s="16"/>
      <c r="Q31" s="83"/>
      <c r="R31" s="83"/>
      <c r="S31" s="83"/>
      <c r="T31" s="83"/>
    </row>
    <row r="32" spans="1:20" ht="17.100000000000001" customHeight="1">
      <c r="A32" s="83"/>
      <c r="B32" s="98"/>
      <c r="C32" s="97" t="str">
        <f>"Ingestion rate of food "&amp;ROW($C32)-ROW($C$22)&amp;": "&amp;IF(ISBLANK(Input_Foodweb!B20),"Not defined",Input_Foodweb!B20)</f>
        <v>Ingestion rate of food 10: Egg-laying poultry</v>
      </c>
      <c r="D32" s="51">
        <v>3.4999999999999997E-5</v>
      </c>
      <c r="E32" s="51">
        <v>3.15E-5</v>
      </c>
      <c r="F32" s="100" t="s">
        <v>764</v>
      </c>
      <c r="G32" s="83"/>
      <c r="H32" s="83"/>
      <c r="I32" s="83"/>
      <c r="J32" s="83"/>
      <c r="K32" s="94"/>
      <c r="L32" s="95"/>
      <c r="M32" s="16"/>
      <c r="N32" s="16"/>
      <c r="O32" s="16"/>
      <c r="P32" s="16"/>
      <c r="Q32" s="83"/>
      <c r="R32" s="83"/>
      <c r="S32" s="83"/>
      <c r="T32" s="83"/>
    </row>
    <row r="33" spans="1:20" ht="17.100000000000001" customHeight="1">
      <c r="A33" s="83"/>
      <c r="B33" s="98"/>
      <c r="C33" s="97" t="str">
        <f>"Ingestion rate of food "&amp;ROW($C33)-ROW($C$22)&amp;": "&amp;IF(ISBLANK(Input_Foodweb!B21),"Not defined",Input_Foodweb!B21)</f>
        <v>Ingestion rate of food 11: Swine</v>
      </c>
      <c r="D33" s="51">
        <v>4.1305949999999997E-5</v>
      </c>
      <c r="E33" s="51">
        <v>2.4250590000000004E-5</v>
      </c>
      <c r="F33" s="100" t="s">
        <v>764</v>
      </c>
      <c r="G33" s="83"/>
      <c r="H33" s="83"/>
      <c r="I33" s="83"/>
      <c r="J33" s="83"/>
      <c r="K33" s="94"/>
      <c r="L33" s="95"/>
      <c r="M33" s="16"/>
      <c r="N33" s="16"/>
      <c r="O33" s="16"/>
      <c r="P33" s="16"/>
      <c r="Q33" s="83"/>
      <c r="R33" s="83"/>
      <c r="S33" s="83"/>
      <c r="T33" s="83"/>
    </row>
    <row r="34" spans="1:20" ht="17.100000000000001" customHeight="1">
      <c r="A34" s="83"/>
      <c r="B34" s="98"/>
      <c r="C34" s="97" t="str">
        <f>"Ingestion rate of food "&amp;ROW($C34)-ROW($C$22)&amp;": "&amp;IF(ISBLANK(Input_Foodweb!B22),"Not defined",Input_Foodweb!B22)</f>
        <v>Ingestion rate of food 12: Lab mice</v>
      </c>
      <c r="D34" s="51"/>
      <c r="E34" s="51"/>
      <c r="F34" s="100" t="s">
        <v>764</v>
      </c>
      <c r="G34" s="83"/>
      <c r="H34" s="83"/>
      <c r="I34" s="83"/>
      <c r="J34" s="83"/>
      <c r="K34" s="94"/>
      <c r="L34" s="95"/>
      <c r="M34" s="16"/>
      <c r="N34" s="16"/>
      <c r="O34" s="16"/>
      <c r="P34" s="16"/>
      <c r="Q34" s="83"/>
      <c r="R34" s="83"/>
      <c r="S34" s="83"/>
      <c r="T34" s="83"/>
    </row>
    <row r="35" spans="1:20" ht="17.100000000000001" customHeight="1">
      <c r="A35" s="83"/>
      <c r="B35" s="98"/>
      <c r="C35" s="97" t="str">
        <f>"Ingestion rate of food "&amp;ROW($C35)-ROW($C$22)&amp;": "&amp;IF(ISBLANK(Input_Foodweb!B23),"Not defined",Input_Foodweb!B23)</f>
        <v>Ingestion rate of food 13: Lab rat</v>
      </c>
      <c r="D35" s="51"/>
      <c r="E35" s="51"/>
      <c r="F35" s="100" t="s">
        <v>764</v>
      </c>
      <c r="G35" s="83"/>
      <c r="H35" s="83"/>
      <c r="I35" s="83"/>
      <c r="J35" s="83"/>
      <c r="K35" s="94"/>
      <c r="L35" s="95"/>
      <c r="M35" s="16"/>
      <c r="N35" s="16"/>
      <c r="O35" s="16"/>
      <c r="P35" s="16"/>
      <c r="Q35" s="83"/>
      <c r="R35" s="83"/>
      <c r="S35" s="83"/>
      <c r="T35" s="83"/>
    </row>
    <row r="36" spans="1:20" ht="17.100000000000001" customHeight="1">
      <c r="A36" s="83"/>
      <c r="B36" s="98"/>
      <c r="C36" s="97" t="str">
        <f>"Ingestion rate of food "&amp;ROW($C36)-ROW($C$22)&amp;": "&amp;IF(ISBLANK(Input_Foodweb!B24),"Not defined",Input_Foodweb!B24)</f>
        <v>Ingestion rate of food 14: Lab zebrafish</v>
      </c>
      <c r="D36" s="51"/>
      <c r="E36" s="51"/>
      <c r="F36" s="100" t="s">
        <v>764</v>
      </c>
      <c r="G36" s="83"/>
      <c r="H36" s="83"/>
      <c r="I36" s="83"/>
      <c r="J36" s="83"/>
      <c r="K36" s="94"/>
      <c r="L36" s="95"/>
      <c r="M36" s="16"/>
      <c r="N36" s="16"/>
      <c r="O36" s="16"/>
      <c r="P36" s="16"/>
      <c r="Q36" s="83"/>
      <c r="R36" s="83"/>
      <c r="S36" s="83"/>
      <c r="T36" s="83"/>
    </row>
    <row r="37" spans="1:20" ht="17.100000000000001" customHeight="1">
      <c r="A37" s="83"/>
      <c r="B37" s="98"/>
      <c r="C37" s="97" t="str">
        <f>"Ingestion rate of food "&amp;ROW($C37)-ROW($C$22)&amp;": "&amp;IF(ISBLANK(Input_Foodweb!B25),"Not defined",Input_Foodweb!B25)</f>
        <v>Ingestion rate of food 15: Lab zebrafish larva</v>
      </c>
      <c r="D37" s="51"/>
      <c r="E37" s="51"/>
      <c r="F37" s="100" t="s">
        <v>764</v>
      </c>
      <c r="G37" s="83"/>
      <c r="H37" s="83"/>
      <c r="I37" s="83"/>
      <c r="J37" s="83"/>
      <c r="K37" s="94"/>
      <c r="L37" s="95"/>
      <c r="M37" s="16"/>
      <c r="N37" s="16"/>
      <c r="O37" s="16"/>
      <c r="P37" s="16"/>
      <c r="Q37" s="83"/>
      <c r="R37" s="83"/>
      <c r="S37" s="83"/>
      <c r="T37" s="83"/>
    </row>
    <row r="38" spans="1:20" ht="17.100000000000001" customHeight="1">
      <c r="A38" s="83"/>
      <c r="B38" s="98"/>
      <c r="C38" s="97" t="str">
        <f>"Ingestion rate of food "&amp;ROW($C38)-ROW($C$22)&amp;": "&amp;IF(ISBLANK(Input_Foodweb!B26),"Not defined",Input_Foodweb!B26)</f>
        <v>Ingestion rate of food 16: Not defined</v>
      </c>
      <c r="D38" s="51"/>
      <c r="E38" s="51"/>
      <c r="F38" s="100" t="s">
        <v>764</v>
      </c>
      <c r="G38" s="83"/>
      <c r="H38" s="83"/>
      <c r="I38" s="83"/>
      <c r="J38" s="83"/>
      <c r="K38" s="94"/>
      <c r="L38" s="95"/>
      <c r="M38" s="16"/>
      <c r="N38" s="16"/>
      <c r="O38" s="16"/>
      <c r="P38" s="16"/>
      <c r="Q38" s="83"/>
      <c r="R38" s="83"/>
      <c r="S38" s="83"/>
      <c r="T38" s="83"/>
    </row>
    <row r="39" spans="1:20" ht="17.100000000000001" customHeight="1">
      <c r="A39" s="83"/>
      <c r="B39" s="98"/>
      <c r="C39" s="97" t="str">
        <f>"Ingestion rate of food "&amp;ROW($C39)-ROW($C$22)&amp;": "&amp;IF(ISBLANK(Input_Foodweb!B27),"Not defined",Input_Foodweb!B27)</f>
        <v>Ingestion rate of food 17: Not defined</v>
      </c>
      <c r="D39" s="51"/>
      <c r="E39" s="51"/>
      <c r="F39" s="100" t="s">
        <v>764</v>
      </c>
      <c r="G39" s="83"/>
      <c r="H39" s="83"/>
      <c r="I39" s="83"/>
      <c r="J39" s="83"/>
      <c r="K39" s="94"/>
      <c r="L39" s="95"/>
      <c r="M39" s="16"/>
      <c r="N39" s="16"/>
      <c r="O39" s="16"/>
      <c r="P39" s="16"/>
      <c r="Q39" s="83"/>
      <c r="R39" s="83"/>
      <c r="S39" s="83"/>
      <c r="T39" s="83"/>
    </row>
    <row r="40" spans="1:20" ht="17.100000000000001" customHeight="1">
      <c r="A40" s="83"/>
      <c r="B40" s="98"/>
      <c r="C40" s="97" t="str">
        <f>"Ingestion rate of food "&amp;ROW($C40)-ROW($C$22)&amp;": "&amp;IF(ISBLANK(Input_Foodweb!B28),"Not defined",Input_Foodweb!B28)</f>
        <v>Ingestion rate of food 18: Not defined</v>
      </c>
      <c r="D40" s="51"/>
      <c r="E40" s="51"/>
      <c r="F40" s="100" t="s">
        <v>764</v>
      </c>
      <c r="G40" s="83"/>
      <c r="H40" s="83"/>
      <c r="I40" s="83"/>
      <c r="J40" s="83"/>
      <c r="K40" s="94"/>
      <c r="L40" s="95"/>
      <c r="M40" s="16"/>
      <c r="N40" s="16"/>
      <c r="O40" s="16"/>
      <c r="P40" s="16"/>
      <c r="Q40" s="83"/>
      <c r="R40" s="83"/>
      <c r="S40" s="83"/>
      <c r="T40" s="83"/>
    </row>
    <row r="41" spans="1:20" ht="17.100000000000001" customHeight="1">
      <c r="A41" s="83"/>
      <c r="B41" s="98"/>
      <c r="C41" s="97" t="str">
        <f>"Ingestion rate of food "&amp;ROW($C41)-ROW($C$22)&amp;": "&amp;IF(ISBLANK(Input_Foodweb!B29),"Not defined",Input_Foodweb!B29)</f>
        <v>Ingestion rate of food 19: Not defined</v>
      </c>
      <c r="D41" s="51"/>
      <c r="E41" s="51"/>
      <c r="F41" s="100" t="s">
        <v>764</v>
      </c>
      <c r="G41" s="83"/>
      <c r="H41" s="83"/>
      <c r="I41" s="83"/>
      <c r="J41" s="83"/>
      <c r="K41" s="94"/>
      <c r="L41" s="95"/>
      <c r="M41" s="16"/>
      <c r="N41" s="16"/>
      <c r="O41" s="16"/>
      <c r="P41" s="16"/>
      <c r="Q41" s="83"/>
      <c r="R41" s="83"/>
      <c r="S41" s="83"/>
      <c r="T41" s="83"/>
    </row>
    <row r="42" spans="1:20" ht="17.100000000000001" customHeight="1">
      <c r="A42" s="83"/>
      <c r="B42" s="231"/>
      <c r="C42" s="221" t="str">
        <f>"Ingestion rate of food "&amp;ROW($C42)-ROW($C$22)&amp;": "&amp;IF(ISBLANK(Input_Foodweb!B30),"Not defined",Input_Foodweb!B30)</f>
        <v>Ingestion rate of food 20: Not defined</v>
      </c>
      <c r="D42" s="238"/>
      <c r="E42" s="238"/>
      <c r="F42" s="235" t="s">
        <v>764</v>
      </c>
      <c r="G42" s="83"/>
      <c r="H42" s="83"/>
      <c r="I42" s="83"/>
      <c r="J42" s="83"/>
      <c r="K42" s="94"/>
      <c r="L42" s="95"/>
      <c r="M42" s="16"/>
      <c r="N42" s="16"/>
      <c r="O42" s="16"/>
      <c r="P42" s="16"/>
      <c r="Q42" s="83"/>
      <c r="R42" s="83"/>
      <c r="S42" s="83"/>
      <c r="T42" s="83"/>
    </row>
    <row r="43" spans="1:20" ht="17.100000000000001" customHeight="1">
      <c r="A43" s="83"/>
      <c r="B43" s="227" t="s">
        <v>775</v>
      </c>
      <c r="C43" s="241" t="s">
        <v>102</v>
      </c>
      <c r="D43" s="242">
        <v>0.80500000000000005</v>
      </c>
      <c r="E43" s="242">
        <v>0.80500000000000005</v>
      </c>
      <c r="F43" s="243" t="s">
        <v>429</v>
      </c>
      <c r="G43" s="83"/>
      <c r="H43" s="83"/>
      <c r="I43" s="83"/>
      <c r="J43" s="94"/>
      <c r="K43" s="94"/>
      <c r="L43" s="95"/>
      <c r="M43" s="16"/>
      <c r="N43" s="16"/>
      <c r="O43" s="16"/>
      <c r="P43" s="16"/>
      <c r="Q43" s="83"/>
      <c r="R43" s="83"/>
      <c r="S43" s="83"/>
      <c r="T43" s="83"/>
    </row>
    <row r="44" spans="1:20" ht="17.100000000000001" customHeight="1">
      <c r="A44" s="83"/>
      <c r="B44" s="98"/>
      <c r="C44" s="49" t="s">
        <v>44</v>
      </c>
      <c r="D44" s="46" t="s">
        <v>43</v>
      </c>
      <c r="E44" s="46" t="s">
        <v>43</v>
      </c>
      <c r="F44" s="224" t="s">
        <v>429</v>
      </c>
      <c r="G44" s="83"/>
      <c r="H44" s="83"/>
      <c r="I44" s="83"/>
      <c r="J44" s="16"/>
      <c r="K44" s="16"/>
      <c r="L44" s="95"/>
      <c r="M44" s="16"/>
      <c r="N44" s="16"/>
      <c r="O44" s="16"/>
      <c r="P44" s="16"/>
      <c r="Q44" s="83"/>
      <c r="R44" s="83"/>
      <c r="S44" s="83"/>
      <c r="T44" s="83"/>
    </row>
    <row r="45" spans="1:20" ht="17.100000000000001" customHeight="1">
      <c r="A45" s="83"/>
      <c r="B45" s="83"/>
      <c r="C45" s="103" t="s">
        <v>48</v>
      </c>
      <c r="D45" s="187" t="s">
        <v>865</v>
      </c>
      <c r="E45" s="187" t="s">
        <v>865</v>
      </c>
      <c r="F45" s="239" t="s">
        <v>429</v>
      </c>
      <c r="G45" s="83"/>
      <c r="H45" s="83"/>
      <c r="I45" s="83"/>
      <c r="J45" s="16"/>
      <c r="K45" s="16"/>
      <c r="L45" s="95"/>
      <c r="M45" s="16"/>
      <c r="N45" s="16"/>
      <c r="O45" s="16"/>
      <c r="P45" s="16"/>
      <c r="Q45" s="83"/>
      <c r="R45" s="83"/>
      <c r="S45" s="83"/>
      <c r="T45" s="83"/>
    </row>
    <row r="46" spans="1:20" ht="17.100000000000001" customHeight="1">
      <c r="A46" s="83"/>
      <c r="B46" s="227" t="s">
        <v>275</v>
      </c>
      <c r="C46" s="228" t="s">
        <v>36</v>
      </c>
      <c r="D46" s="250"/>
      <c r="E46" s="233">
        <v>29</v>
      </c>
      <c r="F46" s="228" t="s">
        <v>136</v>
      </c>
      <c r="G46" s="83"/>
      <c r="H46" s="83"/>
      <c r="I46" s="83"/>
      <c r="J46" s="83"/>
      <c r="K46" s="94"/>
      <c r="L46" s="95"/>
      <c r="M46" s="16"/>
      <c r="N46" s="16"/>
      <c r="O46" s="16"/>
      <c r="P46" s="16"/>
      <c r="Q46" s="83"/>
      <c r="R46" s="83"/>
      <c r="S46" s="83"/>
      <c r="T46" s="83"/>
    </row>
    <row r="47" spans="1:20" ht="17.100000000000001" customHeight="1">
      <c r="A47" s="83"/>
      <c r="B47" s="94"/>
      <c r="C47" s="49" t="s">
        <v>10</v>
      </c>
      <c r="D47" s="158"/>
      <c r="E47" s="47">
        <v>12</v>
      </c>
      <c r="F47" s="49" t="s">
        <v>4</v>
      </c>
      <c r="G47" s="83"/>
      <c r="H47" s="83"/>
      <c r="I47" s="83"/>
      <c r="J47" s="83"/>
      <c r="K47" s="94"/>
      <c r="L47" s="95"/>
      <c r="M47" s="16"/>
      <c r="N47" s="16"/>
      <c r="O47" s="16"/>
      <c r="P47" s="16"/>
      <c r="Q47" s="83"/>
      <c r="R47" s="83"/>
      <c r="S47" s="83"/>
      <c r="T47" s="83"/>
    </row>
    <row r="48" spans="1:20" ht="17.100000000000001" customHeight="1">
      <c r="A48" s="83"/>
      <c r="B48" s="49"/>
      <c r="C48" s="99" t="s">
        <v>49</v>
      </c>
      <c r="D48" s="158"/>
      <c r="E48" s="47">
        <v>3</v>
      </c>
      <c r="F48" s="99" t="s">
        <v>4</v>
      </c>
      <c r="G48" s="83"/>
      <c r="H48" s="83"/>
      <c r="I48" s="83"/>
      <c r="J48" s="83"/>
      <c r="K48" s="94"/>
      <c r="L48" s="95"/>
      <c r="M48" s="16"/>
      <c r="N48" s="16"/>
      <c r="O48" s="16"/>
      <c r="P48" s="16"/>
      <c r="Q48" s="83"/>
      <c r="R48" s="83"/>
      <c r="S48" s="83"/>
      <c r="T48" s="83"/>
    </row>
    <row r="49" spans="1:20" ht="17.100000000000001" customHeight="1">
      <c r="A49" s="83"/>
      <c r="B49" s="103"/>
      <c r="C49" s="103" t="s">
        <v>237</v>
      </c>
      <c r="D49" s="251"/>
      <c r="E49" s="50">
        <v>116</v>
      </c>
      <c r="F49" s="103" t="s">
        <v>200</v>
      </c>
      <c r="G49" s="83"/>
      <c r="H49" s="83"/>
      <c r="I49" s="83"/>
      <c r="J49" s="83"/>
      <c r="K49" s="94"/>
      <c r="L49" s="95"/>
      <c r="M49" s="16"/>
      <c r="N49" s="16"/>
      <c r="O49" s="16"/>
      <c r="P49" s="16"/>
      <c r="Q49" s="83"/>
      <c r="R49" s="83"/>
      <c r="S49" s="83"/>
      <c r="T49" s="83"/>
    </row>
    <row r="50" spans="1:20" ht="18" customHeight="1">
      <c r="A50" s="83"/>
      <c r="B50" s="240"/>
      <c r="C50" s="240"/>
      <c r="D50" s="252"/>
      <c r="E50" s="253"/>
      <c r="F50" s="234"/>
      <c r="G50" s="49"/>
      <c r="H50" s="49"/>
      <c r="I50" s="49"/>
      <c r="J50" s="94"/>
      <c r="K50" s="94"/>
      <c r="L50" s="95"/>
      <c r="M50" s="16"/>
      <c r="N50" s="16"/>
      <c r="O50" s="16"/>
      <c r="P50" s="16"/>
      <c r="Q50" s="83"/>
      <c r="R50" s="83"/>
      <c r="S50" s="83"/>
      <c r="T50" s="83"/>
    </row>
    <row r="51" spans="1:20" ht="18" hidden="1" customHeight="1">
      <c r="A51" s="83"/>
      <c r="B51" s="101"/>
      <c r="C51" s="101"/>
      <c r="D51" s="106"/>
      <c r="E51" s="254"/>
      <c r="F51" s="100"/>
      <c r="G51" s="49"/>
      <c r="H51" s="49"/>
      <c r="I51" s="49"/>
      <c r="J51" s="94"/>
      <c r="K51" s="94"/>
      <c r="L51" s="95"/>
      <c r="M51" s="16"/>
      <c r="N51" s="16"/>
      <c r="O51" s="16"/>
      <c r="P51" s="16"/>
      <c r="Q51" s="83"/>
      <c r="R51" s="83"/>
      <c r="S51" s="83"/>
      <c r="T51" s="83"/>
    </row>
    <row r="52" spans="1:20" ht="18" hidden="1" customHeight="1">
      <c r="A52" s="83"/>
      <c r="B52" s="101"/>
      <c r="C52" s="101"/>
      <c r="D52" s="106"/>
      <c r="E52" s="254"/>
      <c r="F52" s="100"/>
      <c r="G52" s="49"/>
      <c r="H52" s="49"/>
      <c r="I52" s="49"/>
      <c r="J52" s="94"/>
      <c r="K52" s="94"/>
      <c r="L52" s="95"/>
      <c r="M52" s="16"/>
      <c r="N52" s="16"/>
      <c r="O52" s="16"/>
      <c r="P52" s="16"/>
      <c r="Q52" s="83"/>
      <c r="R52" s="83"/>
      <c r="S52" s="83"/>
      <c r="T52" s="83"/>
    </row>
    <row r="53" spans="1:20" ht="18" hidden="1" customHeight="1">
      <c r="A53" s="83"/>
      <c r="B53" s="101"/>
      <c r="C53" s="101"/>
      <c r="D53" s="106"/>
      <c r="E53" s="254"/>
      <c r="F53" s="100"/>
      <c r="G53" s="49"/>
      <c r="H53" s="49"/>
      <c r="I53" s="49"/>
      <c r="J53" s="94"/>
      <c r="K53" s="94"/>
      <c r="L53" s="95"/>
      <c r="M53" s="16"/>
      <c r="N53" s="16"/>
      <c r="O53" s="16"/>
      <c r="P53" s="16"/>
      <c r="Q53" s="83"/>
      <c r="R53" s="83"/>
      <c r="S53" s="83"/>
      <c r="T53" s="83"/>
    </row>
    <row r="54" spans="1:20" ht="18" hidden="1" customHeight="1">
      <c r="A54" s="83"/>
      <c r="B54" s="49"/>
      <c r="C54" s="94"/>
      <c r="D54" s="255"/>
      <c r="E54" s="158"/>
      <c r="F54" s="100"/>
      <c r="G54" s="49"/>
      <c r="H54" s="49"/>
      <c r="I54" s="49"/>
      <c r="J54" s="94"/>
      <c r="K54" s="94"/>
      <c r="L54" s="95"/>
      <c r="M54" s="16"/>
      <c r="N54" s="16"/>
      <c r="O54" s="16"/>
      <c r="P54" s="16"/>
      <c r="Q54" s="96"/>
      <c r="R54" s="96"/>
      <c r="S54" s="83"/>
      <c r="T54" s="83"/>
    </row>
    <row r="55" spans="1:20" ht="18" hidden="1" customHeight="1">
      <c r="A55" s="83"/>
      <c r="B55" s="49"/>
      <c r="C55" s="94"/>
      <c r="D55" s="255"/>
      <c r="E55" s="158"/>
      <c r="F55" s="100"/>
      <c r="G55" s="49"/>
      <c r="H55" s="49"/>
      <c r="I55" s="49"/>
      <c r="J55" s="94"/>
      <c r="K55" s="94"/>
      <c r="L55" s="95"/>
      <c r="M55" s="16"/>
      <c r="N55" s="16"/>
      <c r="O55" s="16"/>
      <c r="P55" s="16"/>
      <c r="Q55" s="83"/>
      <c r="R55" s="83"/>
      <c r="S55" s="83"/>
      <c r="T55" s="83"/>
    </row>
    <row r="56" spans="1:20" ht="20.45" hidden="1" customHeight="1">
      <c r="A56" s="83"/>
      <c r="B56" s="101"/>
      <c r="C56" s="101"/>
      <c r="D56" s="255"/>
      <c r="E56" s="158"/>
      <c r="F56" s="101"/>
      <c r="G56" s="101"/>
      <c r="H56" s="101"/>
      <c r="I56" s="101"/>
      <c r="J56" s="16"/>
      <c r="K56" s="16"/>
      <c r="L56" s="16"/>
      <c r="M56" s="16"/>
      <c r="N56" s="16"/>
      <c r="O56" s="16"/>
      <c r="P56" s="16"/>
      <c r="Q56" s="83"/>
      <c r="R56" s="83"/>
      <c r="S56" s="83"/>
      <c r="T56" s="83"/>
    </row>
    <row r="57" spans="1:20" ht="20.45" hidden="1" customHeight="1">
      <c r="A57" s="83"/>
      <c r="B57" s="94"/>
      <c r="C57" s="94"/>
      <c r="D57" s="255"/>
      <c r="E57" s="158"/>
      <c r="F57" s="94"/>
      <c r="G57" s="94"/>
      <c r="H57" s="94"/>
      <c r="I57" s="94"/>
      <c r="J57" s="16"/>
      <c r="K57" s="16"/>
      <c r="L57" s="16"/>
      <c r="M57" s="16"/>
      <c r="N57" s="16"/>
      <c r="O57" s="16"/>
      <c r="P57" s="16"/>
      <c r="Q57" s="83"/>
      <c r="R57" s="83"/>
      <c r="S57" s="83"/>
      <c r="T57" s="83"/>
    </row>
    <row r="58" spans="1:20" ht="20.45" hidden="1" customHeight="1">
      <c r="A58" s="83"/>
      <c r="B58" s="16"/>
      <c r="C58" s="16"/>
      <c r="D58" s="255"/>
      <c r="E58" s="159"/>
      <c r="F58" s="16"/>
      <c r="G58" s="16"/>
      <c r="H58" s="16"/>
      <c r="I58" s="16"/>
      <c r="J58" s="16"/>
      <c r="K58" s="16"/>
      <c r="L58" s="16"/>
      <c r="M58" s="16"/>
      <c r="N58" s="16"/>
      <c r="O58" s="16"/>
      <c r="P58" s="16"/>
      <c r="Q58" s="16"/>
      <c r="R58" s="83"/>
      <c r="S58" s="83"/>
      <c r="T58" s="83"/>
    </row>
    <row r="59" spans="1:20" ht="17.100000000000001" customHeight="1">
      <c r="A59" s="83"/>
      <c r="B59" s="90" t="s">
        <v>238</v>
      </c>
      <c r="C59" s="90"/>
      <c r="D59" s="256"/>
      <c r="E59" s="256"/>
      <c r="F59" s="102"/>
      <c r="G59" s="102"/>
      <c r="H59" s="102"/>
      <c r="I59" s="102"/>
      <c r="J59" s="16"/>
      <c r="K59" s="16"/>
      <c r="L59" s="16"/>
      <c r="M59" s="16"/>
      <c r="N59" s="16"/>
      <c r="O59" s="16"/>
      <c r="P59" s="16"/>
      <c r="Q59" s="16"/>
      <c r="R59" s="83"/>
      <c r="S59" s="83"/>
      <c r="T59" s="83"/>
    </row>
    <row r="60" spans="1:20" ht="17.100000000000001" customHeight="1">
      <c r="A60" s="83"/>
      <c r="B60" s="244" t="s">
        <v>239</v>
      </c>
      <c r="C60" s="245"/>
      <c r="D60" s="369"/>
      <c r="E60" s="369"/>
      <c r="F60" s="245"/>
      <c r="G60" s="245"/>
      <c r="H60" s="245"/>
      <c r="I60" s="245"/>
      <c r="J60" s="16"/>
      <c r="K60" s="16"/>
      <c r="L60" s="16"/>
      <c r="M60" s="16"/>
      <c r="N60" s="16"/>
      <c r="O60" s="16"/>
      <c r="P60" s="16"/>
      <c r="Q60" s="16"/>
      <c r="R60" s="83"/>
      <c r="S60" s="83"/>
      <c r="T60" s="83"/>
    </row>
    <row r="61" spans="1:20" ht="17.100000000000001" customHeight="1">
      <c r="A61" s="83"/>
      <c r="B61" s="227" t="s">
        <v>199</v>
      </c>
      <c r="C61" s="246" t="s">
        <v>246</v>
      </c>
      <c r="D61" s="237">
        <v>-3.0000000000000001E-6</v>
      </c>
      <c r="E61" s="237">
        <v>-5.0000000000000004E-6</v>
      </c>
      <c r="F61" s="228" t="s">
        <v>247</v>
      </c>
      <c r="G61" s="240"/>
      <c r="H61" s="240"/>
      <c r="I61" s="240"/>
      <c r="J61" s="16"/>
      <c r="K61" s="16"/>
      <c r="L61" s="16"/>
      <c r="M61" s="16"/>
      <c r="N61" s="16"/>
      <c r="O61" s="16"/>
      <c r="P61" s="16"/>
      <c r="Q61" s="83"/>
      <c r="R61" s="83"/>
      <c r="S61" s="83"/>
      <c r="T61" s="83"/>
    </row>
    <row r="62" spans="1:20" ht="17.100000000000001" customHeight="1">
      <c r="A62" s="83"/>
      <c r="B62" s="94"/>
      <c r="C62" s="105" t="s">
        <v>192</v>
      </c>
      <c r="D62" s="51">
        <v>8.9999999999999998E-4</v>
      </c>
      <c r="E62" s="51">
        <v>1.1999999999999999E-3</v>
      </c>
      <c r="F62" s="94"/>
      <c r="G62" s="94"/>
      <c r="H62" s="94"/>
      <c r="I62" s="94"/>
      <c r="J62" s="16"/>
      <c r="K62" s="16"/>
      <c r="L62" s="16"/>
      <c r="M62" s="16"/>
      <c r="N62" s="94"/>
      <c r="O62" s="16"/>
      <c r="P62" s="16"/>
      <c r="Q62" s="96"/>
      <c r="R62" s="96"/>
      <c r="S62" s="96"/>
      <c r="T62" s="96"/>
    </row>
    <row r="63" spans="1:20" ht="17.100000000000001" customHeight="1">
      <c r="A63" s="83"/>
      <c r="B63" s="94"/>
      <c r="C63" s="105" t="s">
        <v>193</v>
      </c>
      <c r="D63" s="51">
        <v>-0.106</v>
      </c>
      <c r="E63" s="51">
        <v>-0.1147</v>
      </c>
      <c r="F63" s="94"/>
      <c r="G63" s="94"/>
      <c r="H63" s="94"/>
      <c r="I63" s="94"/>
      <c r="J63" s="16"/>
      <c r="K63" s="16"/>
      <c r="L63" s="16"/>
      <c r="M63" s="16"/>
      <c r="N63" s="94"/>
      <c r="O63" s="16"/>
      <c r="P63" s="16"/>
      <c r="Q63" s="96"/>
      <c r="R63" s="96"/>
      <c r="S63" s="96"/>
      <c r="T63" s="96"/>
    </row>
    <row r="64" spans="1:20" ht="17.100000000000001" customHeight="1">
      <c r="A64" s="83"/>
      <c r="B64" s="94"/>
      <c r="C64" s="105" t="s">
        <v>194</v>
      </c>
      <c r="D64" s="51">
        <v>5.2427000000000001</v>
      </c>
      <c r="E64" s="51">
        <v>4.8906000000000001</v>
      </c>
      <c r="F64" s="94"/>
      <c r="G64" s="94"/>
      <c r="H64" s="94"/>
      <c r="I64" s="94"/>
      <c r="J64" s="16"/>
      <c r="K64" s="16"/>
      <c r="L64" s="16"/>
      <c r="M64" s="16"/>
      <c r="N64" s="94"/>
      <c r="O64" s="16"/>
      <c r="P64" s="16"/>
      <c r="Q64" s="96"/>
      <c r="R64" s="96"/>
      <c r="S64" s="96"/>
      <c r="T64" s="96"/>
    </row>
    <row r="65" spans="1:20" ht="17.100000000000001" customHeight="1">
      <c r="A65" s="83"/>
      <c r="B65" s="247"/>
      <c r="C65" s="248" t="s">
        <v>196</v>
      </c>
      <c r="D65" s="238">
        <v>3.31</v>
      </c>
      <c r="E65" s="238">
        <v>3.6242000000000001</v>
      </c>
      <c r="F65" s="247"/>
      <c r="G65" s="247"/>
      <c r="H65" s="247"/>
      <c r="I65" s="247"/>
      <c r="J65" s="16"/>
      <c r="K65" s="16"/>
      <c r="L65" s="16"/>
      <c r="M65" s="16"/>
      <c r="N65" s="94"/>
      <c r="O65" s="16"/>
      <c r="P65" s="16"/>
      <c r="Q65" s="96"/>
      <c r="R65" s="96"/>
      <c r="S65" s="96"/>
      <c r="T65" s="96"/>
    </row>
    <row r="66" spans="1:20" ht="17.100000000000001" customHeight="1">
      <c r="A66" s="83"/>
      <c r="B66" s="227" t="s">
        <v>198</v>
      </c>
      <c r="C66" s="246" t="s">
        <v>195</v>
      </c>
      <c r="D66" s="237">
        <v>-3.0300000000000001E-5</v>
      </c>
      <c r="E66" s="237">
        <v>-3.8600000000000003E-5</v>
      </c>
      <c r="F66" s="228" t="s">
        <v>248</v>
      </c>
      <c r="G66" s="240"/>
      <c r="H66" s="240"/>
      <c r="I66" s="240"/>
      <c r="J66" s="16"/>
      <c r="K66" s="16"/>
      <c r="L66" s="16"/>
      <c r="M66" s="16"/>
      <c r="N66" s="94"/>
      <c r="O66" s="16"/>
      <c r="P66" s="16"/>
      <c r="Q66" s="96"/>
      <c r="R66" s="96"/>
      <c r="S66" s="96"/>
      <c r="T66" s="96"/>
    </row>
    <row r="67" spans="1:20" ht="17.100000000000001" customHeight="1">
      <c r="A67" s="83"/>
      <c r="B67" s="49"/>
      <c r="C67" s="105" t="s">
        <v>192</v>
      </c>
      <c r="D67" s="51">
        <v>5.8999999999999999E-3</v>
      </c>
      <c r="E67" s="51">
        <v>7.0000000000000001E-3</v>
      </c>
      <c r="F67" s="94"/>
      <c r="G67" s="94"/>
      <c r="H67" s="94"/>
      <c r="I67" s="94"/>
      <c r="J67" s="16"/>
      <c r="K67" s="16"/>
      <c r="L67" s="16"/>
      <c r="M67" s="16"/>
      <c r="N67" s="94"/>
      <c r="O67" s="16"/>
      <c r="P67" s="16"/>
      <c r="Q67" s="96"/>
      <c r="R67" s="96"/>
      <c r="S67" s="96"/>
      <c r="T67" s="96"/>
    </row>
    <row r="68" spans="1:20" ht="17.100000000000001" customHeight="1">
      <c r="A68" s="83"/>
      <c r="B68" s="94"/>
      <c r="C68" s="105" t="s">
        <v>193</v>
      </c>
      <c r="D68" s="51">
        <v>-0.40920000000000001</v>
      </c>
      <c r="E68" s="51">
        <v>-0.44469999999999998</v>
      </c>
      <c r="F68" s="94"/>
      <c r="G68" s="94"/>
      <c r="H68" s="94"/>
      <c r="I68" s="94"/>
      <c r="J68" s="16"/>
      <c r="K68" s="16"/>
      <c r="L68" s="16"/>
      <c r="M68" s="16"/>
      <c r="N68" s="94"/>
      <c r="O68" s="16"/>
      <c r="P68" s="16"/>
      <c r="Q68" s="96"/>
      <c r="R68" s="96"/>
      <c r="S68" s="96"/>
      <c r="T68" s="96"/>
    </row>
    <row r="69" spans="1:20" ht="17.100000000000001" customHeight="1">
      <c r="A69" s="83"/>
      <c r="B69" s="94"/>
      <c r="C69" s="105" t="s">
        <v>194</v>
      </c>
      <c r="D69" s="51">
        <v>11.7</v>
      </c>
      <c r="E69" s="51">
        <v>11.438000000000001</v>
      </c>
      <c r="F69" s="94"/>
      <c r="G69" s="94"/>
      <c r="H69" s="94"/>
      <c r="I69" s="94"/>
      <c r="J69" s="16"/>
      <c r="K69" s="16"/>
      <c r="L69" s="16"/>
      <c r="M69" s="16"/>
      <c r="N69" s="94"/>
      <c r="O69" s="16"/>
      <c r="P69" s="16"/>
      <c r="Q69" s="96"/>
      <c r="R69" s="96"/>
      <c r="S69" s="96"/>
      <c r="T69" s="96"/>
    </row>
    <row r="70" spans="1:20" ht="17.100000000000001" customHeight="1">
      <c r="A70" s="83"/>
      <c r="B70" s="247"/>
      <c r="C70" s="248" t="s">
        <v>196</v>
      </c>
      <c r="D70" s="238">
        <v>65.102999999999994</v>
      </c>
      <c r="E70" s="238">
        <v>66.825000000000003</v>
      </c>
      <c r="F70" s="247"/>
      <c r="G70" s="247"/>
      <c r="H70" s="247"/>
      <c r="I70" s="247"/>
      <c r="J70" s="16"/>
      <c r="K70" s="16"/>
      <c r="L70" s="16"/>
      <c r="M70" s="16"/>
      <c r="N70" s="94"/>
      <c r="O70" s="16"/>
      <c r="P70" s="16"/>
      <c r="Q70" s="96"/>
      <c r="R70" s="96"/>
      <c r="S70" s="96"/>
      <c r="T70" s="96"/>
    </row>
    <row r="71" spans="1:20" ht="17.100000000000001" customHeight="1">
      <c r="A71" s="83"/>
      <c r="B71" s="227" t="s">
        <v>796</v>
      </c>
      <c r="C71" s="246" t="s">
        <v>250</v>
      </c>
      <c r="D71" s="249">
        <v>0.73760000000000003</v>
      </c>
      <c r="E71" s="249">
        <v>0.73760000000000003</v>
      </c>
      <c r="F71" s="228" t="s">
        <v>249</v>
      </c>
      <c r="G71" s="240"/>
      <c r="H71" s="240"/>
      <c r="I71" s="240"/>
      <c r="J71" s="16"/>
      <c r="K71" s="16"/>
      <c r="L71" s="16"/>
      <c r="M71" s="16"/>
      <c r="N71" s="94"/>
      <c r="O71" s="16"/>
      <c r="P71" s="16"/>
      <c r="Q71" s="96"/>
      <c r="R71" s="96"/>
      <c r="S71" s="96"/>
      <c r="T71" s="96"/>
    </row>
    <row r="72" spans="1:20" ht="17.100000000000001" customHeight="1">
      <c r="A72" s="83"/>
      <c r="B72" s="101"/>
      <c r="C72" s="104" t="s">
        <v>251</v>
      </c>
      <c r="D72" s="111">
        <v>2.0899999999999998E-2</v>
      </c>
      <c r="E72" s="111">
        <v>2.0899999999999998E-2</v>
      </c>
      <c r="F72" s="101"/>
      <c r="G72" s="101"/>
      <c r="H72" s="101"/>
      <c r="I72" s="101"/>
      <c r="J72" s="16"/>
      <c r="K72" s="16"/>
      <c r="L72" s="16"/>
      <c r="M72" s="16"/>
      <c r="N72" s="94"/>
      <c r="O72" s="16"/>
      <c r="P72" s="16"/>
      <c r="Q72" s="96"/>
      <c r="R72" s="96"/>
      <c r="S72" s="96"/>
      <c r="T72" s="96"/>
    </row>
    <row r="73" spans="1:20" ht="17.100000000000001" customHeight="1">
      <c r="A73" s="16"/>
      <c r="B73" s="94"/>
      <c r="C73" s="105" t="s">
        <v>252</v>
      </c>
      <c r="D73" s="112">
        <v>-9.9756</v>
      </c>
      <c r="E73" s="112">
        <v>-9.9756</v>
      </c>
      <c r="F73" s="94"/>
      <c r="G73" s="94"/>
      <c r="H73" s="94"/>
      <c r="I73" s="94"/>
      <c r="J73" s="94"/>
      <c r="K73" s="94"/>
      <c r="L73" s="94"/>
      <c r="M73" s="94"/>
      <c r="N73" s="94"/>
      <c r="O73" s="16"/>
      <c r="P73" s="16"/>
      <c r="Q73" s="96"/>
      <c r="R73" s="96"/>
      <c r="S73" s="96"/>
      <c r="T73" s="96"/>
    </row>
    <row r="74" spans="1:20" ht="17.100000000000001" customHeight="1">
      <c r="A74" s="16"/>
      <c r="B74" s="94"/>
      <c r="C74" s="105" t="s">
        <v>245</v>
      </c>
      <c r="D74" s="112">
        <v>17.110299999999999</v>
      </c>
      <c r="E74" s="112">
        <v>17.110299999999999</v>
      </c>
      <c r="F74" s="94"/>
      <c r="G74" s="94"/>
      <c r="H74" s="94"/>
      <c r="I74" s="94"/>
      <c r="J74" s="94"/>
      <c r="K74" s="94"/>
      <c r="L74" s="94"/>
      <c r="M74" s="94"/>
      <c r="N74" s="94"/>
      <c r="O74" s="16"/>
      <c r="P74" s="16"/>
      <c r="Q74" s="96"/>
      <c r="R74" s="96"/>
      <c r="S74" s="96"/>
      <c r="T74" s="96"/>
    </row>
    <row r="75" spans="1:20" ht="17.100000000000001" hidden="1" customHeight="1">
      <c r="A75" s="16"/>
      <c r="B75" s="94"/>
      <c r="C75" s="94"/>
      <c r="D75" s="51"/>
      <c r="E75" s="51"/>
      <c r="F75" s="94"/>
      <c r="G75" s="94"/>
      <c r="H75" s="94"/>
      <c r="I75" s="94"/>
      <c r="J75" s="94"/>
      <c r="K75" s="94"/>
      <c r="L75" s="94"/>
      <c r="M75" s="94"/>
      <c r="N75" s="94"/>
      <c r="O75" s="16"/>
      <c r="P75" s="16"/>
      <c r="Q75" s="96"/>
      <c r="R75" s="96"/>
      <c r="S75" s="96"/>
      <c r="T75" s="96"/>
    </row>
    <row r="76" spans="1:20" ht="17.100000000000001" hidden="1" customHeight="1">
      <c r="A76" s="16"/>
      <c r="B76" s="94"/>
      <c r="C76" s="94"/>
      <c r="D76" s="51"/>
      <c r="E76" s="51"/>
      <c r="F76" s="94"/>
      <c r="G76" s="94"/>
      <c r="H76" s="94"/>
      <c r="I76" s="94"/>
      <c r="J76" s="94"/>
      <c r="K76" s="94"/>
      <c r="L76" s="94"/>
      <c r="M76" s="94"/>
      <c r="N76" s="94"/>
      <c r="O76" s="16"/>
      <c r="P76" s="16"/>
      <c r="Q76" s="96"/>
      <c r="R76" s="96"/>
      <c r="S76" s="96"/>
      <c r="T76" s="96"/>
    </row>
    <row r="77" spans="1:20" ht="17.100000000000001" hidden="1" customHeight="1">
      <c r="A77" s="16"/>
      <c r="B77" s="94"/>
      <c r="C77" s="94"/>
      <c r="D77" s="51"/>
      <c r="E77" s="51"/>
      <c r="F77" s="94"/>
      <c r="G77" s="94"/>
      <c r="H77" s="94"/>
      <c r="I77" s="94"/>
      <c r="J77" s="94"/>
      <c r="K77" s="94"/>
      <c r="L77" s="94"/>
      <c r="M77" s="94"/>
      <c r="N77" s="94"/>
      <c r="O77" s="16"/>
      <c r="P77" s="16"/>
      <c r="Q77" s="96"/>
      <c r="R77" s="96"/>
      <c r="S77" s="96"/>
      <c r="T77" s="96"/>
    </row>
    <row r="78" spans="1:20" ht="17.100000000000001" hidden="1" customHeight="1">
      <c r="A78" s="16"/>
      <c r="B78" s="94"/>
      <c r="C78" s="94"/>
      <c r="D78" s="51"/>
      <c r="E78" s="51"/>
      <c r="F78" s="94"/>
      <c r="G78" s="94"/>
      <c r="H78" s="94"/>
      <c r="I78" s="94"/>
      <c r="J78" s="94"/>
      <c r="K78" s="94"/>
      <c r="L78" s="94"/>
      <c r="M78" s="94"/>
      <c r="N78" s="94"/>
      <c r="O78" s="16"/>
      <c r="P78" s="16"/>
      <c r="Q78" s="96"/>
      <c r="R78" s="96"/>
      <c r="S78" s="96"/>
      <c r="T78" s="96"/>
    </row>
    <row r="79" spans="1:20" ht="17.100000000000001" hidden="1" customHeight="1">
      <c r="A79" s="16"/>
      <c r="B79" s="94"/>
      <c r="C79" s="94"/>
      <c r="D79" s="51"/>
      <c r="E79" s="51"/>
      <c r="F79" s="94"/>
      <c r="G79" s="94"/>
      <c r="H79" s="94"/>
      <c r="I79" s="94"/>
      <c r="J79" s="94"/>
      <c r="K79" s="94"/>
      <c r="L79" s="94"/>
      <c r="M79" s="94"/>
      <c r="N79" s="94"/>
      <c r="O79" s="16"/>
      <c r="P79" s="16"/>
      <c r="Q79" s="96"/>
      <c r="R79" s="96"/>
      <c r="S79" s="96"/>
      <c r="T79" s="96"/>
    </row>
    <row r="80" spans="1:20" ht="17.100000000000001" hidden="1" customHeight="1">
      <c r="A80" s="16"/>
      <c r="B80" s="94"/>
      <c r="C80" s="94"/>
      <c r="D80" s="51"/>
      <c r="E80" s="51"/>
      <c r="F80" s="94"/>
      <c r="G80" s="94"/>
      <c r="H80" s="94"/>
      <c r="I80" s="94"/>
      <c r="J80" s="94"/>
      <c r="K80" s="94"/>
      <c r="L80" s="94"/>
      <c r="M80" s="94"/>
      <c r="N80" s="94"/>
      <c r="O80" s="16"/>
      <c r="P80" s="16"/>
      <c r="Q80" s="96"/>
      <c r="R80" s="96"/>
      <c r="S80" s="96"/>
      <c r="T80" s="96"/>
    </row>
    <row r="81" spans="1:20" ht="17.100000000000001" hidden="1" customHeight="1">
      <c r="A81" s="16"/>
      <c r="B81" s="94"/>
      <c r="C81" s="94"/>
      <c r="D81" s="51"/>
      <c r="E81" s="51"/>
      <c r="F81" s="94"/>
      <c r="G81" s="94"/>
      <c r="H81" s="94"/>
      <c r="I81" s="94"/>
      <c r="J81" s="94"/>
      <c r="K81" s="94"/>
      <c r="L81" s="94"/>
      <c r="M81" s="94"/>
      <c r="N81" s="94"/>
      <c r="O81" s="16"/>
      <c r="P81" s="16"/>
      <c r="Q81" s="96"/>
      <c r="R81" s="96"/>
      <c r="S81" s="96"/>
      <c r="T81" s="96"/>
    </row>
    <row r="82" spans="1:20" ht="17.100000000000001" hidden="1" customHeight="1">
      <c r="A82" s="16"/>
      <c r="B82" s="94"/>
      <c r="C82" s="94"/>
      <c r="D82" s="51"/>
      <c r="E82" s="51"/>
      <c r="F82" s="94"/>
      <c r="G82" s="94"/>
      <c r="H82" s="94"/>
      <c r="I82" s="94"/>
      <c r="J82" s="94"/>
      <c r="K82" s="94"/>
      <c r="L82" s="94"/>
      <c r="M82" s="94"/>
      <c r="N82" s="94"/>
      <c r="O82" s="16"/>
      <c r="P82" s="16"/>
      <c r="Q82" s="96"/>
      <c r="R82" s="96"/>
      <c r="S82" s="96"/>
      <c r="T82" s="96"/>
    </row>
    <row r="83" spans="1:20" ht="17.100000000000001" hidden="1" customHeight="1">
      <c r="A83" s="16"/>
      <c r="B83" s="94"/>
      <c r="C83" s="94"/>
      <c r="D83" s="51"/>
      <c r="E83" s="51"/>
      <c r="F83" s="94"/>
      <c r="G83" s="94"/>
      <c r="H83" s="94"/>
      <c r="I83" s="94"/>
      <c r="J83" s="94"/>
      <c r="K83" s="94"/>
      <c r="L83" s="94"/>
      <c r="M83" s="94"/>
      <c r="N83" s="94"/>
      <c r="O83" s="16"/>
      <c r="P83" s="16"/>
      <c r="Q83" s="96"/>
      <c r="R83" s="96"/>
      <c r="S83" s="96"/>
      <c r="T83" s="96"/>
    </row>
    <row r="84" spans="1:20" ht="17.100000000000001" hidden="1" customHeight="1">
      <c r="A84" s="16"/>
      <c r="B84" s="94"/>
      <c r="C84" s="94"/>
      <c r="D84" s="51"/>
      <c r="E84" s="51"/>
      <c r="F84" s="94"/>
      <c r="G84" s="94"/>
      <c r="H84" s="94"/>
      <c r="I84" s="94"/>
      <c r="J84" s="94"/>
      <c r="K84" s="94"/>
      <c r="L84" s="94"/>
      <c r="M84" s="94"/>
      <c r="N84" s="94"/>
      <c r="O84" s="16"/>
      <c r="P84" s="16"/>
      <c r="Q84" s="96"/>
      <c r="R84" s="96"/>
      <c r="S84" s="96"/>
      <c r="T84" s="96"/>
    </row>
    <row r="85" spans="1:20" ht="17.100000000000001" hidden="1" customHeight="1">
      <c r="A85" s="16"/>
      <c r="B85" s="94"/>
      <c r="C85" s="94"/>
      <c r="D85" s="51"/>
      <c r="E85" s="51"/>
      <c r="F85" s="94"/>
      <c r="G85" s="94"/>
      <c r="H85" s="94"/>
      <c r="I85" s="94"/>
      <c r="J85" s="94"/>
      <c r="K85" s="94"/>
      <c r="L85" s="94"/>
      <c r="M85" s="94"/>
      <c r="N85" s="94"/>
      <c r="O85" s="16"/>
      <c r="P85" s="16"/>
      <c r="Q85" s="96"/>
      <c r="R85" s="96"/>
      <c r="S85" s="96"/>
      <c r="T85" s="96"/>
    </row>
    <row r="86" spans="1:20" ht="17.100000000000001" hidden="1" customHeight="1">
      <c r="A86" s="16"/>
      <c r="B86" s="94"/>
      <c r="C86" s="94"/>
      <c r="D86" s="51"/>
      <c r="E86" s="51"/>
      <c r="F86" s="94"/>
      <c r="G86" s="94"/>
      <c r="H86" s="94"/>
      <c r="I86" s="94"/>
      <c r="J86" s="94"/>
      <c r="K86" s="94"/>
      <c r="L86" s="94"/>
      <c r="M86" s="94"/>
      <c r="N86" s="94"/>
      <c r="O86" s="16"/>
      <c r="P86" s="16"/>
      <c r="Q86" s="96"/>
      <c r="R86" s="96"/>
      <c r="S86" s="96"/>
      <c r="T86" s="96"/>
    </row>
    <row r="87" spans="1:20" ht="17.100000000000001" hidden="1" customHeight="1">
      <c r="A87" s="16"/>
      <c r="B87" s="94"/>
      <c r="C87" s="94"/>
      <c r="D87" s="51"/>
      <c r="E87" s="51"/>
      <c r="F87" s="94"/>
      <c r="G87" s="94"/>
      <c r="H87" s="94"/>
      <c r="I87" s="94"/>
      <c r="J87" s="94"/>
      <c r="K87" s="94"/>
      <c r="L87" s="94"/>
      <c r="M87" s="94"/>
      <c r="N87" s="94"/>
      <c r="O87" s="16"/>
      <c r="P87" s="16"/>
      <c r="Q87" s="96"/>
      <c r="R87" s="96"/>
      <c r="S87" s="96"/>
      <c r="T87" s="96"/>
    </row>
    <row r="88" spans="1:20" ht="17.100000000000001" hidden="1" customHeight="1">
      <c r="A88" s="16"/>
      <c r="B88" s="94"/>
      <c r="C88" s="94"/>
      <c r="D88" s="51"/>
      <c r="E88" s="51"/>
      <c r="F88" s="94"/>
      <c r="G88" s="94"/>
      <c r="H88" s="94"/>
      <c r="I88" s="94"/>
      <c r="J88" s="94"/>
      <c r="K88" s="94"/>
      <c r="L88" s="94"/>
      <c r="M88" s="94"/>
      <c r="N88" s="94"/>
      <c r="O88" s="16"/>
      <c r="P88" s="16"/>
      <c r="Q88" s="96"/>
      <c r="R88" s="96"/>
      <c r="S88" s="96"/>
      <c r="T88" s="96"/>
    </row>
    <row r="89" spans="1:20" ht="17.100000000000001" hidden="1" customHeight="1">
      <c r="A89" s="94"/>
      <c r="B89" s="94"/>
      <c r="C89" s="94"/>
      <c r="D89" s="51"/>
      <c r="E89" s="51"/>
      <c r="F89" s="94"/>
      <c r="G89" s="94"/>
      <c r="H89" s="94"/>
      <c r="I89" s="94"/>
      <c r="J89" s="94"/>
      <c r="K89" s="94"/>
      <c r="L89" s="94"/>
      <c r="M89" s="94"/>
      <c r="N89" s="94"/>
      <c r="O89" s="16"/>
      <c r="P89" s="16"/>
      <c r="Q89" s="96"/>
      <c r="R89" s="96"/>
      <c r="S89" s="96"/>
      <c r="T89" s="96"/>
    </row>
    <row r="90" spans="1:20" ht="3" customHeight="1" thickBot="1">
      <c r="A90" s="94"/>
      <c r="B90" s="107"/>
      <c r="C90" s="108"/>
      <c r="D90" s="109"/>
      <c r="E90" s="109"/>
      <c r="F90" s="108"/>
      <c r="G90" s="108"/>
      <c r="H90" s="108"/>
      <c r="I90" s="108"/>
      <c r="J90" s="94"/>
      <c r="K90" s="94"/>
      <c r="L90" s="94"/>
      <c r="M90" s="94"/>
      <c r="N90" s="94"/>
      <c r="O90" s="16"/>
      <c r="P90" s="16"/>
      <c r="Q90" s="96"/>
      <c r="R90" s="96"/>
      <c r="S90" s="96"/>
      <c r="T90" s="96"/>
    </row>
    <row r="91" spans="1:20" ht="17.100000000000001" customHeight="1">
      <c r="A91" s="94"/>
      <c r="B91" s="101"/>
      <c r="C91" s="101"/>
      <c r="D91" s="106"/>
      <c r="E91" s="106"/>
      <c r="F91" s="101"/>
      <c r="G91" s="101"/>
      <c r="H91" s="101"/>
      <c r="I91" s="101"/>
      <c r="J91" s="94"/>
      <c r="K91" s="94"/>
      <c r="L91" s="94"/>
      <c r="M91" s="94"/>
      <c r="N91" s="94"/>
      <c r="O91" s="16"/>
      <c r="P91" s="16"/>
      <c r="Q91" s="96"/>
      <c r="R91" s="96"/>
      <c r="S91" s="96"/>
      <c r="T91" s="96"/>
    </row>
  </sheetData>
  <sheetProtection algorithmName="SHA-512" hashValue="B7zZ3NUl6HKs7iV2RiASMGkxUrNTKJNnrWnP+xnj4r2VsZRSoX3oY3Je0a5IayM0Pqu2ZOPciWD6Jd5RUtxbeA==" saltValue="tdK2YH8OXwE+Vjz67vmcCg==" spinCount="100000" sheet="1" objects="1" scenarios="1"/>
  <phoneticPr fontId="2" type="noConversion"/>
  <dataValidations count="2">
    <dataValidation type="list" allowBlank="1" showInputMessage="1" showErrorMessage="1" sqref="D44:E44" xr:uid="{156C9415-5414-4C01-9E4C-2E6B3FAC445F}">
      <formula1>"Urban,Rural"</formula1>
    </dataValidation>
    <dataValidation type="list" allowBlank="1" showInputMessage="1" showErrorMessage="1" sqref="D45:E45" xr:uid="{D6FE42A4-E7F4-470C-9286-7B8E3064CBBF}">
      <formula1>"Groundwater,Surface water"</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7EF162-5BA2-44D4-B8C3-35D0DB629F48}">
  <sheetPr codeName="Sheet7">
    <tabColor rgb="FF0070C0"/>
  </sheetPr>
  <dimension ref="A1:AV109"/>
  <sheetViews>
    <sheetView workbookViewId="0">
      <selection activeCell="H29" sqref="H29"/>
    </sheetView>
  </sheetViews>
  <sheetFormatPr defaultColWidth="8.3984375" defaultRowHeight="12.75"/>
  <cols>
    <col min="1" max="1" width="2.1328125" style="77" customWidth="1"/>
    <col min="2" max="2" width="18.3984375" style="77" customWidth="1"/>
    <col min="3" max="3" width="10.3984375" style="77" bestFit="1" customWidth="1"/>
    <col min="4" max="4" width="9.86328125" style="77" bestFit="1" customWidth="1"/>
    <col min="5" max="5" width="12.3984375" style="77" bestFit="1" customWidth="1"/>
    <col min="6" max="6" width="11.86328125" style="77" bestFit="1" customWidth="1"/>
    <col min="7" max="7" width="16.1328125" style="77" bestFit="1" customWidth="1"/>
    <col min="8" max="10" width="9.3984375" style="77" customWidth="1"/>
    <col min="11" max="13" width="10.1328125" style="77" customWidth="1"/>
    <col min="14" max="28" width="10.3984375" style="77" customWidth="1"/>
    <col min="29" max="16384" width="8.3984375" style="77"/>
  </cols>
  <sheetData>
    <row r="1" spans="1:47" ht="50.1" customHeight="1">
      <c r="B1" s="63" t="s">
        <v>376</v>
      </c>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row>
    <row r="2" spans="1:47" hidden="1">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row>
    <row r="3" spans="1:47" hidden="1">
      <c r="A3" s="49"/>
      <c r="B3" s="49"/>
      <c r="C3" s="49"/>
      <c r="D3" s="49"/>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c r="AP3" s="49"/>
      <c r="AQ3" s="49"/>
      <c r="AR3" s="49"/>
      <c r="AS3" s="49"/>
      <c r="AT3" s="49"/>
      <c r="AU3" s="49"/>
    </row>
    <row r="4" spans="1:47" hidden="1">
      <c r="A4" s="49"/>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row>
    <row r="5" spans="1:47" hidden="1">
      <c r="A5" s="49"/>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c r="AQ5" s="49"/>
      <c r="AR5" s="49"/>
      <c r="AS5" s="49"/>
      <c r="AT5" s="49"/>
      <c r="AU5" s="49"/>
    </row>
    <row r="6" spans="1:47">
      <c r="A6" s="49"/>
      <c r="B6" s="49"/>
      <c r="C6" s="49"/>
      <c r="D6" s="49"/>
      <c r="E6" s="49"/>
      <c r="F6" s="49"/>
      <c r="G6" s="49"/>
      <c r="H6" s="49"/>
      <c r="I6" s="49"/>
      <c r="J6" s="49"/>
      <c r="K6" s="49"/>
      <c r="L6" s="49"/>
      <c r="M6" s="49"/>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row>
    <row r="7" spans="1:47">
      <c r="A7" s="49"/>
      <c r="B7" s="49"/>
      <c r="C7" s="49"/>
      <c r="D7" s="49"/>
      <c r="E7" s="49"/>
      <c r="F7" s="49"/>
      <c r="G7" s="49"/>
      <c r="H7" s="49"/>
      <c r="I7" s="49"/>
      <c r="J7" s="49"/>
      <c r="K7" s="49"/>
      <c r="L7" s="49"/>
      <c r="M7" s="49"/>
      <c r="N7" s="49"/>
      <c r="O7" s="49"/>
      <c r="P7" s="49"/>
      <c r="Q7" s="49"/>
      <c r="R7" s="49"/>
      <c r="S7" s="49"/>
      <c r="T7" s="49"/>
      <c r="U7" s="49"/>
      <c r="V7" s="49"/>
      <c r="W7" s="49"/>
      <c r="X7" s="49"/>
      <c r="Y7" s="49"/>
      <c r="Z7" s="49"/>
      <c r="AA7" s="49"/>
      <c r="AB7" s="49"/>
      <c r="AC7" s="49"/>
      <c r="AD7" s="49"/>
      <c r="AE7" s="49"/>
      <c r="AF7" s="49"/>
      <c r="AG7" s="49"/>
      <c r="AH7" s="49"/>
      <c r="AI7" s="49"/>
      <c r="AJ7" s="49"/>
      <c r="AK7" s="49"/>
      <c r="AL7" s="49"/>
      <c r="AM7" s="49"/>
      <c r="AN7" s="49"/>
      <c r="AO7" s="49"/>
      <c r="AP7" s="49"/>
      <c r="AQ7" s="49"/>
      <c r="AR7" s="49"/>
      <c r="AS7" s="49"/>
      <c r="AT7" s="49"/>
      <c r="AU7" s="49"/>
    </row>
    <row r="8" spans="1:47">
      <c r="A8" s="49"/>
      <c r="B8" s="103"/>
      <c r="C8" s="49"/>
      <c r="D8" s="49"/>
      <c r="E8" s="49"/>
      <c r="F8" s="49"/>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row>
    <row r="9" spans="1:47" ht="20.45" customHeight="1">
      <c r="A9" s="181"/>
      <c r="B9" s="40" t="s">
        <v>374</v>
      </c>
      <c r="C9" s="40"/>
      <c r="D9" s="39"/>
      <c r="E9" s="39"/>
      <c r="F9" s="39"/>
      <c r="G9" s="39"/>
      <c r="H9" s="39"/>
      <c r="I9" s="39"/>
      <c r="J9" s="39"/>
      <c r="K9" s="39"/>
      <c r="L9" s="39"/>
      <c r="M9" s="39"/>
      <c r="N9" s="39"/>
      <c r="O9" s="39"/>
      <c r="P9" s="39"/>
      <c r="Q9" s="39"/>
      <c r="R9" s="39"/>
      <c r="S9" s="39"/>
      <c r="T9" s="39"/>
      <c r="U9" s="39"/>
      <c r="V9" s="39"/>
      <c r="W9" s="39"/>
      <c r="X9" s="39"/>
      <c r="Y9" s="39"/>
      <c r="Z9" s="39"/>
      <c r="AA9" s="39"/>
      <c r="AB9" s="39"/>
      <c r="AC9" s="49"/>
      <c r="AD9" s="49"/>
      <c r="AE9" s="49"/>
      <c r="AF9" s="49"/>
      <c r="AG9" s="49"/>
      <c r="AH9" s="49"/>
      <c r="AI9" s="49"/>
      <c r="AJ9" s="49"/>
      <c r="AK9" s="49"/>
      <c r="AL9" s="49"/>
      <c r="AM9" s="49"/>
      <c r="AN9" s="49"/>
      <c r="AO9" s="49"/>
      <c r="AP9" s="49"/>
      <c r="AQ9" s="49"/>
      <c r="AR9" s="49"/>
      <c r="AS9" s="49"/>
      <c r="AT9" s="49"/>
      <c r="AU9" s="49"/>
    </row>
    <row r="10" spans="1:47" ht="15" customHeight="1">
      <c r="A10" s="181"/>
      <c r="B10" s="60">
        <v>0.9</v>
      </c>
      <c r="C10" s="100" t="s">
        <v>385</v>
      </c>
      <c r="D10" s="49"/>
      <c r="E10" s="49"/>
      <c r="F10" s="49"/>
      <c r="G10" s="49"/>
      <c r="H10" s="49"/>
      <c r="I10" s="49"/>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row>
    <row r="11" spans="1:47" ht="15" customHeight="1">
      <c r="A11" s="181"/>
      <c r="B11" s="46">
        <v>0.26</v>
      </c>
      <c r="C11" s="100" t="s">
        <v>414</v>
      </c>
      <c r="D11" s="49"/>
      <c r="E11" s="49"/>
      <c r="F11" s="49"/>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row>
    <row r="12" spans="1:47" ht="15" customHeight="1">
      <c r="A12" s="181"/>
      <c r="B12" s="46">
        <v>60</v>
      </c>
      <c r="C12" s="100" t="s">
        <v>413</v>
      </c>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row>
    <row r="13" spans="1:47" ht="16.5" customHeight="1">
      <c r="A13" s="181"/>
      <c r="B13" s="49"/>
      <c r="C13" s="100"/>
      <c r="D13" s="49"/>
      <c r="E13" s="49"/>
      <c r="F13" s="49"/>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row>
    <row r="14" spans="1:47" ht="16.5" hidden="1" customHeight="1">
      <c r="A14" s="181"/>
      <c r="B14" s="49"/>
      <c r="C14" s="100"/>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row>
    <row r="15" spans="1:47" ht="16.5" hidden="1" customHeight="1">
      <c r="A15" s="181"/>
      <c r="B15" s="49"/>
      <c r="C15" s="100"/>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row>
    <row r="16" spans="1:47" ht="16.5" hidden="1" customHeight="1">
      <c r="A16" s="181"/>
      <c r="B16" s="49"/>
      <c r="C16" s="100"/>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row>
    <row r="17" spans="1:48" ht="16.5" hidden="1" customHeight="1">
      <c r="A17" s="181"/>
      <c r="B17" s="49"/>
      <c r="C17" s="100"/>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row>
    <row r="18" spans="1:48" ht="16.5" customHeight="1">
      <c r="A18" s="181"/>
      <c r="B18" s="75" t="s">
        <v>387</v>
      </c>
      <c r="C18" s="75"/>
      <c r="D18" s="75"/>
      <c r="E18" s="75"/>
      <c r="F18" s="75"/>
      <c r="G18" s="75"/>
      <c r="H18" s="75" t="s">
        <v>381</v>
      </c>
      <c r="I18" s="75"/>
      <c r="J18" s="75"/>
      <c r="K18" s="75" t="s">
        <v>391</v>
      </c>
      <c r="L18" s="75"/>
      <c r="M18" s="75"/>
      <c r="N18" s="75" t="s">
        <v>386</v>
      </c>
      <c r="O18" s="75"/>
      <c r="P18" s="75"/>
      <c r="Q18" s="75"/>
      <c r="R18" s="75"/>
      <c r="S18" s="75"/>
      <c r="T18" s="75"/>
      <c r="U18" s="75"/>
      <c r="V18" s="75"/>
      <c r="W18" s="75"/>
      <c r="X18" s="75"/>
      <c r="Y18" s="75"/>
      <c r="Z18" s="75"/>
      <c r="AA18" s="75"/>
      <c r="AB18" s="75"/>
      <c r="AC18" s="49"/>
      <c r="AD18" s="49"/>
      <c r="AE18" s="49"/>
      <c r="AF18" s="49"/>
      <c r="AG18" s="49"/>
      <c r="AH18" s="49"/>
      <c r="AI18" s="49"/>
      <c r="AJ18" s="49"/>
      <c r="AK18" s="49"/>
      <c r="AL18" s="49"/>
      <c r="AM18" s="49"/>
      <c r="AN18" s="49"/>
      <c r="AO18" s="49"/>
      <c r="AP18" s="49"/>
      <c r="AQ18" s="49"/>
      <c r="AR18" s="49"/>
      <c r="AS18" s="49"/>
      <c r="AT18" s="49"/>
      <c r="AU18" s="49"/>
    </row>
    <row r="19" spans="1:48" ht="14.45" customHeight="1">
      <c r="A19" s="181"/>
      <c r="B19" s="75"/>
      <c r="C19" s="76"/>
      <c r="D19" s="76"/>
      <c r="E19" s="76"/>
      <c r="F19" s="76"/>
      <c r="G19" s="76"/>
      <c r="H19" s="76" t="s">
        <v>392</v>
      </c>
      <c r="I19" s="76"/>
      <c r="J19" s="76"/>
      <c r="K19" s="76" t="str">
        <f>"Target human dose ED"&amp;IF(PopProtected=0,0.1,(1-PopProtected))*100&amp;" (mg/kg/d)"</f>
        <v>Target human dose ED10 (mg/kg/d)</v>
      </c>
      <c r="L19" s="76"/>
      <c r="M19" s="76"/>
      <c r="N19" s="76" t="s">
        <v>388</v>
      </c>
      <c r="O19" s="76"/>
      <c r="P19" s="76"/>
      <c r="Q19" s="76"/>
      <c r="R19" s="76"/>
      <c r="S19" s="76" t="s">
        <v>389</v>
      </c>
      <c r="T19" s="76"/>
      <c r="U19" s="76"/>
      <c r="V19" s="76"/>
      <c r="W19" s="76"/>
      <c r="X19" s="76" t="s">
        <v>390</v>
      </c>
      <c r="Y19" s="76"/>
      <c r="Z19" s="76"/>
      <c r="AA19" s="76"/>
      <c r="AB19" s="76"/>
      <c r="AC19" s="49"/>
      <c r="AD19" s="49"/>
      <c r="AE19" s="49"/>
      <c r="AF19" s="49"/>
      <c r="AG19" s="49"/>
      <c r="AH19" s="49"/>
      <c r="AI19" s="49"/>
      <c r="AJ19" s="49"/>
      <c r="AK19" s="49"/>
      <c r="AL19" s="49"/>
      <c r="AM19" s="49"/>
      <c r="AN19" s="49"/>
      <c r="AO19" s="49"/>
      <c r="AP19" s="49"/>
      <c r="AQ19" s="49"/>
      <c r="AR19" s="49"/>
      <c r="AS19" s="49"/>
      <c r="AT19" s="49"/>
      <c r="AU19" s="49"/>
    </row>
    <row r="20" spans="1:48" ht="15.6" customHeight="1" thickBot="1">
      <c r="A20" s="181"/>
      <c r="B20" s="78" t="s">
        <v>394</v>
      </c>
      <c r="C20" s="78" t="s">
        <v>377</v>
      </c>
      <c r="D20" s="78" t="s">
        <v>378</v>
      </c>
      <c r="E20" s="78" t="s">
        <v>379</v>
      </c>
      <c r="F20" s="78" t="s">
        <v>380</v>
      </c>
      <c r="G20" s="78" t="s">
        <v>381</v>
      </c>
      <c r="H20" s="78" t="s">
        <v>382</v>
      </c>
      <c r="I20" s="78" t="s">
        <v>383</v>
      </c>
      <c r="J20" s="78" t="s">
        <v>384</v>
      </c>
      <c r="K20" s="78" t="s">
        <v>446</v>
      </c>
      <c r="L20" s="78" t="s">
        <v>447</v>
      </c>
      <c r="M20" s="78" t="s">
        <v>448</v>
      </c>
      <c r="N20" s="78" t="s">
        <v>449</v>
      </c>
      <c r="O20" s="78" t="s">
        <v>450</v>
      </c>
      <c r="P20" s="78" t="s">
        <v>451</v>
      </c>
      <c r="Q20" s="78" t="s">
        <v>452</v>
      </c>
      <c r="R20" s="78" t="s">
        <v>453</v>
      </c>
      <c r="S20" s="78" t="s">
        <v>449</v>
      </c>
      <c r="T20" s="78" t="s">
        <v>450</v>
      </c>
      <c r="U20" s="78" t="s">
        <v>451</v>
      </c>
      <c r="V20" s="78" t="s">
        <v>452</v>
      </c>
      <c r="W20" s="78" t="s">
        <v>453</v>
      </c>
      <c r="X20" s="78" t="s">
        <v>449</v>
      </c>
      <c r="Y20" s="78" t="s">
        <v>450</v>
      </c>
      <c r="Z20" s="78" t="s">
        <v>451</v>
      </c>
      <c r="AA20" s="78" t="s">
        <v>452</v>
      </c>
      <c r="AB20" s="78" t="s">
        <v>453</v>
      </c>
      <c r="AC20" s="49"/>
      <c r="AD20" s="49"/>
      <c r="AE20" s="49"/>
      <c r="AF20" s="49"/>
      <c r="AG20" s="49"/>
      <c r="AH20" s="49"/>
      <c r="AI20" s="49"/>
      <c r="AJ20" s="49"/>
      <c r="AK20" s="49"/>
      <c r="AL20" s="49"/>
      <c r="AM20" s="49"/>
      <c r="AN20" s="49"/>
      <c r="AO20" s="49"/>
      <c r="AP20" s="49"/>
      <c r="AQ20" s="49"/>
      <c r="AR20" s="49"/>
      <c r="AS20" s="49"/>
      <c r="AT20" s="49"/>
      <c r="AU20" s="49"/>
    </row>
    <row r="21" spans="1:48" ht="15.6" customHeight="1">
      <c r="A21" s="181"/>
      <c r="B21" s="179" t="s">
        <v>397</v>
      </c>
      <c r="C21" s="180" t="s">
        <v>371</v>
      </c>
      <c r="D21" s="46" t="s">
        <v>372</v>
      </c>
      <c r="E21" s="46" t="s">
        <v>393</v>
      </c>
      <c r="F21" s="46" t="s">
        <v>373</v>
      </c>
      <c r="G21" s="46" t="s">
        <v>375</v>
      </c>
      <c r="H21" s="46"/>
      <c r="I21" s="46"/>
      <c r="J21" s="167">
        <v>64</v>
      </c>
      <c r="K21" s="170"/>
      <c r="L21" s="171"/>
      <c r="M21" s="172"/>
      <c r="N21" s="169"/>
      <c r="O21" s="168"/>
      <c r="P21" s="168"/>
      <c r="Q21" s="168"/>
      <c r="R21" s="168"/>
      <c r="S21" s="168"/>
      <c r="T21" s="168"/>
      <c r="U21" s="168"/>
      <c r="V21" s="168"/>
      <c r="W21" s="168"/>
      <c r="X21" s="168"/>
      <c r="Y21" s="168"/>
      <c r="Z21" s="168"/>
      <c r="AA21" s="168"/>
      <c r="AB21" s="168"/>
      <c r="AC21" s="100"/>
      <c r="AD21" s="49"/>
      <c r="AE21" s="49"/>
      <c r="AF21" s="49"/>
      <c r="AG21" s="49"/>
      <c r="AH21" s="49"/>
      <c r="AI21" s="49"/>
      <c r="AJ21" s="49"/>
      <c r="AK21" s="49"/>
      <c r="AL21" s="49"/>
      <c r="AM21" s="49"/>
      <c r="AN21" s="49"/>
      <c r="AO21" s="49"/>
      <c r="AP21" s="49"/>
      <c r="AQ21" s="49"/>
      <c r="AR21" s="49"/>
      <c r="AS21" s="49"/>
      <c r="AT21" s="49"/>
      <c r="AU21" s="49"/>
      <c r="AV21" s="77" t="s">
        <v>395</v>
      </c>
    </row>
    <row r="22" spans="1:48" ht="15.6" customHeight="1">
      <c r="A22" s="181"/>
      <c r="B22" s="46"/>
      <c r="C22" s="180"/>
      <c r="D22" s="46"/>
      <c r="E22" s="46"/>
      <c r="F22" s="46"/>
      <c r="G22" s="46"/>
      <c r="H22" s="46"/>
      <c r="I22" s="46"/>
      <c r="J22" s="167"/>
      <c r="K22" s="173"/>
      <c r="L22" s="174"/>
      <c r="M22" s="175"/>
      <c r="N22" s="169"/>
      <c r="O22" s="168"/>
      <c r="P22" s="168"/>
      <c r="Q22" s="168"/>
      <c r="R22" s="168"/>
      <c r="S22" s="168"/>
      <c r="T22" s="168"/>
      <c r="U22" s="168"/>
      <c r="V22" s="168"/>
      <c r="W22" s="168"/>
      <c r="X22" s="168"/>
      <c r="Y22" s="168"/>
      <c r="Z22" s="168"/>
      <c r="AA22" s="168"/>
      <c r="AB22" s="168"/>
      <c r="AC22" s="100"/>
      <c r="AD22" s="49"/>
      <c r="AE22" s="49"/>
      <c r="AF22" s="49"/>
      <c r="AG22" s="49"/>
      <c r="AH22" s="49"/>
      <c r="AI22" s="49"/>
      <c r="AJ22" s="49"/>
      <c r="AK22" s="49"/>
      <c r="AL22" s="49"/>
      <c r="AM22" s="49"/>
      <c r="AN22" s="49"/>
      <c r="AO22" s="49"/>
      <c r="AP22" s="49"/>
      <c r="AQ22" s="49"/>
      <c r="AR22" s="49"/>
      <c r="AS22" s="49"/>
      <c r="AT22" s="49"/>
      <c r="AU22" s="49"/>
      <c r="AV22" s="77" t="s">
        <v>396</v>
      </c>
    </row>
    <row r="23" spans="1:48" ht="15.6" customHeight="1">
      <c r="A23" s="181"/>
      <c r="B23" s="46"/>
      <c r="C23" s="180"/>
      <c r="D23" s="46"/>
      <c r="E23" s="46"/>
      <c r="F23" s="46"/>
      <c r="G23" s="46"/>
      <c r="H23" s="46"/>
      <c r="I23" s="46"/>
      <c r="J23" s="167"/>
      <c r="K23" s="173"/>
      <c r="L23" s="174"/>
      <c r="M23" s="175"/>
      <c r="N23" s="169"/>
      <c r="O23" s="168"/>
      <c r="P23" s="168"/>
      <c r="Q23" s="168"/>
      <c r="R23" s="168"/>
      <c r="S23" s="168"/>
      <c r="T23" s="168"/>
      <c r="U23" s="168"/>
      <c r="V23" s="168"/>
      <c r="W23" s="168"/>
      <c r="X23" s="168"/>
      <c r="Y23" s="168"/>
      <c r="Z23" s="168"/>
      <c r="AA23" s="168"/>
      <c r="AB23" s="168"/>
      <c r="AC23" s="100"/>
      <c r="AD23" s="49"/>
      <c r="AE23" s="49"/>
      <c r="AF23" s="49"/>
      <c r="AG23" s="49"/>
      <c r="AH23" s="49"/>
      <c r="AI23" s="49"/>
      <c r="AJ23" s="49"/>
      <c r="AK23" s="49"/>
      <c r="AL23" s="49"/>
      <c r="AM23" s="49"/>
      <c r="AN23" s="49"/>
      <c r="AO23" s="49"/>
      <c r="AP23" s="49"/>
      <c r="AQ23" s="49"/>
      <c r="AR23" s="49"/>
      <c r="AS23" s="49"/>
      <c r="AT23" s="49"/>
      <c r="AU23" s="49"/>
      <c r="AV23" s="77" t="s">
        <v>398</v>
      </c>
    </row>
    <row r="24" spans="1:48" ht="15.6" customHeight="1">
      <c r="A24" s="181"/>
      <c r="B24" s="46"/>
      <c r="C24" s="180"/>
      <c r="D24" s="46"/>
      <c r="E24" s="46"/>
      <c r="F24" s="46"/>
      <c r="G24" s="46"/>
      <c r="H24" s="46"/>
      <c r="I24" s="46"/>
      <c r="J24" s="167"/>
      <c r="K24" s="173"/>
      <c r="L24" s="174"/>
      <c r="M24" s="175"/>
      <c r="N24" s="169"/>
      <c r="O24" s="168"/>
      <c r="P24" s="168"/>
      <c r="Q24" s="168"/>
      <c r="R24" s="168"/>
      <c r="S24" s="168"/>
      <c r="T24" s="168"/>
      <c r="U24" s="168"/>
      <c r="V24" s="168"/>
      <c r="W24" s="168"/>
      <c r="X24" s="168"/>
      <c r="Y24" s="168"/>
      <c r="Z24" s="168"/>
      <c r="AA24" s="168"/>
      <c r="AB24" s="168"/>
      <c r="AC24" s="100"/>
      <c r="AD24" s="49"/>
      <c r="AE24" s="49"/>
      <c r="AF24" s="49"/>
      <c r="AG24" s="49"/>
      <c r="AH24" s="49"/>
      <c r="AI24" s="49"/>
      <c r="AJ24" s="49"/>
      <c r="AK24" s="49"/>
      <c r="AL24" s="49"/>
      <c r="AM24" s="49"/>
      <c r="AN24" s="49"/>
      <c r="AO24" s="49"/>
      <c r="AP24" s="49"/>
      <c r="AQ24" s="49"/>
      <c r="AR24" s="49"/>
      <c r="AS24" s="49"/>
      <c r="AT24" s="49"/>
      <c r="AU24" s="49"/>
      <c r="AV24" s="77" t="s">
        <v>399</v>
      </c>
    </row>
    <row r="25" spans="1:48" ht="15.6" customHeight="1">
      <c r="A25" s="181"/>
      <c r="B25" s="46"/>
      <c r="C25" s="180"/>
      <c r="D25" s="46"/>
      <c r="E25" s="46"/>
      <c r="F25" s="46"/>
      <c r="G25" s="46"/>
      <c r="H25" s="46"/>
      <c r="I25" s="46"/>
      <c r="J25" s="167"/>
      <c r="K25" s="173"/>
      <c r="L25" s="174"/>
      <c r="M25" s="175"/>
      <c r="N25" s="169"/>
      <c r="O25" s="168"/>
      <c r="P25" s="168"/>
      <c r="Q25" s="168"/>
      <c r="R25" s="168"/>
      <c r="S25" s="168"/>
      <c r="T25" s="168"/>
      <c r="U25" s="168"/>
      <c r="V25" s="168"/>
      <c r="W25" s="168"/>
      <c r="X25" s="168"/>
      <c r="Y25" s="168"/>
      <c r="Z25" s="168"/>
      <c r="AA25" s="168"/>
      <c r="AB25" s="168"/>
      <c r="AC25" s="100"/>
      <c r="AD25" s="49"/>
      <c r="AE25" s="49"/>
      <c r="AF25" s="49"/>
      <c r="AG25" s="49"/>
      <c r="AH25" s="49"/>
      <c r="AI25" s="49"/>
      <c r="AJ25" s="49"/>
      <c r="AK25" s="49"/>
      <c r="AL25" s="49"/>
      <c r="AM25" s="49"/>
      <c r="AN25" s="49"/>
      <c r="AO25" s="49"/>
      <c r="AP25" s="49"/>
      <c r="AQ25" s="49"/>
      <c r="AR25" s="49"/>
      <c r="AS25" s="49"/>
      <c r="AT25" s="49"/>
      <c r="AU25" s="49"/>
      <c r="AV25" s="77" t="s">
        <v>400</v>
      </c>
    </row>
    <row r="26" spans="1:48" ht="15.6" customHeight="1">
      <c r="A26" s="181"/>
      <c r="B26" s="46"/>
      <c r="C26" s="180"/>
      <c r="D26" s="46"/>
      <c r="E26" s="46"/>
      <c r="F26" s="46"/>
      <c r="G26" s="46"/>
      <c r="H26" s="46"/>
      <c r="I26" s="46"/>
      <c r="J26" s="167"/>
      <c r="K26" s="173"/>
      <c r="L26" s="174"/>
      <c r="M26" s="175"/>
      <c r="N26" s="169"/>
      <c r="O26" s="168"/>
      <c r="P26" s="168"/>
      <c r="Q26" s="168"/>
      <c r="R26" s="168"/>
      <c r="S26" s="168"/>
      <c r="T26" s="168"/>
      <c r="U26" s="168"/>
      <c r="V26" s="168"/>
      <c r="W26" s="168"/>
      <c r="X26" s="168"/>
      <c r="Y26" s="168"/>
      <c r="Z26" s="168"/>
      <c r="AA26" s="168"/>
      <c r="AB26" s="168"/>
      <c r="AC26" s="100"/>
      <c r="AD26" s="49"/>
      <c r="AE26" s="49"/>
      <c r="AF26" s="49"/>
      <c r="AG26" s="49"/>
      <c r="AH26" s="49"/>
      <c r="AI26" s="49"/>
      <c r="AJ26" s="49"/>
      <c r="AK26" s="49"/>
      <c r="AL26" s="49"/>
      <c r="AM26" s="49"/>
      <c r="AN26" s="49"/>
      <c r="AO26" s="49"/>
      <c r="AP26" s="49"/>
      <c r="AQ26" s="49"/>
      <c r="AR26" s="49"/>
      <c r="AS26" s="49"/>
      <c r="AT26" s="49"/>
      <c r="AU26" s="49"/>
      <c r="AV26" s="77" t="s">
        <v>401</v>
      </c>
    </row>
    <row r="27" spans="1:48" ht="15.6" customHeight="1">
      <c r="A27" s="181"/>
      <c r="B27" s="46"/>
      <c r="C27" s="180"/>
      <c r="D27" s="46"/>
      <c r="E27" s="46"/>
      <c r="F27" s="46"/>
      <c r="G27" s="46"/>
      <c r="H27" s="46"/>
      <c r="I27" s="46"/>
      <c r="J27" s="167"/>
      <c r="K27" s="173"/>
      <c r="L27" s="174"/>
      <c r="M27" s="175"/>
      <c r="N27" s="169"/>
      <c r="O27" s="168"/>
      <c r="P27" s="168"/>
      <c r="Q27" s="168"/>
      <c r="R27" s="168"/>
      <c r="S27" s="168"/>
      <c r="T27" s="168"/>
      <c r="U27" s="168"/>
      <c r="V27" s="168"/>
      <c r="W27" s="168"/>
      <c r="X27" s="168"/>
      <c r="Y27" s="168"/>
      <c r="Z27" s="168"/>
      <c r="AA27" s="168"/>
      <c r="AB27" s="168"/>
      <c r="AC27" s="100"/>
      <c r="AD27" s="49"/>
      <c r="AE27" s="49"/>
      <c r="AF27" s="49"/>
      <c r="AG27" s="49"/>
      <c r="AH27" s="49"/>
      <c r="AI27" s="49"/>
      <c r="AJ27" s="49"/>
      <c r="AK27" s="49"/>
      <c r="AL27" s="49"/>
      <c r="AM27" s="49"/>
      <c r="AN27" s="49"/>
      <c r="AO27" s="49"/>
      <c r="AP27" s="49"/>
      <c r="AQ27" s="49"/>
      <c r="AR27" s="49"/>
      <c r="AS27" s="49"/>
      <c r="AT27" s="49"/>
      <c r="AU27" s="49"/>
      <c r="AV27" s="77" t="s">
        <v>402</v>
      </c>
    </row>
    <row r="28" spans="1:48" ht="15.6" customHeight="1">
      <c r="A28" s="181"/>
      <c r="B28" s="46"/>
      <c r="C28" s="180"/>
      <c r="D28" s="46"/>
      <c r="E28" s="46"/>
      <c r="F28" s="46"/>
      <c r="G28" s="46"/>
      <c r="H28" s="46"/>
      <c r="I28" s="46"/>
      <c r="J28" s="167"/>
      <c r="K28" s="173"/>
      <c r="L28" s="174"/>
      <c r="M28" s="175"/>
      <c r="N28" s="169"/>
      <c r="O28" s="168"/>
      <c r="P28" s="168"/>
      <c r="Q28" s="168"/>
      <c r="R28" s="168"/>
      <c r="S28" s="168"/>
      <c r="T28" s="168"/>
      <c r="U28" s="168"/>
      <c r="V28" s="168"/>
      <c r="W28" s="168"/>
      <c r="X28" s="168"/>
      <c r="Y28" s="168"/>
      <c r="Z28" s="168"/>
      <c r="AA28" s="168"/>
      <c r="AB28" s="168"/>
      <c r="AC28" s="100"/>
      <c r="AD28" s="49"/>
      <c r="AE28" s="49"/>
      <c r="AF28" s="49"/>
      <c r="AG28" s="49"/>
      <c r="AH28" s="49"/>
      <c r="AI28" s="49"/>
      <c r="AJ28" s="49"/>
      <c r="AK28" s="49"/>
      <c r="AL28" s="49"/>
      <c r="AM28" s="49"/>
      <c r="AN28" s="49"/>
      <c r="AO28" s="49"/>
      <c r="AP28" s="49"/>
      <c r="AQ28" s="49"/>
      <c r="AR28" s="49"/>
      <c r="AS28" s="49"/>
      <c r="AT28" s="49"/>
      <c r="AU28" s="49"/>
      <c r="AV28" s="77" t="s">
        <v>403</v>
      </c>
    </row>
    <row r="29" spans="1:48" ht="15.6" customHeight="1">
      <c r="A29" s="181"/>
      <c r="B29" s="46"/>
      <c r="C29" s="180"/>
      <c r="D29" s="46"/>
      <c r="E29" s="46"/>
      <c r="F29" s="46"/>
      <c r="G29" s="46"/>
      <c r="H29" s="46"/>
      <c r="I29" s="46"/>
      <c r="J29" s="167"/>
      <c r="K29" s="173"/>
      <c r="L29" s="174"/>
      <c r="M29" s="175"/>
      <c r="N29" s="169"/>
      <c r="O29" s="168"/>
      <c r="P29" s="168"/>
      <c r="Q29" s="168"/>
      <c r="R29" s="168"/>
      <c r="S29" s="168"/>
      <c r="T29" s="168"/>
      <c r="U29" s="168"/>
      <c r="V29" s="168"/>
      <c r="W29" s="168"/>
      <c r="X29" s="168"/>
      <c r="Y29" s="168"/>
      <c r="Z29" s="168"/>
      <c r="AA29" s="168"/>
      <c r="AB29" s="168"/>
      <c r="AC29" s="100"/>
      <c r="AD29" s="49"/>
      <c r="AE29" s="49"/>
      <c r="AF29" s="49"/>
      <c r="AG29" s="49"/>
      <c r="AH29" s="49"/>
      <c r="AI29" s="49"/>
      <c r="AJ29" s="49"/>
      <c r="AK29" s="49"/>
      <c r="AL29" s="49"/>
      <c r="AM29" s="49"/>
      <c r="AN29" s="49"/>
      <c r="AO29" s="49"/>
      <c r="AP29" s="49"/>
      <c r="AQ29" s="49"/>
      <c r="AR29" s="49"/>
      <c r="AS29" s="49"/>
      <c r="AT29" s="49"/>
      <c r="AU29" s="49"/>
      <c r="AV29" s="77" t="s">
        <v>404</v>
      </c>
    </row>
    <row r="30" spans="1:48" ht="15.6" customHeight="1">
      <c r="A30" s="181"/>
      <c r="B30" s="46"/>
      <c r="C30" s="180"/>
      <c r="D30" s="46"/>
      <c r="E30" s="46"/>
      <c r="F30" s="46"/>
      <c r="G30" s="46"/>
      <c r="H30" s="46"/>
      <c r="I30" s="46"/>
      <c r="J30" s="167"/>
      <c r="K30" s="173"/>
      <c r="L30" s="174"/>
      <c r="M30" s="175"/>
      <c r="N30" s="169"/>
      <c r="O30" s="168"/>
      <c r="P30" s="168"/>
      <c r="Q30" s="168"/>
      <c r="R30" s="168"/>
      <c r="S30" s="168"/>
      <c r="T30" s="168"/>
      <c r="U30" s="168"/>
      <c r="V30" s="168"/>
      <c r="W30" s="168"/>
      <c r="X30" s="168"/>
      <c r="Y30" s="168"/>
      <c r="Z30" s="168"/>
      <c r="AA30" s="168"/>
      <c r="AB30" s="168"/>
      <c r="AC30" s="100"/>
      <c r="AD30" s="49"/>
      <c r="AE30" s="49"/>
      <c r="AF30" s="49"/>
      <c r="AG30" s="49"/>
      <c r="AH30" s="49"/>
      <c r="AI30" s="49"/>
      <c r="AJ30" s="49"/>
      <c r="AK30" s="49"/>
      <c r="AL30" s="49"/>
      <c r="AM30" s="49"/>
      <c r="AN30" s="49"/>
      <c r="AO30" s="49"/>
      <c r="AP30" s="49"/>
      <c r="AQ30" s="49"/>
      <c r="AR30" s="49"/>
      <c r="AS30" s="49"/>
      <c r="AT30" s="49"/>
      <c r="AU30" s="49"/>
      <c r="AV30" s="77" t="s">
        <v>405</v>
      </c>
    </row>
    <row r="31" spans="1:48" ht="15.6" customHeight="1">
      <c r="A31" s="181"/>
      <c r="B31" s="46"/>
      <c r="C31" s="180"/>
      <c r="D31" s="46"/>
      <c r="E31" s="46"/>
      <c r="F31" s="46"/>
      <c r="G31" s="46"/>
      <c r="H31" s="46"/>
      <c r="I31" s="46"/>
      <c r="J31" s="167"/>
      <c r="K31" s="173"/>
      <c r="L31" s="174"/>
      <c r="M31" s="175"/>
      <c r="N31" s="169"/>
      <c r="O31" s="168"/>
      <c r="P31" s="168"/>
      <c r="Q31" s="168"/>
      <c r="R31" s="168"/>
      <c r="S31" s="168"/>
      <c r="T31" s="168"/>
      <c r="U31" s="168"/>
      <c r="V31" s="168"/>
      <c r="W31" s="168"/>
      <c r="X31" s="168"/>
      <c r="Y31" s="168"/>
      <c r="Z31" s="168"/>
      <c r="AA31" s="168"/>
      <c r="AB31" s="168"/>
      <c r="AC31" s="100"/>
      <c r="AD31" s="49"/>
      <c r="AE31" s="49"/>
      <c r="AF31" s="49"/>
      <c r="AG31" s="49"/>
      <c r="AH31" s="49"/>
      <c r="AI31" s="49"/>
      <c r="AJ31" s="49"/>
      <c r="AK31" s="49"/>
      <c r="AL31" s="49"/>
      <c r="AM31" s="49"/>
      <c r="AN31" s="49"/>
      <c r="AO31" s="49"/>
      <c r="AP31" s="49"/>
      <c r="AQ31" s="49"/>
      <c r="AR31" s="49"/>
      <c r="AS31" s="49"/>
      <c r="AT31" s="49"/>
      <c r="AU31" s="49"/>
      <c r="AV31" s="77" t="s">
        <v>406</v>
      </c>
    </row>
    <row r="32" spans="1:48" ht="15.6" customHeight="1">
      <c r="A32" s="181"/>
      <c r="B32" s="46"/>
      <c r="C32" s="180"/>
      <c r="D32" s="46"/>
      <c r="E32" s="46"/>
      <c r="F32" s="46"/>
      <c r="G32" s="46"/>
      <c r="H32" s="46"/>
      <c r="I32" s="46"/>
      <c r="J32" s="167"/>
      <c r="K32" s="173"/>
      <c r="L32" s="174"/>
      <c r="M32" s="175"/>
      <c r="N32" s="169"/>
      <c r="O32" s="168"/>
      <c r="P32" s="168"/>
      <c r="Q32" s="168"/>
      <c r="R32" s="168"/>
      <c r="S32" s="168"/>
      <c r="T32" s="168"/>
      <c r="U32" s="168"/>
      <c r="V32" s="168"/>
      <c r="W32" s="168"/>
      <c r="X32" s="168"/>
      <c r="Y32" s="168"/>
      <c r="Z32" s="168"/>
      <c r="AA32" s="168"/>
      <c r="AB32" s="168"/>
      <c r="AC32" s="100"/>
      <c r="AD32" s="49"/>
      <c r="AE32" s="49"/>
      <c r="AF32" s="49"/>
      <c r="AG32" s="49"/>
      <c r="AH32" s="49"/>
      <c r="AI32" s="49"/>
      <c r="AJ32" s="49"/>
      <c r="AK32" s="49"/>
      <c r="AL32" s="49"/>
      <c r="AM32" s="49"/>
      <c r="AN32" s="49"/>
      <c r="AO32" s="49"/>
      <c r="AP32" s="49"/>
      <c r="AQ32" s="49"/>
      <c r="AR32" s="49"/>
      <c r="AS32" s="49"/>
      <c r="AT32" s="49"/>
      <c r="AU32" s="49"/>
      <c r="AV32" s="77" t="s">
        <v>407</v>
      </c>
    </row>
    <row r="33" spans="1:48" ht="15.6" customHeight="1">
      <c r="A33" s="181"/>
      <c r="B33" s="46"/>
      <c r="C33" s="180"/>
      <c r="D33" s="46"/>
      <c r="E33" s="46"/>
      <c r="F33" s="46"/>
      <c r="G33" s="46"/>
      <c r="H33" s="46"/>
      <c r="I33" s="46"/>
      <c r="J33" s="167"/>
      <c r="K33" s="173"/>
      <c r="L33" s="174"/>
      <c r="M33" s="175"/>
      <c r="N33" s="169"/>
      <c r="O33" s="168"/>
      <c r="P33" s="168"/>
      <c r="Q33" s="168"/>
      <c r="R33" s="168"/>
      <c r="S33" s="168"/>
      <c r="T33" s="168"/>
      <c r="U33" s="168"/>
      <c r="V33" s="168"/>
      <c r="W33" s="168"/>
      <c r="X33" s="168"/>
      <c r="Y33" s="168"/>
      <c r="Z33" s="168"/>
      <c r="AA33" s="168"/>
      <c r="AB33" s="168"/>
      <c r="AC33" s="100"/>
      <c r="AD33" s="49"/>
      <c r="AE33" s="49"/>
      <c r="AF33" s="49"/>
      <c r="AG33" s="49"/>
      <c r="AH33" s="49"/>
      <c r="AI33" s="49"/>
      <c r="AJ33" s="49"/>
      <c r="AK33" s="49"/>
      <c r="AL33" s="49"/>
      <c r="AM33" s="49"/>
      <c r="AN33" s="49"/>
      <c r="AO33" s="49"/>
      <c r="AP33" s="49"/>
      <c r="AQ33" s="49"/>
      <c r="AR33" s="49"/>
      <c r="AS33" s="49"/>
      <c r="AT33" s="49"/>
      <c r="AU33" s="49"/>
      <c r="AV33" s="77" t="s">
        <v>408</v>
      </c>
    </row>
    <row r="34" spans="1:48" ht="15.6" customHeight="1">
      <c r="A34" s="181"/>
      <c r="B34" s="46"/>
      <c r="C34" s="180"/>
      <c r="D34" s="46"/>
      <c r="E34" s="46"/>
      <c r="F34" s="46"/>
      <c r="G34" s="46"/>
      <c r="H34" s="46"/>
      <c r="I34" s="46"/>
      <c r="J34" s="167"/>
      <c r="K34" s="173"/>
      <c r="L34" s="174"/>
      <c r="M34" s="175"/>
      <c r="N34" s="169"/>
      <c r="O34" s="168"/>
      <c r="P34" s="168"/>
      <c r="Q34" s="168"/>
      <c r="R34" s="168"/>
      <c r="S34" s="168"/>
      <c r="T34" s="168"/>
      <c r="U34" s="168"/>
      <c r="V34" s="168"/>
      <c r="W34" s="168"/>
      <c r="X34" s="168"/>
      <c r="Y34" s="168"/>
      <c r="Z34" s="168"/>
      <c r="AA34" s="168"/>
      <c r="AB34" s="168"/>
      <c r="AC34" s="100"/>
      <c r="AD34" s="49"/>
      <c r="AE34" s="49"/>
      <c r="AF34" s="49"/>
      <c r="AG34" s="49"/>
      <c r="AH34" s="49"/>
      <c r="AI34" s="49"/>
      <c r="AJ34" s="49"/>
      <c r="AK34" s="49"/>
      <c r="AL34" s="49"/>
      <c r="AM34" s="49"/>
      <c r="AN34" s="49"/>
      <c r="AO34" s="49"/>
      <c r="AP34" s="49"/>
      <c r="AQ34" s="49"/>
      <c r="AR34" s="49"/>
      <c r="AS34" s="49"/>
      <c r="AT34" s="49"/>
      <c r="AU34" s="49"/>
      <c r="AV34" s="77" t="s">
        <v>409</v>
      </c>
    </row>
    <row r="35" spans="1:48" ht="15.6" customHeight="1">
      <c r="A35" s="181"/>
      <c r="B35" s="46"/>
      <c r="C35" s="180"/>
      <c r="D35" s="46"/>
      <c r="E35" s="46"/>
      <c r="F35" s="46"/>
      <c r="G35" s="46"/>
      <c r="H35" s="46"/>
      <c r="I35" s="46"/>
      <c r="J35" s="167"/>
      <c r="K35" s="173"/>
      <c r="L35" s="174"/>
      <c r="M35" s="175"/>
      <c r="N35" s="169"/>
      <c r="O35" s="168"/>
      <c r="P35" s="168"/>
      <c r="Q35" s="168"/>
      <c r="R35" s="168"/>
      <c r="S35" s="168"/>
      <c r="T35" s="168"/>
      <c r="U35" s="168"/>
      <c r="V35" s="168"/>
      <c r="W35" s="168"/>
      <c r="X35" s="168"/>
      <c r="Y35" s="168"/>
      <c r="Z35" s="168"/>
      <c r="AA35" s="168"/>
      <c r="AB35" s="168"/>
      <c r="AC35" s="100"/>
      <c r="AD35" s="49"/>
      <c r="AE35" s="49"/>
      <c r="AF35" s="49"/>
      <c r="AG35" s="49"/>
      <c r="AH35" s="49"/>
      <c r="AI35" s="49"/>
      <c r="AJ35" s="49"/>
      <c r="AK35" s="49"/>
      <c r="AL35" s="49"/>
      <c r="AM35" s="49"/>
      <c r="AN35" s="49"/>
      <c r="AO35" s="49"/>
      <c r="AP35" s="49"/>
      <c r="AQ35" s="49"/>
      <c r="AR35" s="49"/>
      <c r="AS35" s="49"/>
      <c r="AT35" s="49"/>
      <c r="AU35" s="49"/>
      <c r="AV35" s="77" t="s">
        <v>410</v>
      </c>
    </row>
    <row r="36" spans="1:48" ht="15.6" customHeight="1">
      <c r="A36" s="181"/>
      <c r="B36" s="46"/>
      <c r="C36" s="180"/>
      <c r="D36" s="46"/>
      <c r="E36" s="46"/>
      <c r="F36" s="46"/>
      <c r="G36" s="46"/>
      <c r="H36" s="46"/>
      <c r="I36" s="46"/>
      <c r="J36" s="167"/>
      <c r="K36" s="173"/>
      <c r="L36" s="174"/>
      <c r="M36" s="175"/>
      <c r="N36" s="169"/>
      <c r="O36" s="168"/>
      <c r="P36" s="168"/>
      <c r="Q36" s="168"/>
      <c r="R36" s="168"/>
      <c r="S36" s="168"/>
      <c r="T36" s="168"/>
      <c r="U36" s="168"/>
      <c r="V36" s="168"/>
      <c r="W36" s="168"/>
      <c r="X36" s="168"/>
      <c r="Y36" s="168"/>
      <c r="Z36" s="168"/>
      <c r="AA36" s="168"/>
      <c r="AB36" s="168"/>
      <c r="AC36" s="100"/>
      <c r="AD36" s="49"/>
      <c r="AE36" s="49"/>
      <c r="AF36" s="49"/>
      <c r="AG36" s="49"/>
      <c r="AH36" s="49"/>
      <c r="AI36" s="49"/>
      <c r="AJ36" s="49"/>
      <c r="AK36" s="49"/>
      <c r="AL36" s="49"/>
      <c r="AM36" s="49"/>
      <c r="AN36" s="49"/>
      <c r="AO36" s="49"/>
      <c r="AP36" s="49"/>
      <c r="AQ36" s="49"/>
      <c r="AR36" s="49"/>
      <c r="AS36" s="49"/>
      <c r="AT36" s="49"/>
      <c r="AU36" s="49"/>
      <c r="AV36" s="77" t="s">
        <v>137</v>
      </c>
    </row>
    <row r="37" spans="1:48" ht="15.6" customHeight="1">
      <c r="A37" s="181"/>
      <c r="B37" s="46"/>
      <c r="C37" s="180"/>
      <c r="D37" s="46"/>
      <c r="E37" s="46"/>
      <c r="F37" s="46"/>
      <c r="G37" s="46"/>
      <c r="H37" s="46"/>
      <c r="I37" s="46"/>
      <c r="J37" s="167"/>
      <c r="K37" s="173"/>
      <c r="L37" s="174"/>
      <c r="M37" s="175"/>
      <c r="N37" s="169"/>
      <c r="O37" s="168"/>
      <c r="P37" s="168"/>
      <c r="Q37" s="168"/>
      <c r="R37" s="168"/>
      <c r="S37" s="168"/>
      <c r="T37" s="168"/>
      <c r="U37" s="168"/>
      <c r="V37" s="168"/>
      <c r="W37" s="168"/>
      <c r="X37" s="168"/>
      <c r="Y37" s="168"/>
      <c r="Z37" s="168"/>
      <c r="AA37" s="168"/>
      <c r="AB37" s="168"/>
      <c r="AC37" s="100"/>
      <c r="AD37" s="49"/>
      <c r="AE37" s="49"/>
      <c r="AF37" s="49"/>
      <c r="AG37" s="49"/>
      <c r="AH37" s="49"/>
      <c r="AI37" s="49"/>
      <c r="AJ37" s="49"/>
      <c r="AK37" s="49"/>
      <c r="AL37" s="49"/>
      <c r="AM37" s="49"/>
      <c r="AN37" s="49"/>
      <c r="AO37" s="49"/>
      <c r="AP37" s="49"/>
      <c r="AQ37" s="49"/>
      <c r="AR37" s="49"/>
      <c r="AS37" s="49"/>
      <c r="AT37" s="49"/>
      <c r="AU37" s="49"/>
      <c r="AV37" s="77" t="s">
        <v>411</v>
      </c>
    </row>
    <row r="38" spans="1:48" ht="15.6" customHeight="1">
      <c r="A38" s="181"/>
      <c r="B38" s="46"/>
      <c r="C38" s="180"/>
      <c r="D38" s="46"/>
      <c r="E38" s="46"/>
      <c r="F38" s="46"/>
      <c r="G38" s="46"/>
      <c r="H38" s="46"/>
      <c r="I38" s="46"/>
      <c r="J38" s="167"/>
      <c r="K38" s="173"/>
      <c r="L38" s="174"/>
      <c r="M38" s="175"/>
      <c r="N38" s="169"/>
      <c r="O38" s="168"/>
      <c r="P38" s="168"/>
      <c r="Q38" s="168"/>
      <c r="R38" s="168"/>
      <c r="S38" s="168"/>
      <c r="T38" s="168"/>
      <c r="U38" s="168"/>
      <c r="V38" s="168"/>
      <c r="W38" s="168"/>
      <c r="X38" s="168"/>
      <c r="Y38" s="168"/>
      <c r="Z38" s="168"/>
      <c r="AA38" s="168"/>
      <c r="AB38" s="168"/>
      <c r="AC38" s="100"/>
      <c r="AD38" s="49"/>
      <c r="AE38" s="49"/>
      <c r="AF38" s="49"/>
      <c r="AG38" s="49"/>
      <c r="AH38" s="49"/>
      <c r="AI38" s="49"/>
      <c r="AJ38" s="49"/>
      <c r="AK38" s="49"/>
      <c r="AL38" s="49"/>
      <c r="AM38" s="49"/>
      <c r="AN38" s="49"/>
      <c r="AO38" s="49"/>
      <c r="AP38" s="49"/>
      <c r="AQ38" s="49"/>
      <c r="AR38" s="49"/>
      <c r="AS38" s="49"/>
      <c r="AT38" s="49"/>
      <c r="AU38" s="49"/>
      <c r="AV38" s="77" t="s">
        <v>412</v>
      </c>
    </row>
    <row r="39" spans="1:48" ht="15.6" customHeight="1">
      <c r="A39" s="181"/>
      <c r="B39" s="46"/>
      <c r="C39" s="180"/>
      <c r="D39" s="46"/>
      <c r="E39" s="46"/>
      <c r="F39" s="46"/>
      <c r="G39" s="46"/>
      <c r="H39" s="46"/>
      <c r="I39" s="46"/>
      <c r="J39" s="167"/>
      <c r="K39" s="173"/>
      <c r="L39" s="174"/>
      <c r="M39" s="175"/>
      <c r="N39" s="169"/>
      <c r="O39" s="168"/>
      <c r="P39" s="168"/>
      <c r="Q39" s="168"/>
      <c r="R39" s="168"/>
      <c r="S39" s="168"/>
      <c r="T39" s="168"/>
      <c r="U39" s="168"/>
      <c r="V39" s="168"/>
      <c r="W39" s="168"/>
      <c r="X39" s="168"/>
      <c r="Y39" s="168"/>
      <c r="Z39" s="168"/>
      <c r="AA39" s="168"/>
      <c r="AB39" s="168"/>
      <c r="AC39" s="100"/>
      <c r="AD39" s="49"/>
      <c r="AE39" s="49"/>
      <c r="AF39" s="49"/>
      <c r="AG39" s="49"/>
      <c r="AH39" s="49"/>
      <c r="AI39" s="49"/>
      <c r="AJ39" s="49"/>
      <c r="AK39" s="49"/>
      <c r="AL39" s="49"/>
      <c r="AM39" s="49"/>
      <c r="AN39" s="49"/>
      <c r="AO39" s="49"/>
      <c r="AP39" s="49"/>
      <c r="AQ39" s="49"/>
      <c r="AR39" s="49"/>
      <c r="AS39" s="49"/>
      <c r="AT39" s="49"/>
      <c r="AU39" s="49"/>
    </row>
    <row r="40" spans="1:48" ht="15.6" customHeight="1" thickBot="1">
      <c r="A40" s="181"/>
      <c r="B40" s="46"/>
      <c r="C40" s="180"/>
      <c r="D40" s="46"/>
      <c r="E40" s="46"/>
      <c r="F40" s="46"/>
      <c r="G40" s="46"/>
      <c r="H40" s="46"/>
      <c r="I40" s="46"/>
      <c r="J40" s="167"/>
      <c r="K40" s="176"/>
      <c r="L40" s="177"/>
      <c r="M40" s="178"/>
      <c r="N40" s="169"/>
      <c r="O40" s="168"/>
      <c r="P40" s="168"/>
      <c r="Q40" s="168"/>
      <c r="R40" s="168"/>
      <c r="S40" s="168"/>
      <c r="T40" s="168"/>
      <c r="U40" s="168"/>
      <c r="V40" s="168"/>
      <c r="W40" s="168"/>
      <c r="X40" s="168"/>
      <c r="Y40" s="168"/>
      <c r="Z40" s="168"/>
      <c r="AA40" s="168"/>
      <c r="AB40" s="168"/>
      <c r="AC40" s="100"/>
      <c r="AD40" s="49"/>
      <c r="AE40" s="49"/>
      <c r="AF40" s="49"/>
      <c r="AG40" s="49"/>
      <c r="AH40" s="49"/>
      <c r="AI40" s="49"/>
      <c r="AJ40" s="49"/>
      <c r="AK40" s="49"/>
      <c r="AL40" s="49"/>
      <c r="AM40" s="49"/>
      <c r="AN40" s="49"/>
      <c r="AO40" s="49"/>
      <c r="AP40" s="49"/>
      <c r="AQ40" s="49"/>
      <c r="AR40" s="49"/>
      <c r="AS40" s="49"/>
      <c r="AT40" s="49"/>
      <c r="AU40" s="49"/>
    </row>
    <row r="41" spans="1:48">
      <c r="A41" s="49"/>
      <c r="B41" s="49"/>
      <c r="C41" s="49"/>
      <c r="D41" s="49"/>
      <c r="E41" s="49"/>
      <c r="F41" s="49"/>
      <c r="G41" s="49"/>
      <c r="H41" s="49"/>
      <c r="I41" s="49"/>
      <c r="J41" s="49"/>
      <c r="K41" s="97"/>
      <c r="L41" s="97"/>
      <c r="M41" s="97"/>
      <c r="N41" s="97"/>
      <c r="O41" s="97"/>
      <c r="P41" s="97"/>
      <c r="Q41" s="97"/>
      <c r="R41" s="97"/>
      <c r="S41" s="97"/>
      <c r="T41" s="97"/>
      <c r="U41" s="97"/>
      <c r="V41" s="97"/>
      <c r="W41" s="97"/>
      <c r="X41" s="97"/>
      <c r="Y41" s="97"/>
      <c r="Z41" s="97"/>
      <c r="AA41" s="97"/>
      <c r="AB41" s="97"/>
      <c r="AC41" s="49"/>
      <c r="AD41" s="49"/>
      <c r="AE41" s="49"/>
      <c r="AF41" s="49"/>
      <c r="AG41" s="49"/>
      <c r="AH41" s="49"/>
      <c r="AI41" s="49"/>
      <c r="AJ41" s="49"/>
      <c r="AK41" s="49"/>
      <c r="AL41" s="49"/>
      <c r="AM41" s="49"/>
      <c r="AN41" s="49"/>
      <c r="AO41" s="49"/>
      <c r="AP41" s="49"/>
      <c r="AQ41" s="49"/>
      <c r="AR41" s="49"/>
      <c r="AS41" s="49"/>
      <c r="AT41" s="49"/>
      <c r="AU41" s="49"/>
    </row>
    <row r="42" spans="1:48">
      <c r="A42" s="49"/>
      <c r="B42" s="49"/>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row>
    <row r="43" spans="1:48">
      <c r="A43" s="49"/>
      <c r="B43" s="49"/>
      <c r="C43" s="49"/>
      <c r="D43" s="49"/>
      <c r="E43" s="49"/>
      <c r="F43" s="49"/>
      <c r="G43" s="49"/>
      <c r="H43" s="49"/>
      <c r="I43" s="49"/>
      <c r="J43" s="49"/>
      <c r="K43" s="49"/>
      <c r="L43" s="49"/>
      <c r="M43" s="49"/>
      <c r="N43" s="49"/>
      <c r="O43" s="49"/>
      <c r="P43" s="49"/>
      <c r="Q43" s="49"/>
      <c r="R43" s="49"/>
      <c r="S43" s="49"/>
      <c r="T43" s="49"/>
      <c r="U43" s="49"/>
      <c r="V43" s="49"/>
      <c r="W43" s="49"/>
      <c r="X43" s="49"/>
      <c r="Y43" s="49"/>
      <c r="Z43" s="49"/>
      <c r="AA43" s="49"/>
      <c r="AB43" s="49"/>
      <c r="AC43" s="49"/>
      <c r="AD43" s="49"/>
      <c r="AE43" s="49"/>
      <c r="AF43" s="49"/>
      <c r="AG43" s="49"/>
      <c r="AH43" s="49"/>
      <c r="AI43" s="49"/>
      <c r="AJ43" s="49"/>
      <c r="AK43" s="49"/>
      <c r="AL43" s="49"/>
      <c r="AM43" s="49"/>
      <c r="AN43" s="49"/>
      <c r="AO43" s="49"/>
      <c r="AP43" s="49"/>
      <c r="AQ43" s="49"/>
      <c r="AR43" s="49"/>
      <c r="AS43" s="49"/>
      <c r="AT43" s="49"/>
      <c r="AU43" s="49"/>
    </row>
    <row r="44" spans="1:48">
      <c r="A44" s="49"/>
      <c r="B44" s="49"/>
      <c r="C44" s="49"/>
      <c r="D44" s="49"/>
      <c r="E44" s="49"/>
      <c r="F44" s="49"/>
      <c r="G44" s="49"/>
      <c r="H44" s="49"/>
      <c r="I44" s="49"/>
      <c r="J44" s="49"/>
      <c r="K44" s="49"/>
      <c r="L44" s="49"/>
      <c r="M44" s="49"/>
      <c r="N44" s="49"/>
      <c r="O44" s="49"/>
      <c r="P44" s="49"/>
      <c r="Q44" s="49"/>
      <c r="R44" s="49"/>
      <c r="S44" s="49"/>
      <c r="T44" s="49"/>
      <c r="U44" s="49"/>
      <c r="V44" s="49"/>
      <c r="W44" s="49"/>
      <c r="X44" s="49"/>
      <c r="Y44" s="49"/>
      <c r="Z44" s="49"/>
      <c r="AA44" s="49"/>
      <c r="AB44" s="49"/>
      <c r="AC44" s="49"/>
      <c r="AD44" s="49"/>
      <c r="AE44" s="49"/>
      <c r="AF44" s="49"/>
      <c r="AG44" s="49"/>
      <c r="AH44" s="49"/>
      <c r="AI44" s="49"/>
      <c r="AJ44" s="49"/>
      <c r="AK44" s="49"/>
      <c r="AL44" s="49"/>
      <c r="AM44" s="49"/>
      <c r="AN44" s="49"/>
      <c r="AO44" s="49"/>
      <c r="AP44" s="49"/>
      <c r="AQ44" s="49"/>
      <c r="AR44" s="49"/>
      <c r="AS44" s="49"/>
      <c r="AT44" s="49"/>
      <c r="AU44" s="49"/>
    </row>
    <row r="45" spans="1:48">
      <c r="A45" s="49"/>
      <c r="B45" s="49"/>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row>
    <row r="46" spans="1:48">
      <c r="A46" s="49"/>
      <c r="B46" s="49"/>
      <c r="C46" s="49"/>
      <c r="D46" s="49"/>
      <c r="E46" s="49"/>
      <c r="F46" s="49"/>
      <c r="G46" s="49"/>
      <c r="H46" s="49"/>
      <c r="I46" s="49"/>
      <c r="J46" s="49"/>
      <c r="K46" s="49"/>
      <c r="L46" s="49"/>
      <c r="M46" s="49"/>
      <c r="N46" s="49"/>
      <c r="O46" s="49"/>
      <c r="P46" s="49"/>
      <c r="Q46" s="49"/>
      <c r="R46" s="49"/>
      <c r="S46" s="49"/>
      <c r="T46" s="49"/>
      <c r="U46" s="49"/>
      <c r="V46" s="49"/>
      <c r="W46" s="49"/>
      <c r="X46" s="49"/>
      <c r="Y46" s="49"/>
      <c r="Z46" s="49"/>
      <c r="AA46" s="49"/>
      <c r="AB46" s="49"/>
      <c r="AC46" s="49"/>
      <c r="AD46" s="49"/>
      <c r="AE46" s="49"/>
      <c r="AF46" s="49"/>
      <c r="AG46" s="49"/>
      <c r="AH46" s="49"/>
      <c r="AI46" s="49"/>
      <c r="AJ46" s="49"/>
      <c r="AK46" s="49"/>
      <c r="AL46" s="49"/>
      <c r="AM46" s="49"/>
      <c r="AN46" s="49"/>
      <c r="AO46" s="49"/>
      <c r="AP46" s="49"/>
      <c r="AQ46" s="49"/>
      <c r="AR46" s="49"/>
      <c r="AS46" s="49"/>
      <c r="AT46" s="49"/>
      <c r="AU46" s="49"/>
    </row>
    <row r="47" spans="1:48">
      <c r="A47" s="49"/>
      <c r="B47" s="49"/>
      <c r="C47" s="49"/>
      <c r="D47" s="49"/>
      <c r="E47" s="49"/>
      <c r="F47" s="49"/>
      <c r="G47" s="49"/>
      <c r="H47" s="49"/>
      <c r="I47" s="49"/>
      <c r="J47" s="49"/>
      <c r="K47" s="49"/>
      <c r="L47" s="49"/>
      <c r="M47" s="4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row>
    <row r="48" spans="1:48">
      <c r="A48" s="49"/>
      <c r="B48" s="49"/>
      <c r="C48" s="49"/>
      <c r="D48" s="49"/>
      <c r="E48" s="49"/>
      <c r="F48" s="49"/>
      <c r="G48" s="49"/>
      <c r="H48" s="49"/>
      <c r="I48" s="49"/>
      <c r="J48" s="49"/>
      <c r="K48" s="49"/>
      <c r="L48" s="49"/>
      <c r="M48" s="4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row>
    <row r="49" spans="1:47">
      <c r="A49" s="49"/>
      <c r="B49" s="49"/>
      <c r="C49" s="49"/>
      <c r="D49" s="49"/>
      <c r="E49" s="49"/>
      <c r="F49" s="49"/>
      <c r="G49" s="49"/>
      <c r="H49" s="49"/>
      <c r="I49" s="49"/>
      <c r="J49" s="49"/>
      <c r="K49" s="49"/>
      <c r="L49" s="49"/>
      <c r="M49" s="49"/>
      <c r="N49" s="49"/>
      <c r="O49" s="49"/>
      <c r="P49" s="49"/>
      <c r="Q49" s="49"/>
      <c r="R49" s="49"/>
      <c r="S49" s="49"/>
      <c r="T49" s="49"/>
      <c r="U49" s="49"/>
      <c r="V49" s="49"/>
      <c r="W49" s="49"/>
      <c r="X49" s="49"/>
      <c r="Y49" s="49"/>
      <c r="Z49" s="49"/>
      <c r="AA49" s="49"/>
      <c r="AB49" s="49"/>
      <c r="AC49" s="49"/>
      <c r="AD49" s="49"/>
      <c r="AE49" s="49"/>
      <c r="AF49" s="49"/>
      <c r="AG49" s="49"/>
      <c r="AH49" s="49"/>
      <c r="AI49" s="49"/>
      <c r="AJ49" s="49"/>
      <c r="AK49" s="49"/>
      <c r="AL49" s="49"/>
      <c r="AM49" s="49"/>
      <c r="AN49" s="49"/>
      <c r="AO49" s="49"/>
      <c r="AP49" s="49"/>
      <c r="AQ49" s="49"/>
      <c r="AR49" s="49"/>
      <c r="AS49" s="49"/>
      <c r="AT49" s="49"/>
      <c r="AU49" s="49"/>
    </row>
    <row r="50" spans="1:47">
      <c r="A50" s="49"/>
      <c r="B50" s="49"/>
      <c r="C50" s="49"/>
      <c r="D50" s="49"/>
      <c r="E50" s="49"/>
      <c r="F50" s="49"/>
      <c r="G50" s="49"/>
      <c r="H50" s="49"/>
      <c r="I50" s="49"/>
      <c r="J50" s="49"/>
      <c r="K50" s="49"/>
      <c r="L50" s="49"/>
      <c r="M50" s="49"/>
      <c r="N50" s="49"/>
      <c r="O50" s="49"/>
      <c r="P50" s="49"/>
      <c r="Q50" s="49"/>
      <c r="R50" s="49"/>
      <c r="S50" s="49"/>
      <c r="T50" s="49"/>
      <c r="U50" s="49"/>
      <c r="V50" s="49"/>
      <c r="W50" s="49"/>
      <c r="X50" s="49"/>
      <c r="Y50" s="49"/>
      <c r="Z50" s="49"/>
      <c r="AA50" s="49"/>
      <c r="AB50" s="49"/>
      <c r="AC50" s="49"/>
      <c r="AD50" s="49"/>
      <c r="AE50" s="49"/>
      <c r="AF50" s="49"/>
      <c r="AG50" s="49"/>
      <c r="AH50" s="49"/>
      <c r="AI50" s="49"/>
      <c r="AJ50" s="49"/>
      <c r="AK50" s="49"/>
      <c r="AL50" s="49"/>
      <c r="AM50" s="49"/>
      <c r="AN50" s="49"/>
      <c r="AO50" s="49"/>
      <c r="AP50" s="49"/>
      <c r="AQ50" s="49"/>
      <c r="AR50" s="49"/>
      <c r="AS50" s="49"/>
      <c r="AT50" s="49"/>
      <c r="AU50" s="49"/>
    </row>
    <row r="51" spans="1:47">
      <c r="A51" s="49"/>
      <c r="B51" s="49"/>
      <c r="C51" s="49"/>
      <c r="D51" s="49"/>
      <c r="E51" s="49"/>
      <c r="F51" s="49"/>
      <c r="G51" s="49"/>
      <c r="H51" s="49"/>
      <c r="I51" s="49"/>
      <c r="J51" s="49"/>
      <c r="K51" s="49"/>
      <c r="L51" s="49"/>
      <c r="M51" s="49"/>
      <c r="N51" s="49"/>
      <c r="O51" s="49"/>
      <c r="P51" s="49"/>
      <c r="Q51" s="49"/>
      <c r="R51" s="49"/>
      <c r="S51" s="49"/>
      <c r="T51" s="49"/>
      <c r="U51" s="49"/>
      <c r="V51" s="49"/>
      <c r="W51" s="49"/>
      <c r="X51" s="49"/>
      <c r="Y51" s="49"/>
      <c r="Z51" s="49"/>
      <c r="AA51" s="49"/>
      <c r="AB51" s="49"/>
      <c r="AC51" s="49"/>
      <c r="AD51" s="49"/>
      <c r="AE51" s="49"/>
      <c r="AF51" s="49"/>
      <c r="AG51" s="49"/>
      <c r="AH51" s="49"/>
      <c r="AI51" s="49"/>
      <c r="AJ51" s="49"/>
      <c r="AK51" s="49"/>
      <c r="AL51" s="49"/>
      <c r="AM51" s="49"/>
      <c r="AN51" s="49"/>
      <c r="AO51" s="49"/>
      <c r="AP51" s="49"/>
      <c r="AQ51" s="49"/>
      <c r="AR51" s="49"/>
      <c r="AS51" s="49"/>
      <c r="AT51" s="49"/>
      <c r="AU51" s="49"/>
    </row>
    <row r="52" spans="1:47">
      <c r="A52" s="49"/>
      <c r="B52" s="49"/>
      <c r="C52" s="49"/>
      <c r="D52" s="49"/>
      <c r="E52" s="49"/>
      <c r="F52" s="49"/>
      <c r="G52" s="49"/>
      <c r="H52" s="49"/>
      <c r="I52" s="49"/>
      <c r="J52" s="49"/>
      <c r="K52" s="49"/>
      <c r="L52" s="49"/>
      <c r="M52" s="49"/>
      <c r="N52" s="49"/>
      <c r="O52" s="49"/>
      <c r="P52" s="49"/>
      <c r="Q52" s="49"/>
      <c r="R52" s="49"/>
      <c r="S52" s="49"/>
      <c r="T52" s="49"/>
      <c r="U52" s="49"/>
      <c r="V52" s="49"/>
      <c r="W52" s="49"/>
      <c r="X52" s="49"/>
      <c r="Y52" s="49"/>
      <c r="Z52" s="49"/>
      <c r="AA52" s="49"/>
      <c r="AB52" s="49"/>
      <c r="AC52" s="49"/>
      <c r="AD52" s="49"/>
      <c r="AE52" s="49"/>
      <c r="AF52" s="49"/>
      <c r="AG52" s="49"/>
      <c r="AH52" s="49"/>
      <c r="AI52" s="49"/>
      <c r="AJ52" s="49"/>
      <c r="AK52" s="49"/>
      <c r="AL52" s="49"/>
      <c r="AM52" s="49"/>
      <c r="AN52" s="49"/>
      <c r="AO52" s="49"/>
      <c r="AP52" s="49"/>
      <c r="AQ52" s="49"/>
      <c r="AR52" s="49"/>
      <c r="AS52" s="49"/>
      <c r="AT52" s="49"/>
      <c r="AU52" s="49"/>
    </row>
    <row r="53" spans="1:47">
      <c r="A53" s="49"/>
      <c r="B53" s="49"/>
      <c r="C53" s="49"/>
      <c r="D53" s="49"/>
      <c r="E53" s="49"/>
      <c r="F53" s="49"/>
      <c r="G53" s="49"/>
      <c r="H53" s="49"/>
      <c r="I53" s="49"/>
      <c r="J53" s="49"/>
      <c r="K53" s="49"/>
      <c r="L53" s="49"/>
      <c r="M53" s="49"/>
      <c r="N53" s="49"/>
      <c r="O53" s="49"/>
      <c r="P53" s="49"/>
      <c r="Q53" s="49"/>
      <c r="R53" s="49"/>
      <c r="S53" s="49"/>
      <c r="T53" s="49"/>
      <c r="U53" s="49"/>
      <c r="V53" s="49"/>
      <c r="W53" s="49"/>
      <c r="X53" s="49"/>
      <c r="Y53" s="49"/>
      <c r="Z53" s="49"/>
      <c r="AA53" s="49"/>
      <c r="AB53" s="49"/>
      <c r="AC53" s="49"/>
      <c r="AD53" s="49"/>
      <c r="AE53" s="49"/>
      <c r="AF53" s="49"/>
      <c r="AG53" s="49"/>
      <c r="AH53" s="49"/>
      <c r="AI53" s="49"/>
      <c r="AJ53" s="49"/>
      <c r="AK53" s="49"/>
      <c r="AL53" s="49"/>
      <c r="AM53" s="49"/>
      <c r="AN53" s="49"/>
      <c r="AO53" s="49"/>
      <c r="AP53" s="49"/>
      <c r="AQ53" s="49"/>
      <c r="AR53" s="49"/>
      <c r="AS53" s="49"/>
      <c r="AT53" s="49"/>
      <c r="AU53" s="49"/>
    </row>
    <row r="54" spans="1:47">
      <c r="A54" s="49"/>
      <c r="B54" s="49"/>
      <c r="C54" s="49"/>
      <c r="D54" s="49"/>
      <c r="E54" s="49"/>
      <c r="F54" s="49"/>
      <c r="G54" s="49"/>
      <c r="H54" s="49"/>
      <c r="I54" s="49"/>
      <c r="J54" s="49"/>
      <c r="K54" s="49"/>
      <c r="L54" s="49"/>
      <c r="M54" s="49"/>
      <c r="N54" s="49"/>
      <c r="O54" s="49"/>
      <c r="P54" s="49"/>
      <c r="Q54" s="49"/>
      <c r="R54" s="49"/>
      <c r="S54" s="49"/>
      <c r="T54" s="49"/>
      <c r="U54" s="49"/>
      <c r="V54" s="49"/>
      <c r="W54" s="49"/>
      <c r="X54" s="49"/>
      <c r="Y54" s="49"/>
      <c r="Z54" s="49"/>
      <c r="AA54" s="49"/>
      <c r="AB54" s="49"/>
      <c r="AC54" s="49"/>
      <c r="AD54" s="49"/>
      <c r="AE54" s="49"/>
      <c r="AF54" s="49"/>
      <c r="AG54" s="49"/>
      <c r="AH54" s="49"/>
      <c r="AI54" s="49"/>
      <c r="AJ54" s="49"/>
      <c r="AK54" s="49"/>
      <c r="AL54" s="49"/>
      <c r="AM54" s="49"/>
      <c r="AN54" s="49"/>
      <c r="AO54" s="49"/>
      <c r="AP54" s="49"/>
      <c r="AQ54" s="49"/>
      <c r="AR54" s="49"/>
      <c r="AS54" s="49"/>
      <c r="AT54" s="49"/>
      <c r="AU54" s="49"/>
    </row>
    <row r="55" spans="1:47">
      <c r="A55" s="49"/>
      <c r="B55" s="49"/>
      <c r="C55" s="49"/>
      <c r="D55" s="49"/>
      <c r="E55" s="49"/>
      <c r="F55" s="49"/>
      <c r="G55" s="49"/>
      <c r="H55" s="49"/>
      <c r="I55" s="49"/>
      <c r="J55" s="49"/>
      <c r="K55" s="49"/>
      <c r="L55" s="49"/>
      <c r="M55" s="49"/>
      <c r="N55" s="49"/>
      <c r="O55" s="49"/>
      <c r="P55" s="49"/>
      <c r="Q55" s="49"/>
      <c r="R55" s="49"/>
      <c r="S55" s="49"/>
      <c r="T55" s="49"/>
      <c r="U55" s="49"/>
      <c r="V55" s="49"/>
      <c r="W55" s="49"/>
      <c r="X55" s="49"/>
      <c r="Y55" s="49"/>
      <c r="Z55" s="49"/>
      <c r="AA55" s="49"/>
      <c r="AB55" s="49"/>
      <c r="AC55" s="49"/>
      <c r="AD55" s="49"/>
      <c r="AE55" s="49"/>
      <c r="AF55" s="49"/>
      <c r="AG55" s="49"/>
      <c r="AH55" s="49"/>
      <c r="AI55" s="49"/>
      <c r="AJ55" s="49"/>
      <c r="AK55" s="49"/>
      <c r="AL55" s="49"/>
      <c r="AM55" s="49"/>
      <c r="AN55" s="49"/>
      <c r="AO55" s="49"/>
      <c r="AP55" s="49"/>
      <c r="AQ55" s="49"/>
      <c r="AR55" s="49"/>
      <c r="AS55" s="49"/>
      <c r="AT55" s="49"/>
      <c r="AU55" s="49"/>
    </row>
    <row r="56" spans="1:47">
      <c r="A56" s="49"/>
      <c r="B56" s="49"/>
      <c r="C56" s="49"/>
      <c r="D56" s="49"/>
      <c r="E56" s="49"/>
      <c r="F56" s="49"/>
      <c r="G56" s="49"/>
      <c r="H56" s="49"/>
      <c r="I56" s="49"/>
      <c r="J56" s="49"/>
      <c r="K56" s="49"/>
      <c r="L56" s="49"/>
      <c r="M56" s="49"/>
      <c r="N56" s="49"/>
      <c r="O56" s="49"/>
      <c r="P56" s="49"/>
      <c r="Q56" s="49"/>
      <c r="R56" s="49"/>
      <c r="S56" s="49"/>
      <c r="T56" s="49"/>
      <c r="U56" s="49"/>
      <c r="V56" s="49"/>
      <c r="W56" s="49"/>
      <c r="X56" s="49"/>
      <c r="Y56" s="49"/>
      <c r="Z56" s="49"/>
      <c r="AA56" s="49"/>
      <c r="AB56" s="49"/>
      <c r="AC56" s="49"/>
      <c r="AD56" s="49"/>
      <c r="AE56" s="49"/>
      <c r="AF56" s="49"/>
      <c r="AG56" s="49"/>
      <c r="AH56" s="49"/>
      <c r="AI56" s="49"/>
      <c r="AJ56" s="49"/>
      <c r="AK56" s="49"/>
      <c r="AL56" s="49"/>
      <c r="AM56" s="49"/>
      <c r="AN56" s="49"/>
      <c r="AO56" s="49"/>
      <c r="AP56" s="49"/>
      <c r="AQ56" s="49"/>
      <c r="AR56" s="49"/>
      <c r="AS56" s="49"/>
      <c r="AT56" s="49"/>
      <c r="AU56" s="49"/>
    </row>
    <row r="57" spans="1:47">
      <c r="A57" s="49"/>
      <c r="B57" s="49"/>
      <c r="C57" s="49"/>
      <c r="D57" s="49"/>
      <c r="E57" s="49"/>
      <c r="F57" s="49"/>
      <c r="G57" s="49"/>
      <c r="H57" s="49"/>
      <c r="I57" s="49"/>
      <c r="J57" s="49"/>
      <c r="K57" s="49"/>
      <c r="L57" s="49"/>
      <c r="M57" s="49"/>
      <c r="N57" s="49"/>
      <c r="O57" s="49"/>
      <c r="P57" s="49"/>
      <c r="Q57" s="49"/>
      <c r="R57" s="49"/>
      <c r="S57" s="49"/>
      <c r="T57" s="49"/>
      <c r="U57" s="49"/>
      <c r="V57" s="49"/>
      <c r="W57" s="49"/>
      <c r="X57" s="49"/>
      <c r="Y57" s="49"/>
      <c r="Z57" s="49"/>
      <c r="AA57" s="49"/>
      <c r="AB57" s="49"/>
      <c r="AC57" s="49"/>
      <c r="AD57" s="49"/>
      <c r="AE57" s="49"/>
      <c r="AF57" s="49"/>
      <c r="AG57" s="49"/>
      <c r="AH57" s="49"/>
      <c r="AI57" s="49"/>
      <c r="AJ57" s="49"/>
      <c r="AK57" s="49"/>
      <c r="AL57" s="49"/>
      <c r="AM57" s="49"/>
      <c r="AN57" s="49"/>
      <c r="AO57" s="49"/>
      <c r="AP57" s="49"/>
      <c r="AQ57" s="49"/>
      <c r="AR57" s="49"/>
      <c r="AS57" s="49"/>
      <c r="AT57" s="49"/>
      <c r="AU57" s="49"/>
    </row>
    <row r="58" spans="1:47">
      <c r="A58" s="49"/>
      <c r="B58" s="49"/>
      <c r="C58" s="49"/>
      <c r="D58" s="49"/>
      <c r="E58" s="49"/>
      <c r="F58" s="49"/>
      <c r="G58" s="49"/>
      <c r="H58" s="49"/>
      <c r="I58" s="49"/>
      <c r="J58" s="49"/>
      <c r="K58" s="49"/>
      <c r="L58" s="49"/>
      <c r="M58" s="49"/>
      <c r="N58" s="49"/>
      <c r="O58" s="49"/>
      <c r="P58" s="49"/>
      <c r="Q58" s="49"/>
      <c r="R58" s="49"/>
      <c r="S58" s="49"/>
      <c r="T58" s="49"/>
      <c r="U58" s="49"/>
      <c r="V58" s="49"/>
      <c r="W58" s="49"/>
      <c r="X58" s="49"/>
      <c r="Y58" s="49"/>
      <c r="Z58" s="49"/>
      <c r="AA58" s="49"/>
      <c r="AB58" s="49"/>
      <c r="AC58" s="49"/>
      <c r="AD58" s="49"/>
      <c r="AE58" s="49"/>
      <c r="AF58" s="49"/>
      <c r="AG58" s="49"/>
      <c r="AH58" s="49"/>
      <c r="AI58" s="49"/>
      <c r="AJ58" s="49"/>
      <c r="AK58" s="49"/>
      <c r="AL58" s="49"/>
      <c r="AM58" s="49"/>
      <c r="AN58" s="49"/>
      <c r="AO58" s="49"/>
      <c r="AP58" s="49"/>
      <c r="AQ58" s="49"/>
      <c r="AR58" s="49"/>
      <c r="AS58" s="49"/>
      <c r="AT58" s="49"/>
      <c r="AU58" s="49"/>
    </row>
    <row r="59" spans="1:47">
      <c r="A59" s="49"/>
      <c r="B59" s="49"/>
      <c r="C59" s="49"/>
      <c r="D59" s="49"/>
      <c r="E59" s="49"/>
      <c r="F59" s="49"/>
      <c r="G59" s="49"/>
      <c r="H59" s="49"/>
      <c r="I59" s="49"/>
      <c r="J59" s="49"/>
      <c r="K59" s="49"/>
      <c r="L59" s="49"/>
      <c r="M59" s="49"/>
      <c r="N59" s="49"/>
      <c r="O59" s="49"/>
      <c r="P59" s="49"/>
      <c r="Q59" s="49"/>
      <c r="R59" s="49"/>
      <c r="S59" s="49"/>
      <c r="T59" s="49"/>
      <c r="U59" s="49"/>
      <c r="V59" s="49"/>
      <c r="W59" s="49"/>
      <c r="X59" s="49"/>
      <c r="Y59" s="49"/>
      <c r="Z59" s="49"/>
      <c r="AA59" s="49"/>
      <c r="AB59" s="49"/>
      <c r="AC59" s="49"/>
      <c r="AD59" s="49"/>
      <c r="AE59" s="49"/>
      <c r="AF59" s="49"/>
      <c r="AG59" s="49"/>
      <c r="AH59" s="49"/>
      <c r="AI59" s="49"/>
      <c r="AJ59" s="49"/>
      <c r="AK59" s="49"/>
      <c r="AL59" s="49"/>
      <c r="AM59" s="49"/>
      <c r="AN59" s="49"/>
      <c r="AO59" s="49"/>
      <c r="AP59" s="49"/>
      <c r="AQ59" s="49"/>
      <c r="AR59" s="49"/>
      <c r="AS59" s="49"/>
      <c r="AT59" s="49"/>
      <c r="AU59" s="49"/>
    </row>
    <row r="60" spans="1:47">
      <c r="A60" s="49"/>
      <c r="B60" s="49"/>
      <c r="C60" s="49"/>
      <c r="D60" s="49"/>
      <c r="E60" s="49"/>
      <c r="F60" s="49"/>
      <c r="G60" s="49"/>
      <c r="H60" s="49"/>
      <c r="I60" s="49"/>
      <c r="J60" s="49"/>
      <c r="K60" s="49"/>
      <c r="L60" s="49"/>
      <c r="M60" s="49"/>
      <c r="N60" s="49"/>
      <c r="O60" s="49"/>
      <c r="P60" s="49"/>
      <c r="Q60" s="49"/>
      <c r="R60" s="49"/>
      <c r="S60" s="49"/>
      <c r="T60" s="49"/>
      <c r="U60" s="49"/>
      <c r="V60" s="49"/>
      <c r="W60" s="49"/>
      <c r="X60" s="49"/>
      <c r="Y60" s="49"/>
      <c r="Z60" s="49"/>
      <c r="AA60" s="49"/>
      <c r="AB60" s="49"/>
      <c r="AC60" s="49"/>
      <c r="AD60" s="49"/>
      <c r="AE60" s="49"/>
      <c r="AF60" s="49"/>
      <c r="AG60" s="49"/>
      <c r="AH60" s="49"/>
      <c r="AI60" s="49"/>
      <c r="AJ60" s="49"/>
      <c r="AK60" s="49"/>
      <c r="AL60" s="49"/>
      <c r="AM60" s="49"/>
      <c r="AN60" s="49"/>
      <c r="AO60" s="49"/>
      <c r="AP60" s="49"/>
      <c r="AQ60" s="49"/>
      <c r="AR60" s="49"/>
      <c r="AS60" s="49"/>
      <c r="AT60" s="49"/>
      <c r="AU60" s="49"/>
    </row>
    <row r="61" spans="1:47">
      <c r="A61" s="49"/>
      <c r="B61" s="49"/>
      <c r="C61" s="49"/>
      <c r="D61" s="49"/>
      <c r="E61" s="49"/>
      <c r="F61" s="49"/>
      <c r="G61" s="49"/>
      <c r="H61" s="49"/>
      <c r="I61" s="49"/>
      <c r="J61" s="49"/>
      <c r="K61" s="49"/>
      <c r="L61" s="49"/>
      <c r="M61" s="49"/>
      <c r="N61" s="49"/>
      <c r="O61" s="49"/>
      <c r="P61" s="49"/>
      <c r="Q61" s="49"/>
      <c r="R61" s="49"/>
      <c r="S61" s="49"/>
      <c r="T61" s="49"/>
      <c r="U61" s="49"/>
      <c r="V61" s="49"/>
      <c r="W61" s="49"/>
      <c r="X61" s="49"/>
      <c r="Y61" s="49"/>
      <c r="Z61" s="49"/>
      <c r="AA61" s="49"/>
      <c r="AB61" s="49"/>
      <c r="AC61" s="49"/>
      <c r="AD61" s="49"/>
      <c r="AE61" s="49"/>
      <c r="AF61" s="49"/>
      <c r="AG61" s="49"/>
      <c r="AH61" s="49"/>
      <c r="AI61" s="49"/>
      <c r="AJ61" s="49"/>
      <c r="AK61" s="49"/>
      <c r="AL61" s="49"/>
      <c r="AM61" s="49"/>
      <c r="AN61" s="49"/>
      <c r="AO61" s="49"/>
      <c r="AP61" s="49"/>
      <c r="AQ61" s="49"/>
      <c r="AR61" s="49"/>
      <c r="AS61" s="49"/>
      <c r="AT61" s="49"/>
      <c r="AU61" s="49"/>
    </row>
    <row r="62" spans="1:47">
      <c r="A62" s="49"/>
      <c r="B62" s="49"/>
      <c r="C62" s="49"/>
      <c r="D62" s="49"/>
      <c r="E62" s="49"/>
      <c r="F62" s="49"/>
      <c r="G62" s="49"/>
      <c r="H62" s="49"/>
      <c r="I62" s="49"/>
      <c r="J62" s="49"/>
      <c r="K62" s="49"/>
      <c r="L62" s="49"/>
      <c r="M62" s="49"/>
      <c r="N62" s="49"/>
      <c r="O62" s="49"/>
      <c r="P62" s="49"/>
      <c r="Q62" s="49"/>
      <c r="R62" s="49"/>
      <c r="S62" s="49"/>
      <c r="T62" s="49"/>
      <c r="U62" s="49"/>
      <c r="V62" s="49"/>
      <c r="W62" s="49"/>
      <c r="X62" s="49"/>
      <c r="Y62" s="49"/>
      <c r="Z62" s="49"/>
      <c r="AA62" s="49"/>
      <c r="AB62" s="49"/>
      <c r="AC62" s="49"/>
      <c r="AD62" s="49"/>
      <c r="AE62" s="49"/>
      <c r="AF62" s="49"/>
      <c r="AG62" s="49"/>
      <c r="AH62" s="49"/>
      <c r="AI62" s="49"/>
      <c r="AJ62" s="49"/>
      <c r="AK62" s="49"/>
      <c r="AL62" s="49"/>
      <c r="AM62" s="49"/>
      <c r="AN62" s="49"/>
      <c r="AO62" s="49"/>
      <c r="AP62" s="49"/>
      <c r="AQ62" s="49"/>
      <c r="AR62" s="49"/>
      <c r="AS62" s="49"/>
      <c r="AT62" s="49"/>
      <c r="AU62" s="49"/>
    </row>
    <row r="63" spans="1:47">
      <c r="A63" s="49"/>
      <c r="B63" s="49"/>
      <c r="C63" s="49"/>
      <c r="D63" s="49"/>
      <c r="E63" s="49"/>
      <c r="F63" s="49"/>
      <c r="G63" s="49"/>
      <c r="H63" s="49"/>
      <c r="I63" s="49"/>
      <c r="J63" s="49"/>
      <c r="K63" s="49"/>
      <c r="L63" s="49"/>
      <c r="M63" s="49"/>
      <c r="N63" s="49"/>
      <c r="O63" s="49"/>
      <c r="P63" s="49"/>
      <c r="Q63" s="49"/>
      <c r="R63" s="49"/>
      <c r="S63" s="49"/>
      <c r="T63" s="49"/>
      <c r="U63" s="49"/>
      <c r="V63" s="49"/>
      <c r="W63" s="49"/>
      <c r="X63" s="49"/>
      <c r="Y63" s="49"/>
      <c r="Z63" s="49"/>
      <c r="AA63" s="49"/>
      <c r="AB63" s="49"/>
      <c r="AC63" s="49"/>
      <c r="AD63" s="49"/>
      <c r="AE63" s="49"/>
      <c r="AF63" s="49"/>
      <c r="AG63" s="49"/>
      <c r="AH63" s="49"/>
      <c r="AI63" s="49"/>
      <c r="AJ63" s="49"/>
      <c r="AK63" s="49"/>
      <c r="AL63" s="49"/>
      <c r="AM63" s="49"/>
      <c r="AN63" s="49"/>
      <c r="AO63" s="49"/>
      <c r="AP63" s="49"/>
      <c r="AQ63" s="49"/>
      <c r="AR63" s="49"/>
      <c r="AS63" s="49"/>
      <c r="AT63" s="49"/>
      <c r="AU63" s="49"/>
    </row>
    <row r="64" spans="1:47">
      <c r="A64" s="49"/>
      <c r="B64" s="49"/>
      <c r="C64" s="49"/>
      <c r="D64" s="49"/>
      <c r="E64" s="49"/>
      <c r="F64" s="49"/>
      <c r="G64" s="49"/>
      <c r="H64" s="49"/>
      <c r="I64" s="49"/>
      <c r="J64" s="49"/>
      <c r="K64" s="49"/>
      <c r="L64" s="49"/>
      <c r="M64" s="49"/>
      <c r="N64" s="49"/>
      <c r="O64" s="49"/>
      <c r="P64" s="49"/>
      <c r="Q64" s="49"/>
      <c r="R64" s="49"/>
      <c r="S64" s="49"/>
      <c r="T64" s="49"/>
      <c r="U64" s="49"/>
      <c r="V64" s="49"/>
      <c r="W64" s="49"/>
      <c r="X64" s="49"/>
      <c r="Y64" s="49"/>
      <c r="Z64" s="49"/>
      <c r="AA64" s="49"/>
      <c r="AB64" s="49"/>
      <c r="AC64" s="49"/>
      <c r="AD64" s="49"/>
      <c r="AE64" s="49"/>
      <c r="AF64" s="49"/>
      <c r="AG64" s="49"/>
      <c r="AH64" s="49"/>
      <c r="AI64" s="49"/>
      <c r="AJ64" s="49"/>
      <c r="AK64" s="49"/>
      <c r="AL64" s="49"/>
      <c r="AM64" s="49"/>
      <c r="AN64" s="49"/>
      <c r="AO64" s="49"/>
      <c r="AP64" s="49"/>
      <c r="AQ64" s="49"/>
      <c r="AR64" s="49"/>
      <c r="AS64" s="49"/>
      <c r="AT64" s="49"/>
      <c r="AU64" s="49"/>
    </row>
    <row r="65" spans="1:47">
      <c r="A65" s="49"/>
      <c r="B65" s="49"/>
      <c r="C65" s="49"/>
      <c r="D65" s="49"/>
      <c r="E65" s="49"/>
      <c r="F65" s="49"/>
      <c r="G65" s="49"/>
      <c r="H65" s="49"/>
      <c r="I65" s="49"/>
      <c r="J65" s="49"/>
      <c r="K65" s="49"/>
      <c r="L65" s="49"/>
      <c r="M65" s="49"/>
      <c r="N65" s="49"/>
      <c r="O65" s="49"/>
      <c r="P65" s="49"/>
      <c r="Q65" s="49"/>
      <c r="R65" s="49"/>
      <c r="S65" s="49"/>
      <c r="T65" s="49"/>
      <c r="U65" s="49"/>
      <c r="V65" s="49"/>
      <c r="W65" s="49"/>
      <c r="X65" s="49"/>
      <c r="Y65" s="49"/>
      <c r="Z65" s="49"/>
      <c r="AA65" s="49"/>
      <c r="AB65" s="49"/>
      <c r="AC65" s="49"/>
      <c r="AD65" s="49"/>
      <c r="AE65" s="49"/>
      <c r="AF65" s="49"/>
      <c r="AG65" s="49"/>
      <c r="AH65" s="49"/>
      <c r="AI65" s="49"/>
      <c r="AJ65" s="49"/>
      <c r="AK65" s="49"/>
      <c r="AL65" s="49"/>
      <c r="AM65" s="49"/>
      <c r="AN65" s="49"/>
      <c r="AO65" s="49"/>
      <c r="AP65" s="49"/>
      <c r="AQ65" s="49"/>
      <c r="AR65" s="49"/>
      <c r="AS65" s="49"/>
      <c r="AT65" s="49"/>
      <c r="AU65" s="49"/>
    </row>
    <row r="66" spans="1:47">
      <c r="A66" s="49"/>
      <c r="B66" s="49"/>
      <c r="C66" s="49"/>
      <c r="D66" s="49"/>
      <c r="E66" s="49"/>
      <c r="F66" s="49"/>
      <c r="G66" s="49"/>
      <c r="H66" s="49"/>
      <c r="I66" s="49"/>
      <c r="J66" s="49"/>
      <c r="K66" s="49"/>
      <c r="L66" s="49"/>
      <c r="M66" s="49"/>
      <c r="N66" s="49"/>
      <c r="O66" s="49"/>
      <c r="P66" s="49"/>
      <c r="Q66" s="49"/>
      <c r="R66" s="49"/>
      <c r="S66" s="49"/>
      <c r="T66" s="49"/>
      <c r="U66" s="49"/>
      <c r="V66" s="49"/>
      <c r="W66" s="49"/>
      <c r="X66" s="49"/>
      <c r="Y66" s="49"/>
      <c r="Z66" s="49"/>
      <c r="AA66" s="49"/>
      <c r="AB66" s="49"/>
      <c r="AC66" s="49"/>
      <c r="AD66" s="49"/>
      <c r="AE66" s="49"/>
      <c r="AF66" s="49"/>
      <c r="AG66" s="49"/>
      <c r="AH66" s="49"/>
      <c r="AI66" s="49"/>
      <c r="AJ66" s="49"/>
      <c r="AK66" s="49"/>
      <c r="AL66" s="49"/>
      <c r="AM66" s="49"/>
      <c r="AN66" s="49"/>
      <c r="AO66" s="49"/>
      <c r="AP66" s="49"/>
      <c r="AQ66" s="49"/>
      <c r="AR66" s="49"/>
      <c r="AS66" s="49"/>
      <c r="AT66" s="49"/>
      <c r="AU66" s="49"/>
    </row>
    <row r="67" spans="1:47">
      <c r="A67" s="49"/>
      <c r="B67" s="49"/>
      <c r="C67" s="49"/>
      <c r="D67" s="49"/>
      <c r="E67" s="49"/>
      <c r="F67" s="49"/>
      <c r="G67" s="49"/>
      <c r="H67" s="49"/>
      <c r="I67" s="49"/>
      <c r="J67" s="49"/>
      <c r="K67" s="49"/>
      <c r="L67" s="49"/>
      <c r="M67" s="49"/>
      <c r="N67" s="49"/>
      <c r="O67" s="49"/>
      <c r="P67" s="49"/>
      <c r="Q67" s="49"/>
      <c r="R67" s="49"/>
      <c r="S67" s="49"/>
      <c r="T67" s="49"/>
      <c r="U67" s="49"/>
      <c r="V67" s="49"/>
      <c r="W67" s="49"/>
      <c r="X67" s="49"/>
      <c r="Y67" s="49"/>
      <c r="Z67" s="49"/>
      <c r="AA67" s="49"/>
      <c r="AB67" s="49"/>
      <c r="AC67" s="49"/>
      <c r="AD67" s="49"/>
      <c r="AE67" s="49"/>
      <c r="AF67" s="49"/>
      <c r="AG67" s="49"/>
      <c r="AH67" s="49"/>
      <c r="AI67" s="49"/>
      <c r="AJ67" s="49"/>
      <c r="AK67" s="49"/>
      <c r="AL67" s="49"/>
      <c r="AM67" s="49"/>
      <c r="AN67" s="49"/>
      <c r="AO67" s="49"/>
      <c r="AP67" s="49"/>
      <c r="AQ67" s="49"/>
      <c r="AR67" s="49"/>
      <c r="AS67" s="49"/>
      <c r="AT67" s="49"/>
      <c r="AU67" s="49"/>
    </row>
    <row r="68" spans="1:47">
      <c r="A68" s="49"/>
      <c r="B68" s="49"/>
      <c r="C68" s="49"/>
      <c r="D68" s="49"/>
      <c r="E68" s="49"/>
      <c r="F68" s="49"/>
      <c r="G68" s="49"/>
      <c r="H68" s="49"/>
      <c r="I68" s="49"/>
      <c r="J68" s="49"/>
      <c r="K68" s="49"/>
      <c r="L68" s="49"/>
      <c r="M68" s="49"/>
      <c r="N68" s="49"/>
      <c r="O68" s="49"/>
      <c r="P68" s="49"/>
      <c r="Q68" s="49"/>
      <c r="R68" s="49"/>
      <c r="S68" s="49"/>
      <c r="T68" s="49"/>
      <c r="U68" s="49"/>
      <c r="V68" s="49"/>
      <c r="W68" s="49"/>
      <c r="X68" s="49"/>
      <c r="Y68" s="49"/>
      <c r="Z68" s="49"/>
      <c r="AA68" s="49"/>
      <c r="AB68" s="49"/>
      <c r="AC68" s="49"/>
      <c r="AD68" s="49"/>
      <c r="AE68" s="49"/>
      <c r="AF68" s="49"/>
      <c r="AG68" s="49"/>
      <c r="AH68" s="49"/>
      <c r="AI68" s="49"/>
      <c r="AJ68" s="49"/>
      <c r="AK68" s="49"/>
      <c r="AL68" s="49"/>
      <c r="AM68" s="49"/>
      <c r="AN68" s="49"/>
      <c r="AO68" s="49"/>
      <c r="AP68" s="49"/>
      <c r="AQ68" s="49"/>
      <c r="AR68" s="49"/>
      <c r="AS68" s="49"/>
      <c r="AT68" s="49"/>
      <c r="AU68" s="49"/>
    </row>
    <row r="69" spans="1:47">
      <c r="A69" s="49"/>
      <c r="B69" s="49"/>
      <c r="C69" s="49"/>
      <c r="D69" s="49"/>
      <c r="E69" s="49"/>
      <c r="F69" s="49"/>
      <c r="G69" s="49"/>
      <c r="H69" s="49"/>
      <c r="I69" s="49"/>
      <c r="J69" s="49"/>
      <c r="K69" s="49"/>
      <c r="L69" s="49"/>
      <c r="M69" s="49"/>
      <c r="N69" s="49"/>
      <c r="O69" s="49"/>
      <c r="P69" s="49"/>
      <c r="Q69" s="49"/>
      <c r="R69" s="49"/>
      <c r="S69" s="49"/>
      <c r="T69" s="49"/>
      <c r="U69" s="49"/>
      <c r="V69" s="49"/>
      <c r="W69" s="49"/>
      <c r="X69" s="49"/>
      <c r="Y69" s="49"/>
      <c r="Z69" s="49"/>
      <c r="AA69" s="49"/>
      <c r="AB69" s="49"/>
      <c r="AC69" s="49"/>
      <c r="AD69" s="49"/>
      <c r="AE69" s="49"/>
      <c r="AF69" s="49"/>
      <c r="AG69" s="49"/>
      <c r="AH69" s="49"/>
      <c r="AI69" s="49"/>
      <c r="AJ69" s="49"/>
      <c r="AK69" s="49"/>
      <c r="AL69" s="49"/>
      <c r="AM69" s="49"/>
      <c r="AN69" s="49"/>
      <c r="AO69" s="49"/>
      <c r="AP69" s="49"/>
      <c r="AQ69" s="49"/>
      <c r="AR69" s="49"/>
      <c r="AS69" s="49"/>
      <c r="AT69" s="49"/>
      <c r="AU69" s="49"/>
    </row>
    <row r="70" spans="1:47">
      <c r="A70" s="49"/>
      <c r="B70" s="49"/>
      <c r="C70" s="49"/>
      <c r="D70" s="49"/>
      <c r="E70" s="49"/>
      <c r="F70" s="49"/>
      <c r="G70" s="49"/>
      <c r="H70" s="49"/>
      <c r="I70" s="49"/>
      <c r="J70" s="49"/>
      <c r="K70" s="49"/>
      <c r="L70" s="49"/>
      <c r="M70" s="49"/>
      <c r="N70" s="49"/>
      <c r="O70" s="49"/>
      <c r="P70" s="49"/>
      <c r="Q70" s="49"/>
      <c r="R70" s="49"/>
      <c r="S70" s="49"/>
      <c r="T70" s="49"/>
      <c r="U70" s="49"/>
      <c r="V70" s="49"/>
      <c r="W70" s="49"/>
      <c r="X70" s="49"/>
      <c r="Y70" s="49"/>
      <c r="Z70" s="49"/>
      <c r="AA70" s="49"/>
      <c r="AB70" s="49"/>
      <c r="AC70" s="49"/>
      <c r="AD70" s="49"/>
      <c r="AE70" s="49"/>
      <c r="AF70" s="49"/>
      <c r="AG70" s="49"/>
      <c r="AH70" s="49"/>
      <c r="AI70" s="49"/>
      <c r="AJ70" s="49"/>
      <c r="AK70" s="49"/>
      <c r="AL70" s="49"/>
      <c r="AM70" s="49"/>
      <c r="AN70" s="49"/>
      <c r="AO70" s="49"/>
      <c r="AP70" s="49"/>
      <c r="AQ70" s="49"/>
      <c r="AR70" s="49"/>
      <c r="AS70" s="49"/>
      <c r="AT70" s="49"/>
      <c r="AU70" s="49"/>
    </row>
    <row r="71" spans="1:47">
      <c r="A71" s="49"/>
      <c r="B71" s="49"/>
      <c r="C71" s="49"/>
      <c r="D71" s="49"/>
      <c r="E71" s="49"/>
      <c r="F71" s="49"/>
      <c r="G71" s="49"/>
      <c r="H71" s="49"/>
      <c r="I71" s="49"/>
      <c r="J71" s="49"/>
      <c r="K71" s="49"/>
      <c r="L71" s="49"/>
      <c r="M71" s="49"/>
      <c r="N71" s="49"/>
      <c r="O71" s="49"/>
      <c r="P71" s="49"/>
      <c r="Q71" s="49"/>
      <c r="R71" s="49"/>
      <c r="S71" s="49"/>
      <c r="T71" s="49"/>
      <c r="U71" s="49"/>
      <c r="V71" s="49"/>
      <c r="W71" s="49"/>
      <c r="X71" s="49"/>
      <c r="Y71" s="49"/>
      <c r="Z71" s="49"/>
      <c r="AA71" s="49"/>
      <c r="AB71" s="49"/>
      <c r="AC71" s="49"/>
      <c r="AD71" s="49"/>
      <c r="AE71" s="49"/>
      <c r="AF71" s="49"/>
      <c r="AG71" s="49"/>
      <c r="AH71" s="49"/>
      <c r="AI71" s="49"/>
      <c r="AJ71" s="49"/>
      <c r="AK71" s="49"/>
      <c r="AL71" s="49"/>
      <c r="AM71" s="49"/>
      <c r="AN71" s="49"/>
      <c r="AO71" s="49"/>
      <c r="AP71" s="49"/>
      <c r="AQ71" s="49"/>
      <c r="AR71" s="49"/>
      <c r="AS71" s="49"/>
      <c r="AT71" s="49"/>
      <c r="AU71" s="49"/>
    </row>
    <row r="72" spans="1:47">
      <c r="A72" s="49"/>
      <c r="B72" s="49"/>
      <c r="C72" s="49"/>
      <c r="D72" s="49"/>
      <c r="E72" s="49"/>
      <c r="F72" s="49"/>
      <c r="G72" s="49"/>
      <c r="H72" s="49"/>
      <c r="I72" s="49"/>
      <c r="J72" s="49"/>
      <c r="K72" s="49"/>
      <c r="L72" s="49"/>
      <c r="M72" s="49"/>
      <c r="N72" s="49"/>
      <c r="O72" s="49"/>
      <c r="P72" s="49"/>
      <c r="Q72" s="49"/>
      <c r="R72" s="49"/>
      <c r="S72" s="49"/>
      <c r="T72" s="49"/>
      <c r="U72" s="49"/>
      <c r="V72" s="49"/>
      <c r="W72" s="49"/>
      <c r="X72" s="49"/>
      <c r="Y72" s="49"/>
      <c r="Z72" s="49"/>
      <c r="AA72" s="49"/>
      <c r="AB72" s="49"/>
      <c r="AC72" s="49"/>
      <c r="AD72" s="49"/>
      <c r="AE72" s="49"/>
      <c r="AF72" s="49"/>
      <c r="AG72" s="49"/>
      <c r="AH72" s="49"/>
      <c r="AI72" s="49"/>
      <c r="AJ72" s="49"/>
      <c r="AK72" s="49"/>
      <c r="AL72" s="49"/>
      <c r="AM72" s="49"/>
      <c r="AN72" s="49"/>
      <c r="AO72" s="49"/>
      <c r="AP72" s="49"/>
      <c r="AQ72" s="49"/>
      <c r="AR72" s="49"/>
      <c r="AS72" s="49"/>
      <c r="AT72" s="49"/>
      <c r="AU72" s="49"/>
    </row>
    <row r="73" spans="1:47">
      <c r="A73" s="49"/>
      <c r="B73" s="49"/>
      <c r="C73" s="49"/>
      <c r="D73" s="49"/>
      <c r="E73" s="49"/>
      <c r="F73" s="49"/>
      <c r="G73" s="49"/>
      <c r="H73" s="49"/>
      <c r="I73" s="49"/>
      <c r="J73" s="49"/>
      <c r="K73" s="49"/>
      <c r="L73" s="49"/>
      <c r="M73" s="49"/>
      <c r="N73" s="49"/>
      <c r="O73" s="49"/>
      <c r="P73" s="49"/>
      <c r="Q73" s="49"/>
      <c r="R73" s="49"/>
      <c r="S73" s="49"/>
      <c r="T73" s="49"/>
      <c r="U73" s="49"/>
      <c r="V73" s="49"/>
      <c r="W73" s="49"/>
      <c r="X73" s="49"/>
      <c r="Y73" s="49"/>
      <c r="Z73" s="49"/>
      <c r="AA73" s="49"/>
      <c r="AB73" s="49"/>
      <c r="AC73" s="49"/>
      <c r="AD73" s="49"/>
      <c r="AE73" s="49"/>
      <c r="AF73" s="49"/>
      <c r="AG73" s="49"/>
      <c r="AH73" s="49"/>
      <c r="AI73" s="49"/>
      <c r="AJ73" s="49"/>
      <c r="AK73" s="49"/>
      <c r="AL73" s="49"/>
      <c r="AM73" s="49"/>
      <c r="AN73" s="49"/>
      <c r="AO73" s="49"/>
      <c r="AP73" s="49"/>
      <c r="AQ73" s="49"/>
      <c r="AR73" s="49"/>
      <c r="AS73" s="49"/>
      <c r="AT73" s="49"/>
      <c r="AU73" s="49"/>
    </row>
    <row r="74" spans="1:47">
      <c r="A74" s="49"/>
      <c r="B74" s="49"/>
      <c r="C74" s="49"/>
      <c r="D74" s="49"/>
      <c r="E74" s="49"/>
      <c r="F74" s="49"/>
      <c r="G74" s="49"/>
      <c r="H74" s="49"/>
      <c r="I74" s="49"/>
      <c r="J74" s="49"/>
      <c r="K74" s="49"/>
      <c r="L74" s="49"/>
      <c r="M74" s="49"/>
      <c r="N74" s="49"/>
      <c r="O74" s="49"/>
      <c r="P74" s="49"/>
      <c r="Q74" s="49"/>
      <c r="R74" s="49"/>
      <c r="S74" s="49"/>
      <c r="T74" s="49"/>
      <c r="U74" s="49"/>
      <c r="V74" s="49"/>
      <c r="W74" s="49"/>
      <c r="X74" s="49"/>
      <c r="Y74" s="49"/>
      <c r="Z74" s="49"/>
      <c r="AA74" s="49"/>
      <c r="AB74" s="49"/>
      <c r="AC74" s="49"/>
      <c r="AD74" s="49"/>
      <c r="AE74" s="49"/>
      <c r="AF74" s="49"/>
      <c r="AG74" s="49"/>
      <c r="AH74" s="49"/>
      <c r="AI74" s="49"/>
      <c r="AJ74" s="49"/>
      <c r="AK74" s="49"/>
      <c r="AL74" s="49"/>
      <c r="AM74" s="49"/>
      <c r="AN74" s="49"/>
      <c r="AO74" s="49"/>
      <c r="AP74" s="49"/>
      <c r="AQ74" s="49"/>
      <c r="AR74" s="49"/>
      <c r="AS74" s="49"/>
      <c r="AT74" s="49"/>
      <c r="AU74" s="49"/>
    </row>
    <row r="75" spans="1:47">
      <c r="A75" s="49"/>
      <c r="B75" s="49"/>
      <c r="C75" s="49"/>
      <c r="D75" s="49"/>
      <c r="E75" s="49"/>
      <c r="F75" s="49"/>
      <c r="G75" s="49"/>
      <c r="H75" s="49"/>
      <c r="I75" s="49"/>
      <c r="J75" s="49"/>
      <c r="K75" s="49"/>
      <c r="L75" s="49"/>
      <c r="M75" s="49"/>
      <c r="N75" s="49"/>
      <c r="O75" s="49"/>
      <c r="P75" s="49"/>
      <c r="Q75" s="49"/>
      <c r="R75" s="49"/>
      <c r="S75" s="49"/>
      <c r="T75" s="49"/>
      <c r="U75" s="49"/>
      <c r="V75" s="49"/>
      <c r="W75" s="49"/>
      <c r="X75" s="49"/>
      <c r="Y75" s="49"/>
      <c r="Z75" s="49"/>
      <c r="AA75" s="49"/>
      <c r="AB75" s="49"/>
      <c r="AC75" s="49"/>
      <c r="AD75" s="49"/>
      <c r="AE75" s="49"/>
      <c r="AF75" s="49"/>
      <c r="AG75" s="49"/>
      <c r="AH75" s="49"/>
      <c r="AI75" s="49"/>
      <c r="AJ75" s="49"/>
      <c r="AK75" s="49"/>
      <c r="AL75" s="49"/>
      <c r="AM75" s="49"/>
      <c r="AN75" s="49"/>
      <c r="AO75" s="49"/>
      <c r="AP75" s="49"/>
      <c r="AQ75" s="49"/>
      <c r="AR75" s="49"/>
      <c r="AS75" s="49"/>
      <c r="AT75" s="49"/>
      <c r="AU75" s="49"/>
    </row>
    <row r="76" spans="1:47">
      <c r="A76" s="49"/>
      <c r="B76" s="49"/>
      <c r="C76" s="49"/>
      <c r="D76" s="49"/>
      <c r="E76" s="49"/>
      <c r="F76" s="49"/>
      <c r="G76" s="49"/>
      <c r="H76" s="49"/>
      <c r="I76" s="49"/>
      <c r="J76" s="49"/>
      <c r="K76" s="49"/>
      <c r="L76" s="49"/>
      <c r="M76" s="49"/>
      <c r="N76" s="49"/>
      <c r="O76" s="49"/>
      <c r="P76" s="49"/>
      <c r="Q76" s="49"/>
      <c r="R76" s="49"/>
      <c r="S76" s="49"/>
      <c r="T76" s="49"/>
      <c r="U76" s="49"/>
      <c r="V76" s="49"/>
      <c r="W76" s="49"/>
      <c r="X76" s="49"/>
      <c r="Y76" s="49"/>
      <c r="Z76" s="49"/>
      <c r="AA76" s="49"/>
      <c r="AB76" s="49"/>
      <c r="AC76" s="49"/>
      <c r="AD76" s="49"/>
      <c r="AE76" s="49"/>
      <c r="AF76" s="49"/>
      <c r="AG76" s="49"/>
      <c r="AH76" s="49"/>
      <c r="AI76" s="49"/>
      <c r="AJ76" s="49"/>
      <c r="AK76" s="49"/>
      <c r="AL76" s="49"/>
      <c r="AM76" s="49"/>
      <c r="AN76" s="49"/>
      <c r="AO76" s="49"/>
      <c r="AP76" s="49"/>
      <c r="AQ76" s="49"/>
      <c r="AR76" s="49"/>
      <c r="AS76" s="49"/>
      <c r="AT76" s="49"/>
      <c r="AU76" s="49"/>
    </row>
    <row r="77" spans="1:47">
      <c r="A77" s="49"/>
      <c r="B77" s="49"/>
      <c r="C77" s="49"/>
      <c r="D77" s="49"/>
      <c r="E77" s="49"/>
      <c r="F77" s="49"/>
      <c r="G77" s="49"/>
      <c r="H77" s="49"/>
      <c r="I77" s="49"/>
      <c r="J77" s="49"/>
      <c r="K77" s="49"/>
      <c r="L77" s="49"/>
      <c r="M77" s="49"/>
      <c r="N77" s="49"/>
      <c r="O77" s="49"/>
      <c r="P77" s="49"/>
      <c r="Q77" s="49"/>
      <c r="R77" s="49"/>
      <c r="S77" s="49"/>
      <c r="T77" s="49"/>
      <c r="U77" s="49"/>
      <c r="V77" s="49"/>
      <c r="W77" s="49"/>
      <c r="X77" s="49"/>
      <c r="Y77" s="49"/>
      <c r="Z77" s="49"/>
      <c r="AA77" s="49"/>
      <c r="AB77" s="49"/>
      <c r="AC77" s="49"/>
      <c r="AD77" s="49"/>
      <c r="AE77" s="49"/>
      <c r="AF77" s="49"/>
      <c r="AG77" s="49"/>
      <c r="AH77" s="49"/>
      <c r="AI77" s="49"/>
      <c r="AJ77" s="49"/>
      <c r="AK77" s="49"/>
      <c r="AL77" s="49"/>
      <c r="AM77" s="49"/>
      <c r="AN77" s="49"/>
      <c r="AO77" s="49"/>
      <c r="AP77" s="49"/>
      <c r="AQ77" s="49"/>
      <c r="AR77" s="49"/>
      <c r="AS77" s="49"/>
      <c r="AT77" s="49"/>
      <c r="AU77" s="49"/>
    </row>
    <row r="78" spans="1:47">
      <c r="A78" s="49"/>
      <c r="B78" s="49"/>
      <c r="C78" s="49"/>
      <c r="D78" s="49"/>
      <c r="E78" s="49"/>
      <c r="F78" s="49"/>
      <c r="G78" s="49"/>
      <c r="H78" s="49"/>
      <c r="I78" s="49"/>
      <c r="J78" s="49"/>
      <c r="K78" s="49"/>
      <c r="L78" s="49"/>
      <c r="M78" s="49"/>
      <c r="N78" s="49"/>
      <c r="O78" s="49"/>
      <c r="P78" s="49"/>
      <c r="Q78" s="49"/>
      <c r="R78" s="49"/>
      <c r="S78" s="49"/>
      <c r="T78" s="49"/>
      <c r="U78" s="49"/>
      <c r="V78" s="49"/>
      <c r="W78" s="49"/>
      <c r="X78" s="49"/>
      <c r="Y78" s="49"/>
      <c r="Z78" s="49"/>
      <c r="AA78" s="49"/>
      <c r="AB78" s="49"/>
      <c r="AC78" s="49"/>
      <c r="AD78" s="49"/>
      <c r="AE78" s="49"/>
      <c r="AF78" s="49"/>
      <c r="AG78" s="49"/>
      <c r="AH78" s="49"/>
      <c r="AI78" s="49"/>
      <c r="AJ78" s="49"/>
      <c r="AK78" s="49"/>
      <c r="AL78" s="49"/>
      <c r="AM78" s="49"/>
      <c r="AN78" s="49"/>
      <c r="AO78" s="49"/>
      <c r="AP78" s="49"/>
      <c r="AQ78" s="49"/>
      <c r="AR78" s="49"/>
      <c r="AS78" s="49"/>
      <c r="AT78" s="49"/>
      <c r="AU78" s="49"/>
    </row>
    <row r="79" spans="1:47">
      <c r="A79" s="49"/>
      <c r="B79" s="49"/>
      <c r="C79" s="49"/>
      <c r="D79" s="49"/>
      <c r="E79" s="49"/>
      <c r="F79" s="49"/>
      <c r="G79" s="49"/>
      <c r="H79" s="49"/>
      <c r="I79" s="49"/>
      <c r="J79" s="49"/>
      <c r="K79" s="49"/>
      <c r="L79" s="49"/>
      <c r="M79" s="49"/>
      <c r="N79" s="49"/>
      <c r="O79" s="49"/>
      <c r="P79" s="49"/>
      <c r="Q79" s="49"/>
      <c r="R79" s="49"/>
      <c r="S79" s="49"/>
      <c r="T79" s="49"/>
      <c r="U79" s="49"/>
      <c r="V79" s="49"/>
      <c r="W79" s="49"/>
      <c r="X79" s="49"/>
      <c r="Y79" s="49"/>
      <c r="Z79" s="49"/>
      <c r="AA79" s="49"/>
      <c r="AB79" s="49"/>
      <c r="AC79" s="49"/>
      <c r="AD79" s="49"/>
      <c r="AE79" s="49"/>
      <c r="AF79" s="49"/>
      <c r="AG79" s="49"/>
      <c r="AH79" s="49"/>
      <c r="AI79" s="49"/>
      <c r="AJ79" s="49"/>
      <c r="AK79" s="49"/>
      <c r="AL79" s="49"/>
      <c r="AM79" s="49"/>
      <c r="AN79" s="49"/>
      <c r="AO79" s="49"/>
      <c r="AP79" s="49"/>
      <c r="AQ79" s="49"/>
      <c r="AR79" s="49"/>
      <c r="AS79" s="49"/>
      <c r="AT79" s="49"/>
      <c r="AU79" s="49"/>
    </row>
    <row r="80" spans="1:47">
      <c r="A80" s="49"/>
      <c r="B80" s="49"/>
      <c r="C80" s="49"/>
      <c r="D80" s="49"/>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row>
    <row r="81" spans="1:47">
      <c r="A81" s="49"/>
      <c r="B81" s="49"/>
      <c r="C81" s="49"/>
      <c r="D81" s="49"/>
      <c r="E81" s="49"/>
      <c r="F81" s="49"/>
      <c r="G81" s="49"/>
      <c r="H81" s="49"/>
      <c r="I81" s="49"/>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9"/>
      <c r="AU81" s="49"/>
    </row>
    <row r="82" spans="1:47">
      <c r="A82" s="49"/>
      <c r="B82" s="49"/>
      <c r="C82" s="49"/>
      <c r="D82" s="49"/>
      <c r="E82" s="49"/>
      <c r="F82" s="49"/>
      <c r="G82" s="49"/>
      <c r="H82" s="49"/>
      <c r="I82" s="49"/>
      <c r="J82" s="49"/>
      <c r="K82" s="49"/>
      <c r="L82" s="49"/>
      <c r="M82" s="49"/>
      <c r="N82" s="49"/>
      <c r="O82" s="49"/>
      <c r="P82" s="49"/>
      <c r="Q82" s="49"/>
      <c r="R82" s="49"/>
      <c r="S82" s="49"/>
      <c r="T82" s="49"/>
      <c r="U82" s="49"/>
      <c r="V82" s="49"/>
      <c r="W82" s="49"/>
      <c r="X82" s="49"/>
      <c r="Y82" s="49"/>
      <c r="Z82" s="49"/>
      <c r="AA82" s="49"/>
      <c r="AB82" s="49"/>
      <c r="AC82" s="49"/>
      <c r="AD82" s="49"/>
      <c r="AE82" s="49"/>
      <c r="AF82" s="49"/>
      <c r="AG82" s="49"/>
      <c r="AH82" s="49"/>
      <c r="AI82" s="49"/>
      <c r="AJ82" s="49"/>
      <c r="AK82" s="49"/>
      <c r="AL82" s="49"/>
      <c r="AM82" s="49"/>
      <c r="AN82" s="49"/>
      <c r="AO82" s="49"/>
      <c r="AP82" s="49"/>
      <c r="AQ82" s="49"/>
      <c r="AR82" s="49"/>
      <c r="AS82" s="49"/>
      <c r="AT82" s="49"/>
      <c r="AU82" s="49"/>
    </row>
    <row r="83" spans="1:47">
      <c r="A83" s="49"/>
      <c r="B83" s="49"/>
      <c r="C83" s="49"/>
      <c r="D83" s="49"/>
      <c r="E83" s="49"/>
      <c r="F83" s="49"/>
      <c r="G83" s="49"/>
      <c r="H83" s="49"/>
      <c r="I83" s="49"/>
      <c r="J83" s="49"/>
      <c r="K83" s="49"/>
      <c r="L83" s="49"/>
      <c r="M83" s="49"/>
      <c r="N83" s="49"/>
      <c r="O83" s="49"/>
      <c r="P83" s="49"/>
      <c r="Q83" s="49"/>
      <c r="R83" s="49"/>
      <c r="S83" s="49"/>
      <c r="T83" s="49"/>
      <c r="U83" s="49"/>
      <c r="V83" s="49"/>
      <c r="W83" s="49"/>
      <c r="X83" s="49"/>
      <c r="Y83" s="49"/>
      <c r="Z83" s="49"/>
      <c r="AA83" s="49"/>
      <c r="AB83" s="49"/>
      <c r="AC83" s="49"/>
      <c r="AD83" s="49"/>
      <c r="AE83" s="49"/>
      <c r="AF83" s="49"/>
      <c r="AG83" s="49"/>
      <c r="AH83" s="49"/>
      <c r="AI83" s="49"/>
      <c r="AJ83" s="49"/>
      <c r="AK83" s="49"/>
      <c r="AL83" s="49"/>
      <c r="AM83" s="49"/>
      <c r="AN83" s="49"/>
      <c r="AO83" s="49"/>
      <c r="AP83" s="49"/>
      <c r="AQ83" s="49"/>
      <c r="AR83" s="49"/>
      <c r="AS83" s="49"/>
      <c r="AT83" s="49"/>
      <c r="AU83" s="49"/>
    </row>
    <row r="84" spans="1:47">
      <c r="A84" s="49"/>
      <c r="B84" s="49"/>
      <c r="C84" s="49"/>
      <c r="D84" s="49"/>
      <c r="E84" s="49"/>
      <c r="F84" s="49"/>
      <c r="G84" s="49"/>
      <c r="H84" s="49"/>
      <c r="I84" s="49"/>
      <c r="J84" s="49"/>
      <c r="K84" s="49"/>
      <c r="L84" s="49"/>
      <c r="M84" s="49"/>
      <c r="N84" s="49"/>
      <c r="O84" s="49"/>
      <c r="P84" s="49"/>
      <c r="Q84" s="49"/>
      <c r="R84" s="49"/>
      <c r="S84" s="49"/>
      <c r="T84" s="49"/>
      <c r="U84" s="49"/>
      <c r="V84" s="49"/>
      <c r="W84" s="49"/>
      <c r="X84" s="49"/>
      <c r="Y84" s="49"/>
      <c r="Z84" s="49"/>
      <c r="AA84" s="49"/>
      <c r="AB84" s="49"/>
      <c r="AC84" s="49"/>
      <c r="AD84" s="49"/>
      <c r="AE84" s="49"/>
      <c r="AF84" s="49"/>
      <c r="AG84" s="49"/>
      <c r="AH84" s="49"/>
      <c r="AI84" s="49"/>
      <c r="AJ84" s="49"/>
      <c r="AK84" s="49"/>
      <c r="AL84" s="49"/>
      <c r="AM84" s="49"/>
      <c r="AN84" s="49"/>
      <c r="AO84" s="49"/>
      <c r="AP84" s="49"/>
      <c r="AQ84" s="49"/>
      <c r="AR84" s="49"/>
      <c r="AS84" s="49"/>
      <c r="AT84" s="49"/>
      <c r="AU84" s="49"/>
    </row>
    <row r="85" spans="1:47">
      <c r="A85" s="49"/>
      <c r="B85" s="49"/>
      <c r="C85" s="49"/>
      <c r="D85" s="49"/>
      <c r="E85" s="49"/>
      <c r="F85" s="49"/>
      <c r="G85" s="49"/>
      <c r="H85" s="49"/>
      <c r="I85" s="49"/>
      <c r="J85" s="49"/>
      <c r="K85" s="49"/>
      <c r="L85" s="49"/>
      <c r="M85" s="49"/>
      <c r="N85" s="49"/>
      <c r="O85" s="49"/>
      <c r="P85" s="49"/>
      <c r="Q85" s="49"/>
      <c r="R85" s="49"/>
      <c r="S85" s="49"/>
      <c r="T85" s="49"/>
      <c r="U85" s="49"/>
      <c r="V85" s="49"/>
      <c r="W85" s="49"/>
      <c r="X85" s="49"/>
      <c r="Y85" s="49"/>
      <c r="Z85" s="49"/>
      <c r="AA85" s="49"/>
      <c r="AB85" s="49"/>
      <c r="AC85" s="49"/>
      <c r="AD85" s="49"/>
      <c r="AE85" s="49"/>
      <c r="AF85" s="49"/>
      <c r="AG85" s="49"/>
      <c r="AH85" s="49"/>
      <c r="AI85" s="49"/>
      <c r="AJ85" s="49"/>
      <c r="AK85" s="49"/>
      <c r="AL85" s="49"/>
      <c r="AM85" s="49"/>
      <c r="AN85" s="49"/>
      <c r="AO85" s="49"/>
      <c r="AP85" s="49"/>
      <c r="AQ85" s="49"/>
      <c r="AR85" s="49"/>
      <c r="AS85" s="49"/>
      <c r="AT85" s="49"/>
      <c r="AU85" s="49"/>
    </row>
    <row r="86" spans="1:47">
      <c r="A86" s="49"/>
      <c r="B86" s="49"/>
      <c r="C86" s="49"/>
      <c r="D86" s="49"/>
      <c r="E86" s="49"/>
      <c r="F86" s="49"/>
      <c r="G86" s="49"/>
      <c r="H86" s="49"/>
      <c r="I86" s="49"/>
      <c r="J86" s="49"/>
      <c r="K86" s="49"/>
      <c r="L86" s="49"/>
      <c r="M86" s="49"/>
      <c r="N86" s="49"/>
      <c r="O86" s="49"/>
      <c r="P86" s="49"/>
      <c r="Q86" s="49"/>
      <c r="R86" s="49"/>
      <c r="S86" s="49"/>
      <c r="T86" s="49"/>
      <c r="U86" s="49"/>
      <c r="V86" s="49"/>
      <c r="W86" s="49"/>
      <c r="X86" s="49"/>
      <c r="Y86" s="49"/>
      <c r="Z86" s="49"/>
      <c r="AA86" s="49"/>
      <c r="AB86" s="49"/>
      <c r="AC86" s="49"/>
      <c r="AD86" s="49"/>
      <c r="AE86" s="49"/>
      <c r="AF86" s="49"/>
      <c r="AG86" s="49"/>
      <c r="AH86" s="49"/>
      <c r="AI86" s="49"/>
      <c r="AJ86" s="49"/>
      <c r="AK86" s="49"/>
      <c r="AL86" s="49"/>
      <c r="AM86" s="49"/>
      <c r="AN86" s="49"/>
      <c r="AO86" s="49"/>
      <c r="AP86" s="49"/>
      <c r="AQ86" s="49"/>
      <c r="AR86" s="49"/>
      <c r="AS86" s="49"/>
      <c r="AT86" s="49"/>
      <c r="AU86" s="49"/>
    </row>
    <row r="87" spans="1:47">
      <c r="A87" s="49"/>
      <c r="B87" s="49"/>
      <c r="C87" s="49"/>
      <c r="D87" s="49"/>
      <c r="E87" s="49"/>
      <c r="F87" s="49"/>
      <c r="G87" s="49"/>
      <c r="H87" s="49"/>
      <c r="I87" s="49"/>
      <c r="J87" s="49"/>
      <c r="K87" s="49"/>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49"/>
      <c r="AL87" s="49"/>
      <c r="AM87" s="49"/>
      <c r="AN87" s="49"/>
      <c r="AO87" s="49"/>
      <c r="AP87" s="49"/>
      <c r="AQ87" s="49"/>
      <c r="AR87" s="49"/>
      <c r="AS87" s="49"/>
      <c r="AT87" s="49"/>
      <c r="AU87" s="49"/>
    </row>
    <row r="88" spans="1:47">
      <c r="A88" s="49"/>
      <c r="B88" s="49"/>
      <c r="C88" s="49"/>
      <c r="D88" s="49"/>
      <c r="E88" s="49"/>
      <c r="F88" s="49"/>
      <c r="G88" s="49"/>
      <c r="H88" s="49"/>
      <c r="I88" s="49"/>
      <c r="J88" s="49"/>
      <c r="K88" s="49"/>
      <c r="L88" s="49"/>
      <c r="M88" s="49"/>
      <c r="N88" s="49"/>
      <c r="O88" s="49"/>
      <c r="P88" s="49"/>
      <c r="Q88" s="49"/>
      <c r="R88" s="49"/>
      <c r="S88" s="49"/>
      <c r="T88" s="49"/>
      <c r="U88" s="49"/>
      <c r="V88" s="49"/>
      <c r="W88" s="49"/>
      <c r="X88" s="49"/>
      <c r="Y88" s="49"/>
      <c r="Z88" s="49"/>
      <c r="AA88" s="49"/>
      <c r="AB88" s="49"/>
      <c r="AC88" s="49"/>
      <c r="AD88" s="49"/>
      <c r="AE88" s="49"/>
      <c r="AF88" s="49"/>
      <c r="AG88" s="49"/>
      <c r="AH88" s="49"/>
      <c r="AI88" s="49"/>
      <c r="AJ88" s="49"/>
      <c r="AK88" s="49"/>
      <c r="AL88" s="49"/>
      <c r="AM88" s="49"/>
      <c r="AN88" s="49"/>
      <c r="AO88" s="49"/>
      <c r="AP88" s="49"/>
      <c r="AQ88" s="49"/>
      <c r="AR88" s="49"/>
      <c r="AS88" s="49"/>
      <c r="AT88" s="49"/>
      <c r="AU88" s="49"/>
    </row>
    <row r="89" spans="1:47">
      <c r="A89" s="49"/>
      <c r="B89" s="49"/>
      <c r="C89" s="49"/>
      <c r="D89" s="49"/>
      <c r="E89" s="49"/>
      <c r="F89" s="49"/>
      <c r="G89" s="49"/>
      <c r="H89" s="49"/>
      <c r="I89" s="49"/>
      <c r="J89" s="49"/>
      <c r="K89" s="49"/>
      <c r="L89" s="49"/>
      <c r="M89" s="49"/>
      <c r="N89" s="49"/>
      <c r="O89" s="49"/>
      <c r="P89" s="49"/>
      <c r="Q89" s="49"/>
      <c r="R89" s="49"/>
      <c r="S89" s="49"/>
      <c r="T89" s="49"/>
      <c r="U89" s="49"/>
      <c r="V89" s="49"/>
      <c r="W89" s="49"/>
      <c r="X89" s="49"/>
      <c r="Y89" s="49"/>
      <c r="Z89" s="49"/>
      <c r="AA89" s="49"/>
      <c r="AB89" s="49"/>
      <c r="AC89" s="49"/>
      <c r="AD89" s="49"/>
      <c r="AE89" s="49"/>
      <c r="AF89" s="49"/>
      <c r="AG89" s="49"/>
      <c r="AH89" s="49"/>
      <c r="AI89" s="49"/>
      <c r="AJ89" s="49"/>
      <c r="AK89" s="49"/>
      <c r="AL89" s="49"/>
      <c r="AM89" s="49"/>
      <c r="AN89" s="49"/>
      <c r="AO89" s="49"/>
      <c r="AP89" s="49"/>
      <c r="AQ89" s="49"/>
      <c r="AR89" s="49"/>
      <c r="AS89" s="49"/>
      <c r="AT89" s="49"/>
      <c r="AU89" s="49"/>
    </row>
    <row r="90" spans="1:47">
      <c r="A90" s="49"/>
      <c r="B90" s="49"/>
      <c r="C90" s="49"/>
      <c r="D90" s="49"/>
      <c r="E90" s="49"/>
      <c r="F90" s="49"/>
      <c r="G90" s="49"/>
      <c r="H90" s="49"/>
      <c r="I90" s="49"/>
      <c r="J90" s="49"/>
      <c r="K90" s="49"/>
      <c r="L90" s="49"/>
      <c r="M90" s="49"/>
      <c r="N90" s="49"/>
      <c r="O90" s="49"/>
      <c r="P90" s="49"/>
      <c r="Q90" s="49"/>
      <c r="R90" s="49"/>
      <c r="S90" s="49"/>
      <c r="T90" s="49"/>
      <c r="U90" s="49"/>
      <c r="V90" s="49"/>
      <c r="W90" s="49"/>
      <c r="X90" s="49"/>
      <c r="Y90" s="49"/>
      <c r="Z90" s="49"/>
      <c r="AA90" s="49"/>
      <c r="AB90" s="49"/>
      <c r="AC90" s="49"/>
      <c r="AD90" s="49"/>
      <c r="AE90" s="49"/>
      <c r="AF90" s="49"/>
      <c r="AG90" s="49"/>
      <c r="AH90" s="49"/>
      <c r="AI90" s="49"/>
      <c r="AJ90" s="49"/>
      <c r="AK90" s="49"/>
      <c r="AL90" s="49"/>
      <c r="AM90" s="49"/>
      <c r="AN90" s="49"/>
      <c r="AO90" s="49"/>
      <c r="AP90" s="49"/>
      <c r="AQ90" s="49"/>
      <c r="AR90" s="49"/>
      <c r="AS90" s="49"/>
      <c r="AT90" s="49"/>
      <c r="AU90" s="49"/>
    </row>
    <row r="91" spans="1:47">
      <c r="A91" s="49"/>
      <c r="B91" s="49"/>
      <c r="C91" s="49"/>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9"/>
      <c r="AJ91" s="49"/>
      <c r="AK91" s="49"/>
      <c r="AL91" s="49"/>
      <c r="AM91" s="49"/>
      <c r="AN91" s="49"/>
      <c r="AO91" s="49"/>
      <c r="AP91" s="49"/>
      <c r="AQ91" s="49"/>
      <c r="AR91" s="49"/>
      <c r="AS91" s="49"/>
      <c r="AT91" s="49"/>
      <c r="AU91" s="49"/>
    </row>
    <row r="92" spans="1:47">
      <c r="A92" s="49"/>
      <c r="B92" s="49"/>
      <c r="C92" s="49"/>
      <c r="D92" s="49"/>
      <c r="E92" s="49"/>
      <c r="F92" s="49"/>
      <c r="G92" s="49"/>
      <c r="H92" s="49"/>
      <c r="I92" s="49"/>
      <c r="J92" s="49"/>
      <c r="K92" s="49"/>
      <c r="L92" s="49"/>
      <c r="M92" s="49"/>
      <c r="N92" s="49"/>
      <c r="O92" s="49"/>
      <c r="P92" s="49"/>
      <c r="Q92" s="49"/>
      <c r="R92" s="49"/>
      <c r="S92" s="49"/>
      <c r="T92" s="49"/>
      <c r="U92" s="49"/>
      <c r="V92" s="49"/>
      <c r="W92" s="49"/>
      <c r="X92" s="49"/>
      <c r="Y92" s="49"/>
      <c r="Z92" s="49"/>
      <c r="AA92" s="49"/>
      <c r="AB92" s="49"/>
      <c r="AC92" s="49"/>
      <c r="AD92" s="49"/>
      <c r="AE92" s="49"/>
      <c r="AF92" s="49"/>
      <c r="AG92" s="49"/>
      <c r="AH92" s="49"/>
      <c r="AI92" s="49"/>
      <c r="AJ92" s="49"/>
      <c r="AK92" s="49"/>
      <c r="AL92" s="49"/>
      <c r="AM92" s="49"/>
      <c r="AN92" s="49"/>
      <c r="AO92" s="49"/>
      <c r="AP92" s="49"/>
      <c r="AQ92" s="49"/>
      <c r="AR92" s="49"/>
      <c r="AS92" s="49"/>
      <c r="AT92" s="49"/>
      <c r="AU92" s="49"/>
    </row>
    <row r="93" spans="1:47">
      <c r="A93" s="49"/>
      <c r="B93" s="49"/>
      <c r="C93" s="49"/>
      <c r="D93" s="49"/>
      <c r="E93" s="49"/>
      <c r="F93" s="49"/>
      <c r="G93" s="49"/>
      <c r="H93" s="49"/>
      <c r="I93" s="49"/>
      <c r="J93" s="49"/>
      <c r="K93" s="49"/>
      <c r="L93" s="49"/>
      <c r="M93" s="49"/>
      <c r="N93" s="49"/>
      <c r="O93" s="49"/>
      <c r="P93" s="49"/>
      <c r="Q93" s="49"/>
      <c r="R93" s="49"/>
      <c r="S93" s="49"/>
      <c r="T93" s="49"/>
      <c r="U93" s="49"/>
      <c r="V93" s="49"/>
      <c r="W93" s="49"/>
      <c r="X93" s="49"/>
      <c r="Y93" s="49"/>
      <c r="Z93" s="49"/>
      <c r="AA93" s="49"/>
      <c r="AB93" s="49"/>
      <c r="AC93" s="49"/>
      <c r="AD93" s="49"/>
      <c r="AE93" s="49"/>
      <c r="AF93" s="49"/>
      <c r="AG93" s="49"/>
      <c r="AH93" s="49"/>
      <c r="AI93" s="49"/>
      <c r="AJ93" s="49"/>
      <c r="AK93" s="49"/>
      <c r="AL93" s="49"/>
      <c r="AM93" s="49"/>
      <c r="AN93" s="49"/>
      <c r="AO93" s="49"/>
      <c r="AP93" s="49"/>
      <c r="AQ93" s="49"/>
      <c r="AR93" s="49"/>
      <c r="AS93" s="49"/>
      <c r="AT93" s="49"/>
      <c r="AU93" s="49"/>
    </row>
    <row r="94" spans="1:47">
      <c r="A94" s="49"/>
      <c r="B94" s="49"/>
      <c r="C94" s="49"/>
      <c r="D94" s="49"/>
      <c r="E94" s="49"/>
      <c r="F94" s="49"/>
      <c r="G94" s="49"/>
      <c r="H94" s="49"/>
      <c r="I94" s="49"/>
      <c r="J94" s="49"/>
      <c r="K94" s="49"/>
      <c r="L94" s="49"/>
      <c r="M94" s="49"/>
      <c r="N94" s="49"/>
      <c r="O94" s="49"/>
      <c r="P94" s="49"/>
      <c r="Q94" s="49"/>
      <c r="R94" s="49"/>
      <c r="S94" s="49"/>
      <c r="T94" s="49"/>
      <c r="U94" s="49"/>
      <c r="V94" s="49"/>
      <c r="W94" s="49"/>
      <c r="X94" s="49"/>
      <c r="Y94" s="49"/>
      <c r="Z94" s="49"/>
      <c r="AA94" s="49"/>
      <c r="AB94" s="49"/>
      <c r="AC94" s="49"/>
      <c r="AD94" s="49"/>
      <c r="AE94" s="49"/>
      <c r="AF94" s="49"/>
      <c r="AG94" s="49"/>
      <c r="AH94" s="49"/>
      <c r="AI94" s="49"/>
      <c r="AJ94" s="49"/>
      <c r="AK94" s="49"/>
      <c r="AL94" s="49"/>
      <c r="AM94" s="49"/>
      <c r="AN94" s="49"/>
      <c r="AO94" s="49"/>
      <c r="AP94" s="49"/>
      <c r="AQ94" s="49"/>
      <c r="AR94" s="49"/>
      <c r="AS94" s="49"/>
      <c r="AT94" s="49"/>
      <c r="AU94" s="49"/>
    </row>
    <row r="95" spans="1:47">
      <c r="A95" s="49"/>
      <c r="B95" s="49"/>
      <c r="C95" s="49"/>
      <c r="D95" s="49"/>
      <c r="E95" s="49"/>
      <c r="F95" s="49"/>
      <c r="G95" s="49"/>
      <c r="H95" s="49"/>
      <c r="I95" s="49"/>
      <c r="J95" s="49"/>
      <c r="K95" s="49"/>
      <c r="L95" s="49"/>
      <c r="M95" s="49"/>
      <c r="N95" s="49"/>
      <c r="O95" s="49"/>
      <c r="P95" s="49"/>
      <c r="Q95" s="49"/>
      <c r="R95" s="49"/>
      <c r="S95" s="49"/>
      <c r="T95" s="49"/>
      <c r="U95" s="49"/>
      <c r="V95" s="49"/>
      <c r="W95" s="49"/>
      <c r="X95" s="49"/>
      <c r="Y95" s="49"/>
      <c r="Z95" s="49"/>
      <c r="AA95" s="49"/>
      <c r="AB95" s="49"/>
      <c r="AC95" s="49"/>
      <c r="AD95" s="49"/>
      <c r="AE95" s="49"/>
      <c r="AF95" s="49"/>
      <c r="AG95" s="49"/>
      <c r="AH95" s="49"/>
      <c r="AI95" s="49"/>
      <c r="AJ95" s="49"/>
      <c r="AK95" s="49"/>
      <c r="AL95" s="49"/>
      <c r="AM95" s="49"/>
      <c r="AN95" s="49"/>
      <c r="AO95" s="49"/>
      <c r="AP95" s="49"/>
      <c r="AQ95" s="49"/>
      <c r="AR95" s="49"/>
      <c r="AS95" s="49"/>
      <c r="AT95" s="49"/>
      <c r="AU95" s="49"/>
    </row>
    <row r="96" spans="1:47">
      <c r="A96" s="49"/>
      <c r="B96" s="49"/>
      <c r="C96" s="49"/>
      <c r="D96" s="49"/>
      <c r="E96" s="49"/>
      <c r="F96" s="49"/>
      <c r="G96" s="49"/>
      <c r="H96" s="49"/>
      <c r="I96" s="49"/>
      <c r="J96" s="49"/>
      <c r="K96" s="49"/>
      <c r="L96" s="49"/>
      <c r="M96" s="49"/>
      <c r="N96" s="49"/>
      <c r="O96" s="49"/>
      <c r="P96" s="49"/>
      <c r="Q96" s="49"/>
      <c r="R96" s="49"/>
      <c r="S96" s="49"/>
      <c r="T96" s="49"/>
      <c r="U96" s="49"/>
      <c r="V96" s="49"/>
      <c r="W96" s="49"/>
      <c r="X96" s="49"/>
      <c r="Y96" s="49"/>
      <c r="Z96" s="49"/>
      <c r="AA96" s="49"/>
      <c r="AB96" s="49"/>
      <c r="AC96" s="49"/>
      <c r="AD96" s="49"/>
      <c r="AE96" s="49"/>
      <c r="AF96" s="49"/>
      <c r="AG96" s="49"/>
      <c r="AH96" s="49"/>
      <c r="AI96" s="49"/>
      <c r="AJ96" s="49"/>
      <c r="AK96" s="49"/>
      <c r="AL96" s="49"/>
      <c r="AM96" s="49"/>
      <c r="AN96" s="49"/>
      <c r="AO96" s="49"/>
      <c r="AP96" s="49"/>
      <c r="AQ96" s="49"/>
      <c r="AR96" s="49"/>
      <c r="AS96" s="49"/>
      <c r="AT96" s="49"/>
      <c r="AU96" s="49"/>
    </row>
    <row r="97" spans="1:47">
      <c r="A97" s="49"/>
      <c r="B97" s="49"/>
      <c r="C97" s="49"/>
      <c r="D97" s="49"/>
      <c r="E97" s="49"/>
      <c r="F97" s="49"/>
      <c r="G97" s="49"/>
      <c r="H97" s="49"/>
      <c r="I97" s="49"/>
      <c r="J97" s="49"/>
      <c r="K97" s="49"/>
      <c r="L97" s="49"/>
      <c r="M97" s="49"/>
      <c r="N97" s="49"/>
      <c r="O97" s="49"/>
      <c r="P97" s="49"/>
      <c r="Q97" s="49"/>
      <c r="R97" s="49"/>
      <c r="S97" s="49"/>
      <c r="T97" s="49"/>
      <c r="U97" s="49"/>
      <c r="V97" s="49"/>
      <c r="W97" s="49"/>
      <c r="X97" s="49"/>
      <c r="Y97" s="49"/>
      <c r="Z97" s="49"/>
      <c r="AA97" s="49"/>
      <c r="AB97" s="49"/>
      <c r="AC97" s="49"/>
      <c r="AD97" s="49"/>
      <c r="AE97" s="49"/>
      <c r="AF97" s="49"/>
      <c r="AG97" s="49"/>
      <c r="AH97" s="49"/>
      <c r="AI97" s="49"/>
      <c r="AJ97" s="49"/>
      <c r="AK97" s="49"/>
      <c r="AL97" s="49"/>
      <c r="AM97" s="49"/>
      <c r="AN97" s="49"/>
      <c r="AO97" s="49"/>
      <c r="AP97" s="49"/>
      <c r="AQ97" s="49"/>
      <c r="AR97" s="49"/>
      <c r="AS97" s="49"/>
      <c r="AT97" s="49"/>
      <c r="AU97" s="49"/>
    </row>
    <row r="98" spans="1:47">
      <c r="A98" s="49"/>
      <c r="B98" s="49"/>
      <c r="C98" s="49"/>
      <c r="D98" s="49"/>
      <c r="E98" s="49"/>
      <c r="F98" s="49"/>
      <c r="G98" s="49"/>
      <c r="H98" s="49"/>
      <c r="I98" s="49"/>
      <c r="J98" s="49"/>
      <c r="K98" s="49"/>
      <c r="L98" s="49"/>
      <c r="M98" s="49"/>
      <c r="N98" s="49"/>
      <c r="O98" s="49"/>
      <c r="P98" s="49"/>
      <c r="Q98" s="49"/>
      <c r="R98" s="49"/>
      <c r="S98" s="49"/>
      <c r="T98" s="49"/>
      <c r="U98" s="49"/>
      <c r="V98" s="49"/>
      <c r="W98" s="49"/>
      <c r="X98" s="49"/>
      <c r="Y98" s="49"/>
      <c r="Z98" s="49"/>
      <c r="AA98" s="49"/>
      <c r="AB98" s="49"/>
      <c r="AC98" s="49"/>
      <c r="AD98" s="49"/>
      <c r="AE98" s="49"/>
      <c r="AF98" s="49"/>
      <c r="AG98" s="49"/>
      <c r="AH98" s="49"/>
      <c r="AI98" s="49"/>
      <c r="AJ98" s="49"/>
      <c r="AK98" s="49"/>
      <c r="AL98" s="49"/>
      <c r="AM98" s="49"/>
      <c r="AN98" s="49"/>
      <c r="AO98" s="49"/>
      <c r="AP98" s="49"/>
      <c r="AQ98" s="49"/>
      <c r="AR98" s="49"/>
      <c r="AS98" s="49"/>
      <c r="AT98" s="49"/>
      <c r="AU98" s="49"/>
    </row>
    <row r="99" spans="1:47">
      <c r="A99" s="49"/>
      <c r="B99" s="49"/>
      <c r="C99" s="49"/>
      <c r="D99" s="49"/>
      <c r="E99" s="49"/>
      <c r="F99" s="49"/>
      <c r="G99" s="49"/>
      <c r="H99" s="49"/>
      <c r="I99" s="49"/>
      <c r="J99" s="49"/>
      <c r="K99" s="49"/>
      <c r="L99" s="49"/>
      <c r="M99" s="49"/>
      <c r="N99" s="49"/>
      <c r="O99" s="49"/>
      <c r="P99" s="49"/>
      <c r="Q99" s="49"/>
      <c r="R99" s="49"/>
      <c r="S99" s="49"/>
      <c r="T99" s="49"/>
      <c r="U99" s="49"/>
      <c r="V99" s="49"/>
      <c r="W99" s="49"/>
      <c r="X99" s="49"/>
      <c r="Y99" s="49"/>
      <c r="Z99" s="49"/>
      <c r="AA99" s="49"/>
      <c r="AB99" s="49"/>
      <c r="AC99" s="49"/>
      <c r="AD99" s="49"/>
      <c r="AE99" s="49"/>
      <c r="AF99" s="49"/>
      <c r="AG99" s="49"/>
      <c r="AH99" s="49"/>
      <c r="AI99" s="49"/>
      <c r="AJ99" s="49"/>
      <c r="AK99" s="49"/>
      <c r="AL99" s="49"/>
      <c r="AM99" s="49"/>
      <c r="AN99" s="49"/>
      <c r="AO99" s="49"/>
      <c r="AP99" s="49"/>
      <c r="AQ99" s="49"/>
      <c r="AR99" s="49"/>
      <c r="AS99" s="49"/>
      <c r="AT99" s="49"/>
      <c r="AU99" s="49"/>
    </row>
    <row r="100" spans="1:47">
      <c r="A100" s="49"/>
      <c r="B100" s="49"/>
      <c r="C100" s="49"/>
      <c r="D100" s="49"/>
      <c r="E100" s="49"/>
      <c r="F100" s="49"/>
      <c r="G100" s="49"/>
      <c r="H100" s="49"/>
      <c r="I100" s="49"/>
      <c r="J100" s="49"/>
      <c r="K100" s="49"/>
      <c r="L100" s="49"/>
      <c r="M100" s="49"/>
      <c r="N100" s="49"/>
      <c r="O100" s="49"/>
      <c r="P100" s="49"/>
      <c r="Q100" s="49"/>
      <c r="R100" s="49"/>
      <c r="S100" s="49"/>
      <c r="T100" s="49"/>
      <c r="U100" s="49"/>
      <c r="V100" s="49"/>
      <c r="W100" s="49"/>
      <c r="X100" s="49"/>
      <c r="Y100" s="49"/>
      <c r="Z100" s="49"/>
      <c r="AA100" s="49"/>
      <c r="AB100" s="49"/>
      <c r="AC100" s="49"/>
      <c r="AD100" s="49"/>
      <c r="AE100" s="49"/>
      <c r="AF100" s="49"/>
      <c r="AG100" s="49"/>
      <c r="AH100" s="49"/>
      <c r="AI100" s="49"/>
      <c r="AJ100" s="49"/>
      <c r="AK100" s="49"/>
      <c r="AL100" s="49"/>
      <c r="AM100" s="49"/>
      <c r="AN100" s="49"/>
      <c r="AO100" s="49"/>
      <c r="AP100" s="49"/>
      <c r="AQ100" s="49"/>
      <c r="AR100" s="49"/>
      <c r="AS100" s="49"/>
      <c r="AT100" s="49"/>
      <c r="AU100" s="49"/>
    </row>
    <row r="101" spans="1:47">
      <c r="A101" s="49"/>
      <c r="B101" s="49"/>
      <c r="C101" s="49"/>
      <c r="D101" s="49"/>
      <c r="E101" s="49"/>
      <c r="F101" s="49"/>
      <c r="G101" s="49"/>
      <c r="H101" s="49"/>
      <c r="I101" s="49"/>
      <c r="J101" s="49"/>
      <c r="K101" s="49"/>
      <c r="L101" s="49"/>
      <c r="M101" s="49"/>
      <c r="N101" s="49"/>
      <c r="O101" s="49"/>
      <c r="P101" s="49"/>
      <c r="Q101" s="49"/>
      <c r="R101" s="49"/>
      <c r="S101" s="49"/>
      <c r="T101" s="49"/>
      <c r="U101" s="49"/>
      <c r="V101" s="49"/>
      <c r="W101" s="49"/>
      <c r="X101" s="49"/>
      <c r="Y101" s="49"/>
      <c r="Z101" s="49"/>
      <c r="AA101" s="49"/>
      <c r="AB101" s="49"/>
      <c r="AC101" s="49"/>
      <c r="AD101" s="49"/>
      <c r="AE101" s="49"/>
      <c r="AF101" s="49"/>
      <c r="AG101" s="49"/>
      <c r="AH101" s="49"/>
      <c r="AI101" s="49"/>
      <c r="AJ101" s="49"/>
      <c r="AK101" s="49"/>
      <c r="AL101" s="49"/>
      <c r="AM101" s="49"/>
      <c r="AN101" s="49"/>
      <c r="AO101" s="49"/>
      <c r="AP101" s="49"/>
      <c r="AQ101" s="49"/>
      <c r="AR101" s="49"/>
      <c r="AS101" s="49"/>
      <c r="AT101" s="49"/>
      <c r="AU101" s="49"/>
    </row>
    <row r="102" spans="1:47">
      <c r="A102" s="49"/>
      <c r="B102" s="49"/>
      <c r="C102" s="49"/>
      <c r="D102" s="49"/>
      <c r="E102" s="49"/>
      <c r="F102" s="49"/>
      <c r="G102" s="49"/>
      <c r="H102" s="49"/>
      <c r="I102" s="49"/>
      <c r="J102" s="49"/>
      <c r="K102" s="49"/>
      <c r="L102" s="49"/>
      <c r="M102" s="49"/>
      <c r="N102" s="49"/>
      <c r="O102" s="49"/>
      <c r="P102" s="49"/>
      <c r="Q102" s="49"/>
      <c r="R102" s="49"/>
      <c r="S102" s="49"/>
      <c r="T102" s="49"/>
      <c r="U102" s="49"/>
      <c r="V102" s="49"/>
      <c r="W102" s="49"/>
      <c r="X102" s="49"/>
      <c r="Y102" s="49"/>
      <c r="Z102" s="49"/>
      <c r="AA102" s="49"/>
      <c r="AB102" s="49"/>
      <c r="AC102" s="49"/>
      <c r="AD102" s="49"/>
      <c r="AE102" s="49"/>
      <c r="AF102" s="49"/>
      <c r="AG102" s="49"/>
      <c r="AH102" s="49"/>
      <c r="AI102" s="49"/>
      <c r="AJ102" s="49"/>
      <c r="AK102" s="49"/>
      <c r="AL102" s="49"/>
      <c r="AM102" s="49"/>
      <c r="AN102" s="49"/>
      <c r="AO102" s="49"/>
      <c r="AP102" s="49"/>
      <c r="AQ102" s="49"/>
      <c r="AR102" s="49"/>
      <c r="AS102" s="49"/>
      <c r="AT102" s="49"/>
      <c r="AU102" s="49"/>
    </row>
    <row r="103" spans="1:47">
      <c r="A103" s="49"/>
      <c r="B103" s="49"/>
      <c r="C103" s="49"/>
      <c r="D103" s="49"/>
      <c r="E103" s="49"/>
      <c r="F103" s="49"/>
      <c r="G103" s="49"/>
      <c r="H103" s="49"/>
      <c r="I103" s="49"/>
      <c r="J103" s="49"/>
      <c r="K103" s="49"/>
      <c r="L103" s="49"/>
      <c r="M103" s="49"/>
      <c r="N103" s="49"/>
      <c r="O103" s="49"/>
      <c r="P103" s="49"/>
      <c r="Q103" s="49"/>
      <c r="R103" s="49"/>
      <c r="S103" s="49"/>
      <c r="T103" s="49"/>
      <c r="U103" s="49"/>
      <c r="V103" s="49"/>
      <c r="W103" s="49"/>
      <c r="X103" s="49"/>
      <c r="Y103" s="49"/>
      <c r="Z103" s="49"/>
      <c r="AA103" s="49"/>
      <c r="AB103" s="49"/>
      <c r="AC103" s="49"/>
      <c r="AD103" s="49"/>
      <c r="AE103" s="49"/>
      <c r="AF103" s="49"/>
      <c r="AG103" s="49"/>
      <c r="AH103" s="49"/>
      <c r="AI103" s="49"/>
      <c r="AJ103" s="49"/>
      <c r="AK103" s="49"/>
      <c r="AL103" s="49"/>
      <c r="AM103" s="49"/>
      <c r="AN103" s="49"/>
      <c r="AO103" s="49"/>
      <c r="AP103" s="49"/>
      <c r="AQ103" s="49"/>
      <c r="AR103" s="49"/>
      <c r="AS103" s="49"/>
      <c r="AT103" s="49"/>
      <c r="AU103" s="49"/>
    </row>
    <row r="104" spans="1:47">
      <c r="A104" s="49"/>
      <c r="B104" s="49"/>
      <c r="C104" s="49"/>
      <c r="D104" s="49"/>
      <c r="E104" s="49"/>
      <c r="F104" s="49"/>
      <c r="G104" s="49"/>
      <c r="H104" s="49"/>
      <c r="I104" s="49"/>
      <c r="J104" s="49"/>
      <c r="K104" s="49"/>
      <c r="L104" s="49"/>
      <c r="M104" s="49"/>
      <c r="N104" s="49"/>
      <c r="O104" s="49"/>
      <c r="P104" s="49"/>
      <c r="Q104" s="49"/>
      <c r="R104" s="49"/>
      <c r="S104" s="49"/>
      <c r="T104" s="49"/>
      <c r="U104" s="49"/>
      <c r="V104" s="49"/>
      <c r="W104" s="49"/>
      <c r="X104" s="49"/>
      <c r="Y104" s="49"/>
      <c r="Z104" s="49"/>
      <c r="AA104" s="49"/>
      <c r="AB104" s="49"/>
      <c r="AC104" s="49"/>
      <c r="AD104" s="49"/>
      <c r="AE104" s="49"/>
      <c r="AF104" s="49"/>
      <c r="AG104" s="49"/>
      <c r="AH104" s="49"/>
      <c r="AI104" s="49"/>
      <c r="AJ104" s="49"/>
      <c r="AK104" s="49"/>
      <c r="AL104" s="49"/>
      <c r="AM104" s="49"/>
      <c r="AN104" s="49"/>
      <c r="AO104" s="49"/>
      <c r="AP104" s="49"/>
      <c r="AQ104" s="49"/>
      <c r="AR104" s="49"/>
      <c r="AS104" s="49"/>
      <c r="AT104" s="49"/>
      <c r="AU104" s="49"/>
    </row>
    <row r="105" spans="1:47">
      <c r="A105" s="49"/>
      <c r="B105" s="49"/>
      <c r="C105" s="49"/>
      <c r="D105" s="49"/>
      <c r="E105" s="49"/>
      <c r="F105" s="49"/>
      <c r="G105" s="49"/>
      <c r="H105" s="49"/>
      <c r="I105" s="49"/>
      <c r="J105" s="49"/>
      <c r="K105" s="49"/>
      <c r="L105" s="49"/>
      <c r="M105" s="49"/>
      <c r="N105" s="49"/>
      <c r="O105" s="49"/>
      <c r="P105" s="49"/>
      <c r="Q105" s="49"/>
      <c r="R105" s="49"/>
      <c r="S105" s="49"/>
      <c r="T105" s="49"/>
      <c r="U105" s="49"/>
      <c r="V105" s="49"/>
      <c r="W105" s="49"/>
      <c r="X105" s="49"/>
      <c r="Y105" s="49"/>
      <c r="Z105" s="49"/>
      <c r="AA105" s="49"/>
      <c r="AB105" s="49"/>
      <c r="AC105" s="49"/>
      <c r="AD105" s="49"/>
      <c r="AE105" s="49"/>
      <c r="AF105" s="49"/>
      <c r="AG105" s="49"/>
      <c r="AH105" s="49"/>
      <c r="AI105" s="49"/>
      <c r="AJ105" s="49"/>
      <c r="AK105" s="49"/>
      <c r="AL105" s="49"/>
      <c r="AM105" s="49"/>
      <c r="AN105" s="49"/>
      <c r="AO105" s="49"/>
      <c r="AP105" s="49"/>
      <c r="AQ105" s="49"/>
      <c r="AR105" s="49"/>
      <c r="AS105" s="49"/>
      <c r="AT105" s="49"/>
      <c r="AU105" s="49"/>
    </row>
    <row r="106" spans="1:47">
      <c r="A106" s="49"/>
      <c r="B106" s="49"/>
      <c r="C106" s="49"/>
      <c r="D106" s="49"/>
      <c r="E106" s="49"/>
      <c r="F106" s="49"/>
      <c r="G106" s="49"/>
      <c r="H106" s="49"/>
      <c r="I106" s="49"/>
      <c r="J106" s="49"/>
      <c r="K106" s="49"/>
      <c r="L106" s="49"/>
      <c r="M106" s="49"/>
      <c r="N106" s="49"/>
      <c r="O106" s="49"/>
      <c r="P106" s="49"/>
      <c r="Q106" s="49"/>
      <c r="R106" s="49"/>
      <c r="S106" s="49"/>
      <c r="T106" s="49"/>
      <c r="U106" s="49"/>
      <c r="V106" s="49"/>
      <c r="W106" s="49"/>
      <c r="X106" s="49"/>
      <c r="Y106" s="49"/>
      <c r="Z106" s="49"/>
      <c r="AA106" s="49"/>
      <c r="AB106" s="49"/>
      <c r="AC106" s="49"/>
      <c r="AD106" s="49"/>
      <c r="AE106" s="49"/>
      <c r="AF106" s="49"/>
      <c r="AG106" s="49"/>
      <c r="AH106" s="49"/>
      <c r="AI106" s="49"/>
      <c r="AJ106" s="49"/>
      <c r="AK106" s="49"/>
      <c r="AL106" s="49"/>
      <c r="AM106" s="49"/>
      <c r="AN106" s="49"/>
      <c r="AO106" s="49"/>
      <c r="AP106" s="49"/>
      <c r="AQ106" s="49"/>
      <c r="AR106" s="49"/>
      <c r="AS106" s="49"/>
      <c r="AT106" s="49"/>
      <c r="AU106" s="49"/>
    </row>
    <row r="107" spans="1:47">
      <c r="A107" s="49"/>
      <c r="B107" s="49"/>
      <c r="C107" s="49"/>
      <c r="D107" s="49"/>
      <c r="E107" s="49"/>
      <c r="F107" s="49"/>
      <c r="G107" s="49"/>
      <c r="H107" s="49"/>
      <c r="I107" s="49"/>
      <c r="J107" s="49"/>
      <c r="K107" s="49"/>
      <c r="L107" s="49"/>
      <c r="M107" s="49"/>
      <c r="N107" s="49"/>
      <c r="O107" s="49"/>
      <c r="P107" s="49"/>
      <c r="Q107" s="49"/>
      <c r="R107" s="49"/>
      <c r="S107" s="49"/>
      <c r="T107" s="49"/>
      <c r="U107" s="49"/>
      <c r="V107" s="49"/>
      <c r="W107" s="49"/>
      <c r="X107" s="49"/>
      <c r="Y107" s="49"/>
      <c r="Z107" s="49"/>
      <c r="AA107" s="49"/>
      <c r="AB107" s="49"/>
      <c r="AC107" s="49"/>
      <c r="AD107" s="49"/>
      <c r="AE107" s="49"/>
      <c r="AF107" s="49"/>
      <c r="AG107" s="49"/>
      <c r="AH107" s="49"/>
      <c r="AI107" s="49"/>
      <c r="AJ107" s="49"/>
      <c r="AK107" s="49"/>
      <c r="AL107" s="49"/>
      <c r="AM107" s="49"/>
      <c r="AN107" s="49"/>
      <c r="AO107" s="49"/>
      <c r="AP107" s="49"/>
      <c r="AQ107" s="49"/>
      <c r="AR107" s="49"/>
      <c r="AS107" s="49"/>
      <c r="AT107" s="49"/>
      <c r="AU107" s="49"/>
    </row>
    <row r="108" spans="1:47">
      <c r="A108" s="49"/>
      <c r="B108" s="49"/>
      <c r="C108" s="49"/>
      <c r="D108" s="49"/>
      <c r="E108" s="49"/>
      <c r="F108" s="49"/>
      <c r="G108" s="49"/>
      <c r="H108" s="49"/>
      <c r="I108" s="49"/>
      <c r="J108" s="49"/>
      <c r="K108" s="49"/>
      <c r="L108" s="49"/>
      <c r="M108" s="49"/>
      <c r="N108" s="49"/>
      <c r="O108" s="49"/>
      <c r="P108" s="49"/>
      <c r="Q108" s="49"/>
      <c r="R108" s="49"/>
      <c r="S108" s="49"/>
      <c r="T108" s="49"/>
      <c r="U108" s="49"/>
      <c r="V108" s="49"/>
      <c r="W108" s="49"/>
      <c r="X108" s="49"/>
      <c r="Y108" s="49"/>
      <c r="Z108" s="49"/>
      <c r="AA108" s="49"/>
      <c r="AB108" s="49"/>
      <c r="AC108" s="49"/>
      <c r="AD108" s="49"/>
      <c r="AE108" s="49"/>
      <c r="AF108" s="49"/>
      <c r="AG108" s="49"/>
      <c r="AH108" s="49"/>
      <c r="AI108" s="49"/>
      <c r="AJ108" s="49"/>
      <c r="AK108" s="49"/>
      <c r="AL108" s="49"/>
      <c r="AM108" s="49"/>
      <c r="AN108" s="49"/>
      <c r="AO108" s="49"/>
      <c r="AP108" s="49"/>
      <c r="AQ108" s="49"/>
      <c r="AR108" s="49"/>
      <c r="AS108" s="49"/>
      <c r="AT108" s="49"/>
      <c r="AU108" s="49"/>
    </row>
    <row r="109" spans="1:47">
      <c r="A109" s="49"/>
      <c r="B109" s="49"/>
      <c r="C109" s="49"/>
      <c r="D109" s="49"/>
      <c r="E109" s="49"/>
      <c r="F109" s="49"/>
      <c r="G109" s="49"/>
      <c r="H109" s="49"/>
      <c r="I109" s="49"/>
      <c r="J109" s="49"/>
      <c r="K109" s="49"/>
      <c r="L109" s="49"/>
      <c r="M109" s="49"/>
      <c r="N109" s="49"/>
      <c r="O109" s="49"/>
      <c r="P109" s="49"/>
      <c r="Q109" s="49"/>
      <c r="R109" s="49"/>
      <c r="S109" s="49"/>
      <c r="T109" s="49"/>
      <c r="U109" s="49"/>
      <c r="V109" s="49"/>
      <c r="W109" s="49"/>
      <c r="X109" s="49"/>
      <c r="Y109" s="49"/>
      <c r="Z109" s="49"/>
      <c r="AA109" s="49"/>
      <c r="AB109" s="49"/>
      <c r="AC109" s="49"/>
      <c r="AD109" s="49"/>
      <c r="AE109" s="49"/>
      <c r="AF109" s="49"/>
      <c r="AG109" s="49"/>
      <c r="AH109" s="49"/>
      <c r="AI109" s="49"/>
      <c r="AJ109" s="49"/>
      <c r="AK109" s="49"/>
      <c r="AL109" s="49"/>
      <c r="AM109" s="49"/>
      <c r="AN109" s="49"/>
      <c r="AO109" s="49"/>
      <c r="AP109" s="49"/>
      <c r="AQ109" s="49"/>
      <c r="AR109" s="49"/>
      <c r="AS109" s="49"/>
      <c r="AT109" s="49"/>
      <c r="AU109" s="49"/>
    </row>
  </sheetData>
  <phoneticPr fontId="2" type="noConversion"/>
  <dataValidations count="6">
    <dataValidation type="list" allowBlank="1" showInputMessage="1" showErrorMessage="1" sqref="C21:C40" xr:uid="{EC921880-28CB-4FCA-917E-2C13462D478F}">
      <formula1>"Continuous,Quantal-deterministic,Quantal-stochastic"</formula1>
    </dataValidation>
    <dataValidation type="list" allowBlank="1" showInputMessage="1" showErrorMessage="1" sqref="D21:D40" xr:uid="{32B6A7E0-AC69-48C2-8A34-FB17126BBF1A}">
      <formula1>"Oral,Inhalation,Dermal"</formula1>
    </dataValidation>
    <dataValidation type="list" allowBlank="1" showInputMessage="1" showErrorMessage="1" sqref="E21:E40" xr:uid="{CAFC64A9-6FC0-4C60-A765-EBDEAB72E923}">
      <formula1>"Chronic,Subchronic,Subacute,ReproORDev"</formula1>
    </dataValidation>
    <dataValidation type="list" allowBlank="1" showInputMessage="1" showErrorMessage="1" sqref="F21:F40" xr:uid="{2DC33FA4-5153-484A-8EFC-4EAF4B87BFAE}">
      <formula1>"Rat,Mouse,Dog,Rabbit,Human"</formula1>
    </dataValidation>
    <dataValidation type="list" allowBlank="1" showInputMessage="1" showErrorMessage="1" sqref="G21:G40" xr:uid="{FA4AE027-0BB7-457D-A158-52DFACE35307}">
      <formula1>"RfD,BMDL,NOAEL,LOAEL"</formula1>
    </dataValidation>
    <dataValidation type="list" allowBlank="1" showInputMessage="1" showErrorMessage="1" sqref="B21:B40" xr:uid="{B64ECB3E-0A4F-4937-95CC-282F29E01823}">
      <formula1>$AV$21:$AV$38</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94211" r:id="rId4" name="Button 3">
              <controlPr defaultSize="0" print="0" autoFill="0" autoPict="0" macro="[0]!HumanTox">
                <anchor moveWithCells="1" sizeWithCells="1">
                  <from>
                    <xdr:col>0</xdr:col>
                    <xdr:colOff>228600</xdr:colOff>
                    <xdr:row>5</xdr:row>
                    <xdr:rowOff>142875</xdr:rowOff>
                  </from>
                  <to>
                    <xdr:col>2</xdr:col>
                    <xdr:colOff>952500</xdr:colOff>
                    <xdr:row>7</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
  <sheetViews>
    <sheetView workbookViewId="0"/>
  </sheetViews>
  <sheetFormatPr defaultColWidth="8.86328125" defaultRowHeight="14.25"/>
  <sheetData/>
  <phoneticPr fontId="2"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7" tint="-0.249977111117893"/>
  </sheetPr>
  <dimension ref="A1:BE34"/>
  <sheetViews>
    <sheetView workbookViewId="0">
      <selection activeCell="E31" sqref="E31"/>
    </sheetView>
  </sheetViews>
  <sheetFormatPr defaultColWidth="8.3984375" defaultRowHeight="12.75"/>
  <cols>
    <col min="1" max="1" width="7.3984375" style="80" customWidth="1"/>
    <col min="2" max="2" width="23.1328125" style="80" customWidth="1"/>
    <col min="3" max="3" width="18" style="80" customWidth="1"/>
    <col min="4" max="4" width="12.59765625" style="80" customWidth="1"/>
    <col min="5" max="5" width="16.3984375" style="80" customWidth="1"/>
    <col min="6" max="6" width="13.3984375" style="80" customWidth="1"/>
    <col min="7" max="10" width="11.3984375" style="80" customWidth="1"/>
    <col min="11" max="30" width="6.3984375" style="80" customWidth="1"/>
    <col min="31" max="31" width="17.1328125" style="80" customWidth="1"/>
    <col min="32" max="32" width="16.3984375" style="80" customWidth="1"/>
    <col min="33" max="33" width="16.86328125" style="80" customWidth="1"/>
    <col min="34" max="34" width="15.3984375" style="80" customWidth="1"/>
    <col min="35" max="36" width="9.86328125" style="77" customWidth="1"/>
    <col min="37" max="37" width="9.86328125" style="391" customWidth="1"/>
    <col min="38" max="38" width="9.86328125" style="77" customWidth="1"/>
    <col min="39" max="39" width="12.3984375" style="80" customWidth="1"/>
    <col min="40" max="40" width="15.1328125" style="80" customWidth="1"/>
    <col min="41" max="41" width="15.86328125" style="80" customWidth="1"/>
    <col min="42" max="42" width="15.265625" style="80" customWidth="1"/>
    <col min="43" max="44" width="15.3984375" style="80" customWidth="1"/>
    <col min="45" max="45" width="9.3984375" style="80" customWidth="1"/>
    <col min="46" max="46" width="20.73046875" style="80" bestFit="1" customWidth="1"/>
    <col min="47" max="52" width="0.3984375" style="80" hidden="1" customWidth="1"/>
    <col min="53" max="16384" width="8.3984375" style="80"/>
  </cols>
  <sheetData>
    <row r="1" spans="1:57" ht="50.1" customHeight="1">
      <c r="A1" s="63" t="s">
        <v>809</v>
      </c>
      <c r="B1" s="158"/>
      <c r="C1" s="158"/>
      <c r="D1" s="158"/>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49"/>
      <c r="AJ1" s="49"/>
      <c r="AK1" s="387"/>
      <c r="AL1" s="100"/>
      <c r="AM1" s="158"/>
      <c r="AN1" s="158"/>
      <c r="AO1" s="158"/>
      <c r="AP1" s="158"/>
      <c r="AQ1" s="158"/>
      <c r="AR1" s="158"/>
      <c r="AS1" s="158"/>
      <c r="AT1" s="158"/>
      <c r="AU1" s="158"/>
      <c r="AV1" s="158"/>
      <c r="AW1" s="158"/>
      <c r="AX1" s="158"/>
      <c r="AY1" s="158"/>
      <c r="AZ1" s="158"/>
      <c r="BA1" s="49"/>
      <c r="BB1" s="49"/>
      <c r="BC1" s="49"/>
      <c r="BD1" s="49"/>
      <c r="BE1" s="49"/>
    </row>
    <row r="2" spans="1:57" hidden="1">
      <c r="A2" s="158"/>
      <c r="B2" s="158"/>
      <c r="C2" s="158"/>
      <c r="D2" s="158"/>
      <c r="E2" s="158"/>
      <c r="F2" s="158"/>
      <c r="G2" s="158"/>
      <c r="H2" s="158"/>
      <c r="I2" s="158"/>
      <c r="J2" s="158"/>
      <c r="K2" s="158"/>
      <c r="L2" s="158"/>
      <c r="M2" s="158"/>
      <c r="N2" s="158"/>
      <c r="O2" s="158"/>
      <c r="P2" s="158"/>
      <c r="Q2" s="158"/>
      <c r="R2" s="158"/>
      <c r="S2" s="158"/>
      <c r="T2" s="158"/>
      <c r="U2" s="158"/>
      <c r="V2" s="158"/>
      <c r="W2" s="158"/>
      <c r="X2" s="158"/>
      <c r="Y2" s="158"/>
      <c r="Z2" s="158"/>
      <c r="AA2" s="158"/>
      <c r="AB2" s="158"/>
      <c r="AC2" s="158"/>
      <c r="AD2" s="158"/>
      <c r="AE2" s="158"/>
      <c r="AF2" s="158"/>
      <c r="AG2" s="158"/>
      <c r="AH2" s="158"/>
      <c r="AI2" s="49"/>
      <c r="AJ2" s="49"/>
      <c r="AK2" s="387"/>
      <c r="AL2" s="100"/>
      <c r="AM2" s="158"/>
      <c r="AN2" s="158"/>
      <c r="AO2" s="158"/>
      <c r="AP2" s="158"/>
      <c r="AQ2" s="158"/>
      <c r="AR2" s="158"/>
      <c r="AS2" s="158"/>
      <c r="AT2" s="158"/>
      <c r="AU2" s="158"/>
      <c r="AV2" s="158"/>
      <c r="AW2" s="158"/>
      <c r="AX2" s="158"/>
      <c r="AY2" s="158"/>
      <c r="AZ2" s="158"/>
      <c r="BA2" s="49"/>
      <c r="BB2" s="49"/>
      <c r="BC2" s="49"/>
      <c r="BD2" s="49"/>
      <c r="BE2" s="49"/>
    </row>
    <row r="3" spans="1:57" hidden="1">
      <c r="A3" s="158"/>
      <c r="B3" s="158"/>
      <c r="C3" s="158"/>
      <c r="D3" s="158"/>
      <c r="E3" s="158"/>
      <c r="F3" s="158"/>
      <c r="G3" s="158"/>
      <c r="H3" s="158"/>
      <c r="I3" s="158"/>
      <c r="J3" s="158"/>
      <c r="K3" s="158"/>
      <c r="L3" s="158"/>
      <c r="M3" s="158"/>
      <c r="N3" s="158"/>
      <c r="O3" s="158"/>
      <c r="P3" s="158"/>
      <c r="Q3" s="158"/>
      <c r="R3" s="158"/>
      <c r="S3" s="158"/>
      <c r="T3" s="158"/>
      <c r="U3" s="158"/>
      <c r="V3" s="158"/>
      <c r="W3" s="158"/>
      <c r="X3" s="158"/>
      <c r="Y3" s="158"/>
      <c r="Z3" s="158"/>
      <c r="AA3" s="158"/>
      <c r="AB3" s="158"/>
      <c r="AC3" s="158"/>
      <c r="AD3" s="158"/>
      <c r="AE3" s="158"/>
      <c r="AF3" s="158"/>
      <c r="AG3" s="158"/>
      <c r="AH3" s="158"/>
      <c r="AI3" s="49"/>
      <c r="AJ3" s="49"/>
      <c r="AK3" s="387"/>
      <c r="AL3" s="100"/>
      <c r="AM3" s="158"/>
      <c r="AN3" s="158"/>
      <c r="AO3" s="158"/>
      <c r="AP3" s="158"/>
      <c r="AQ3" s="158"/>
      <c r="AR3" s="158"/>
      <c r="AS3" s="158"/>
      <c r="AT3" s="158"/>
      <c r="AU3" s="158"/>
      <c r="AV3" s="158"/>
      <c r="AW3" s="158"/>
      <c r="AX3" s="158"/>
      <c r="AY3" s="158"/>
      <c r="AZ3" s="158"/>
      <c r="BA3" s="49"/>
      <c r="BB3" s="49"/>
      <c r="BC3" s="49"/>
      <c r="BD3" s="49"/>
      <c r="BE3" s="49"/>
    </row>
    <row r="4" spans="1:57" hidden="1">
      <c r="A4" s="158"/>
      <c r="B4" s="158"/>
      <c r="C4" s="158"/>
      <c r="D4" s="158"/>
      <c r="E4" s="158"/>
      <c r="F4" s="158"/>
      <c r="G4" s="158"/>
      <c r="H4" s="158"/>
      <c r="I4" s="158"/>
      <c r="J4" s="158"/>
      <c r="K4" s="158"/>
      <c r="L4" s="158"/>
      <c r="M4" s="158"/>
      <c r="N4" s="158"/>
      <c r="O4" s="158"/>
      <c r="P4" s="158"/>
      <c r="Q4" s="158"/>
      <c r="R4" s="158"/>
      <c r="S4" s="158"/>
      <c r="T4" s="158"/>
      <c r="U4" s="158"/>
      <c r="V4" s="158"/>
      <c r="W4" s="158"/>
      <c r="X4" s="158"/>
      <c r="Y4" s="158"/>
      <c r="Z4" s="158"/>
      <c r="AA4" s="158"/>
      <c r="AB4" s="158"/>
      <c r="AC4" s="158"/>
      <c r="AD4" s="158"/>
      <c r="AE4" s="158"/>
      <c r="AF4" s="158"/>
      <c r="AG4" s="158"/>
      <c r="AH4" s="158"/>
      <c r="AI4" s="49"/>
      <c r="AJ4" s="49"/>
      <c r="AK4" s="387"/>
      <c r="AL4" s="100"/>
      <c r="AM4" s="158"/>
      <c r="AN4" s="158"/>
      <c r="AO4" s="158"/>
      <c r="AP4" s="158"/>
      <c r="AQ4" s="158"/>
      <c r="AR4" s="158"/>
      <c r="AS4" s="158"/>
      <c r="AT4" s="158"/>
      <c r="AU4" s="158"/>
      <c r="AV4" s="158"/>
      <c r="AW4" s="158"/>
      <c r="AX4" s="158"/>
      <c r="AY4" s="158"/>
      <c r="AZ4" s="158"/>
      <c r="BA4" s="49"/>
      <c r="BB4" s="49"/>
      <c r="BC4" s="49"/>
      <c r="BD4" s="49"/>
      <c r="BE4" s="49"/>
    </row>
    <row r="5" spans="1:57" hidden="1">
      <c r="A5" s="158"/>
      <c r="B5" s="158"/>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49"/>
      <c r="AJ5" s="49"/>
      <c r="AK5" s="387"/>
      <c r="AL5" s="100"/>
      <c r="AM5" s="158"/>
      <c r="AN5" s="158"/>
      <c r="AO5" s="158"/>
      <c r="AP5" s="158"/>
      <c r="AQ5" s="158"/>
      <c r="AR5" s="158"/>
      <c r="AS5" s="158"/>
      <c r="AT5" s="158"/>
      <c r="AU5" s="158"/>
      <c r="AV5" s="158"/>
      <c r="AW5" s="158"/>
      <c r="AX5" s="158"/>
      <c r="AY5" s="158"/>
      <c r="AZ5" s="158"/>
      <c r="BA5" s="49"/>
      <c r="BB5" s="49"/>
      <c r="BC5" s="49"/>
      <c r="BD5" s="49"/>
      <c r="BE5" s="49"/>
    </row>
    <row r="6" spans="1:57" hidden="1">
      <c r="A6" s="158"/>
      <c r="B6" s="158"/>
      <c r="C6" s="158"/>
      <c r="D6" s="158"/>
      <c r="E6" s="158"/>
      <c r="F6" s="158"/>
      <c r="G6" s="158"/>
      <c r="H6" s="158"/>
      <c r="I6" s="158"/>
      <c r="J6" s="158"/>
      <c r="K6" s="158"/>
      <c r="L6" s="158"/>
      <c r="M6" s="158"/>
      <c r="N6" s="158"/>
      <c r="O6" s="158"/>
      <c r="P6" s="158"/>
      <c r="Q6" s="158"/>
      <c r="R6" s="158"/>
      <c r="S6" s="158"/>
      <c r="T6" s="158"/>
      <c r="U6" s="158"/>
      <c r="V6" s="158"/>
      <c r="W6" s="158"/>
      <c r="X6" s="158"/>
      <c r="Y6" s="158"/>
      <c r="Z6" s="158"/>
      <c r="AA6" s="158"/>
      <c r="AB6" s="158"/>
      <c r="AC6" s="158"/>
      <c r="AD6" s="158"/>
      <c r="AE6" s="158"/>
      <c r="AF6" s="158"/>
      <c r="AG6" s="158"/>
      <c r="AH6" s="158"/>
      <c r="AI6" s="49"/>
      <c r="AJ6" s="49"/>
      <c r="AK6" s="387"/>
      <c r="AL6" s="100"/>
      <c r="AM6" s="158"/>
      <c r="AN6" s="158"/>
      <c r="AO6" s="158"/>
      <c r="AP6" s="158"/>
      <c r="AQ6" s="158"/>
      <c r="AR6" s="158"/>
      <c r="AS6" s="158"/>
      <c r="AT6" s="158"/>
      <c r="AU6" s="158"/>
      <c r="AV6" s="158"/>
      <c r="AW6" s="158"/>
      <c r="AX6" s="158"/>
      <c r="AY6" s="158"/>
      <c r="AZ6" s="158"/>
      <c r="BA6" s="49"/>
      <c r="BB6" s="49"/>
      <c r="BC6" s="49"/>
      <c r="BD6" s="49"/>
      <c r="BE6" s="49"/>
    </row>
    <row r="7" spans="1:57" hidden="1">
      <c r="A7" s="158"/>
      <c r="B7" s="158"/>
      <c r="C7" s="158"/>
      <c r="D7" s="158"/>
      <c r="E7" s="158"/>
      <c r="F7" s="158"/>
      <c r="G7" s="158"/>
      <c r="H7" s="158"/>
      <c r="I7" s="158"/>
      <c r="J7" s="158"/>
      <c r="K7" s="158"/>
      <c r="L7" s="158"/>
      <c r="M7" s="158"/>
      <c r="N7" s="158"/>
      <c r="O7" s="158"/>
      <c r="P7" s="158"/>
      <c r="Q7" s="158"/>
      <c r="R7" s="158"/>
      <c r="S7" s="158"/>
      <c r="T7" s="158"/>
      <c r="U7" s="158"/>
      <c r="V7" s="158"/>
      <c r="W7" s="158"/>
      <c r="X7" s="158"/>
      <c r="Y7" s="158"/>
      <c r="Z7" s="158"/>
      <c r="AA7" s="158"/>
      <c r="AB7" s="158"/>
      <c r="AC7" s="158"/>
      <c r="AD7" s="158"/>
      <c r="AE7" s="158"/>
      <c r="AF7" s="158"/>
      <c r="AG7" s="158"/>
      <c r="AH7" s="158"/>
      <c r="AI7" s="49"/>
      <c r="AJ7" s="49"/>
      <c r="AK7" s="387"/>
      <c r="AL7" s="100"/>
      <c r="AM7" s="158"/>
      <c r="AN7" s="158"/>
      <c r="AO7" s="158"/>
      <c r="AP7" s="158"/>
      <c r="AQ7" s="158"/>
      <c r="AR7" s="158"/>
      <c r="AS7" s="158"/>
      <c r="AT7" s="158"/>
      <c r="AU7" s="158"/>
      <c r="AV7" s="158"/>
      <c r="AW7" s="158"/>
      <c r="AX7" s="158"/>
      <c r="AY7" s="158"/>
      <c r="AZ7" s="158"/>
      <c r="BA7" s="49"/>
      <c r="BB7" s="49"/>
      <c r="BC7" s="49"/>
      <c r="BD7" s="49"/>
      <c r="BE7" s="49"/>
    </row>
    <row r="8" spans="1:57" hidden="1">
      <c r="A8" s="158"/>
      <c r="B8" s="158"/>
      <c r="C8" s="158"/>
      <c r="D8" s="158"/>
      <c r="E8" s="158"/>
      <c r="F8" s="158"/>
      <c r="G8" s="158"/>
      <c r="H8" s="158"/>
      <c r="I8" s="158"/>
      <c r="J8" s="158"/>
      <c r="K8" s="158"/>
      <c r="L8" s="158"/>
      <c r="M8" s="158"/>
      <c r="N8" s="158"/>
      <c r="O8" s="158"/>
      <c r="P8" s="158"/>
      <c r="Q8" s="158"/>
      <c r="R8" s="158"/>
      <c r="S8" s="158"/>
      <c r="T8" s="158"/>
      <c r="U8" s="158"/>
      <c r="V8" s="158"/>
      <c r="W8" s="158"/>
      <c r="X8" s="158"/>
      <c r="Y8" s="158"/>
      <c r="Z8" s="158"/>
      <c r="AA8" s="158"/>
      <c r="AB8" s="158"/>
      <c r="AC8" s="158"/>
      <c r="AD8" s="158"/>
      <c r="AE8" s="158"/>
      <c r="AF8" s="158"/>
      <c r="AG8" s="158"/>
      <c r="AH8" s="158"/>
      <c r="AI8" s="49"/>
      <c r="AJ8" s="49"/>
      <c r="AK8" s="392"/>
      <c r="AL8" s="100"/>
      <c r="AM8" s="158"/>
      <c r="AN8" s="158"/>
      <c r="AO8" s="158"/>
      <c r="AP8" s="158"/>
      <c r="AQ8" s="158"/>
      <c r="AR8" s="158"/>
      <c r="AS8" s="158"/>
      <c r="AT8" s="158"/>
      <c r="AU8" s="158"/>
      <c r="AV8" s="158"/>
      <c r="AW8" s="158"/>
      <c r="AX8" s="158"/>
      <c r="AY8" s="158"/>
      <c r="AZ8" s="158"/>
      <c r="BA8" s="49"/>
      <c r="BB8" s="49"/>
      <c r="BC8" s="49"/>
      <c r="BD8" s="49"/>
      <c r="BE8" s="49"/>
    </row>
    <row r="9" spans="1:57" s="300" customFormat="1" ht="17.100000000000001" customHeight="1">
      <c r="A9" s="297"/>
      <c r="B9" s="297"/>
      <c r="C9" s="298"/>
      <c r="D9" s="298"/>
      <c r="E9" s="151" t="s">
        <v>803</v>
      </c>
      <c r="F9" s="297"/>
      <c r="G9" s="151" t="s">
        <v>266</v>
      </c>
      <c r="H9" s="151"/>
      <c r="I9" s="297"/>
      <c r="J9" s="298"/>
      <c r="K9" s="151" t="s">
        <v>888</v>
      </c>
      <c r="L9" s="297"/>
      <c r="M9" s="297"/>
      <c r="N9" s="297"/>
      <c r="O9" s="297"/>
      <c r="P9" s="297"/>
      <c r="Q9" s="297"/>
      <c r="R9" s="297"/>
      <c r="S9" s="297"/>
      <c r="T9" s="297"/>
      <c r="U9" s="297"/>
      <c r="V9" s="297"/>
      <c r="W9" s="297"/>
      <c r="X9" s="297"/>
      <c r="Y9" s="297"/>
      <c r="Z9" s="297"/>
      <c r="AA9" s="297"/>
      <c r="AB9" s="297"/>
      <c r="AC9" s="297"/>
      <c r="AD9" s="298"/>
      <c r="AE9" s="151" t="s">
        <v>902</v>
      </c>
      <c r="AF9" s="297"/>
      <c r="AG9" s="297"/>
      <c r="AH9" s="298"/>
      <c r="AI9" s="151" t="s">
        <v>903</v>
      </c>
      <c r="AJ9" s="297"/>
      <c r="AK9" s="394"/>
      <c r="AL9" s="383"/>
      <c r="AM9" s="151" t="s">
        <v>50</v>
      </c>
      <c r="AN9" s="297"/>
      <c r="AO9" s="298"/>
      <c r="AP9" s="297" t="s">
        <v>804</v>
      </c>
      <c r="AQ9" s="297"/>
      <c r="AR9" s="297"/>
      <c r="AS9" s="298"/>
      <c r="AT9" s="299"/>
      <c r="AU9" s="151"/>
      <c r="AV9" s="297"/>
      <c r="AW9" s="297"/>
      <c r="AX9" s="297"/>
      <c r="AY9" s="297"/>
      <c r="AZ9" s="297"/>
      <c r="BA9" s="49"/>
      <c r="BB9" s="49"/>
      <c r="BC9" s="49"/>
      <c r="BD9" s="49"/>
      <c r="BE9" s="49"/>
    </row>
    <row r="10" spans="1:57" s="265" customFormat="1" ht="31.5" customHeight="1">
      <c r="A10" s="152" t="s">
        <v>29</v>
      </c>
      <c r="B10" s="153" t="s">
        <v>802</v>
      </c>
      <c r="C10" s="395" t="s">
        <v>807</v>
      </c>
      <c r="D10" s="277" t="s">
        <v>895</v>
      </c>
      <c r="E10" s="152" t="s">
        <v>53</v>
      </c>
      <c r="F10" s="281" t="s">
        <v>75</v>
      </c>
      <c r="G10" s="154" t="s">
        <v>25</v>
      </c>
      <c r="H10" s="154" t="s">
        <v>965</v>
      </c>
      <c r="I10" s="154" t="s">
        <v>26</v>
      </c>
      <c r="J10" s="277" t="s">
        <v>27</v>
      </c>
      <c r="K10" s="152" t="s">
        <v>15</v>
      </c>
      <c r="L10" s="152" t="s">
        <v>16</v>
      </c>
      <c r="M10" s="152" t="s">
        <v>17</v>
      </c>
      <c r="N10" s="152" t="s">
        <v>18</v>
      </c>
      <c r="O10" s="152" t="s">
        <v>19</v>
      </c>
      <c r="P10" s="152" t="s">
        <v>20</v>
      </c>
      <c r="Q10" s="152" t="s">
        <v>21</v>
      </c>
      <c r="R10" s="152" t="s">
        <v>22</v>
      </c>
      <c r="S10" s="152" t="s">
        <v>23</v>
      </c>
      <c r="T10" s="152" t="s">
        <v>24</v>
      </c>
      <c r="U10" s="152" t="s">
        <v>62</v>
      </c>
      <c r="V10" s="152" t="s">
        <v>63</v>
      </c>
      <c r="W10" s="152" t="s">
        <v>64</v>
      </c>
      <c r="X10" s="152" t="s">
        <v>65</v>
      </c>
      <c r="Y10" s="152" t="s">
        <v>66</v>
      </c>
      <c r="Z10" s="152" t="s">
        <v>67</v>
      </c>
      <c r="AA10" s="152" t="s">
        <v>68</v>
      </c>
      <c r="AB10" s="152" t="s">
        <v>69</v>
      </c>
      <c r="AC10" s="152" t="s">
        <v>70</v>
      </c>
      <c r="AD10" s="281" t="s">
        <v>71</v>
      </c>
      <c r="AE10" s="154" t="s">
        <v>889</v>
      </c>
      <c r="AF10" s="154" t="s">
        <v>890</v>
      </c>
      <c r="AG10" s="154" t="s">
        <v>891</v>
      </c>
      <c r="AH10" s="277" t="s">
        <v>892</v>
      </c>
      <c r="AI10" s="152" t="s">
        <v>893</v>
      </c>
      <c r="AJ10" s="152" t="s">
        <v>60</v>
      </c>
      <c r="AK10" s="152" t="s">
        <v>61</v>
      </c>
      <c r="AL10" s="281" t="s">
        <v>894</v>
      </c>
      <c r="AM10" s="154" t="s">
        <v>264</v>
      </c>
      <c r="AN10" s="154" t="s">
        <v>51</v>
      </c>
      <c r="AO10" s="277" t="s">
        <v>52</v>
      </c>
      <c r="AP10" s="152" t="s">
        <v>265</v>
      </c>
      <c r="AQ10" s="152" t="s">
        <v>72</v>
      </c>
      <c r="AR10" s="152" t="s">
        <v>73</v>
      </c>
      <c r="AS10" s="281" t="s">
        <v>74</v>
      </c>
      <c r="AT10" s="291" t="s">
        <v>801</v>
      </c>
      <c r="AU10" s="155"/>
      <c r="AV10" s="155"/>
      <c r="AW10" s="155"/>
      <c r="AX10" s="155"/>
      <c r="AY10" s="155"/>
      <c r="AZ10" s="155"/>
      <c r="BA10" s="49"/>
      <c r="BB10" s="49"/>
      <c r="BC10" s="49"/>
      <c r="BD10" s="49"/>
      <c r="BE10" s="49"/>
    </row>
    <row r="11" spans="1:57" ht="17.100000000000001" customHeight="1">
      <c r="A11" s="158">
        <v>1</v>
      </c>
      <c r="B11" s="403" t="s">
        <v>797</v>
      </c>
      <c r="C11" s="408">
        <f>45/365</f>
        <v>0.12328767123287671</v>
      </c>
      <c r="D11" s="404" t="s">
        <v>896</v>
      </c>
      <c r="E11" s="272" t="s">
        <v>77</v>
      </c>
      <c r="F11" s="278" t="s">
        <v>277</v>
      </c>
      <c r="G11" s="275">
        <v>0.01</v>
      </c>
      <c r="H11" s="275"/>
      <c r="I11" s="266">
        <v>0.94</v>
      </c>
      <c r="J11" s="280"/>
      <c r="K11" s="279"/>
      <c r="L11" s="267"/>
      <c r="M11" s="267"/>
      <c r="N11" s="267"/>
      <c r="O11" s="267"/>
      <c r="P11" s="267"/>
      <c r="Q11" s="267"/>
      <c r="R11" s="267"/>
      <c r="S11" s="267"/>
      <c r="T11" s="267"/>
      <c r="U11" s="267"/>
      <c r="V11" s="267"/>
      <c r="W11" s="267"/>
      <c r="X11" s="267"/>
      <c r="Y11" s="197"/>
      <c r="Z11" s="197"/>
      <c r="AA11" s="197"/>
      <c r="AB11" s="197"/>
      <c r="AC11" s="197"/>
      <c r="AD11" s="282"/>
      <c r="AE11" s="397"/>
      <c r="AF11" s="398"/>
      <c r="AG11" s="398">
        <v>1</v>
      </c>
      <c r="AH11" s="399"/>
      <c r="AI11" s="284"/>
      <c r="AJ11" s="268"/>
      <c r="AK11" s="393"/>
      <c r="AL11" s="384"/>
      <c r="AM11" s="273">
        <v>0</v>
      </c>
      <c r="AN11" s="158">
        <v>0</v>
      </c>
      <c r="AO11" s="274">
        <v>0</v>
      </c>
      <c r="AP11" s="158">
        <v>0</v>
      </c>
      <c r="AQ11" s="158">
        <v>1</v>
      </c>
      <c r="AR11" s="158">
        <v>1</v>
      </c>
      <c r="AS11" s="274">
        <v>3</v>
      </c>
      <c r="AT11" s="289">
        <v>1</v>
      </c>
      <c r="AU11" s="273"/>
      <c r="AV11" s="158"/>
      <c r="AW11" s="158"/>
      <c r="AX11" s="158"/>
      <c r="AY11" s="158"/>
      <c r="AZ11" s="158"/>
      <c r="BA11" s="49"/>
      <c r="BB11" s="49"/>
      <c r="BC11" s="49"/>
      <c r="BD11" s="49"/>
      <c r="BE11" s="49"/>
    </row>
    <row r="12" spans="1:57" ht="17.100000000000001" customHeight="1">
      <c r="A12" s="158">
        <v>2</v>
      </c>
      <c r="B12" s="403" t="s">
        <v>257</v>
      </c>
      <c r="C12" s="405">
        <v>4</v>
      </c>
      <c r="D12" s="404" t="s">
        <v>897</v>
      </c>
      <c r="E12" s="272" t="s">
        <v>77</v>
      </c>
      <c r="F12" s="278" t="s">
        <v>277</v>
      </c>
      <c r="G12" s="275">
        <f>10/8*0.035</f>
        <v>4.3750000000000004E-2</v>
      </c>
      <c r="H12" s="275">
        <v>0.156</v>
      </c>
      <c r="I12" s="266">
        <v>0.8</v>
      </c>
      <c r="J12" s="280"/>
      <c r="K12" s="279">
        <f>0.000000131/0.05</f>
        <v>2.6199999999999999E-6</v>
      </c>
      <c r="L12" s="267"/>
      <c r="M12" s="267"/>
      <c r="N12" s="267"/>
      <c r="O12" s="267"/>
      <c r="P12" s="267"/>
      <c r="Q12" s="267"/>
      <c r="R12" s="267"/>
      <c r="S12" s="267"/>
      <c r="T12" s="267"/>
      <c r="U12" s="267"/>
      <c r="V12" s="267"/>
      <c r="W12" s="267"/>
      <c r="X12" s="267"/>
      <c r="Y12" s="197"/>
      <c r="Z12" s="197"/>
      <c r="AA12" s="197"/>
      <c r="AB12" s="197"/>
      <c r="AC12" s="197"/>
      <c r="AD12" s="282"/>
      <c r="AE12" s="397">
        <f t="shared" ref="AE12:AE20" si="0">SUM(K12:AD12)</f>
        <v>2.6199999999999999E-6</v>
      </c>
      <c r="AF12" s="398"/>
      <c r="AG12" s="396">
        <f>(1/(24*1000))/(100^0.32)*962</f>
        <v>9.1825611748441571E-3</v>
      </c>
      <c r="AH12" s="399"/>
      <c r="AI12" s="284"/>
      <c r="AJ12" s="268"/>
      <c r="AK12" s="388"/>
      <c r="AL12" s="384"/>
      <c r="AM12" s="273"/>
      <c r="AN12" s="158">
        <v>0</v>
      </c>
      <c r="AO12" s="274">
        <v>0</v>
      </c>
      <c r="AP12" s="158">
        <v>0.21</v>
      </c>
      <c r="AQ12" s="158">
        <v>0.3</v>
      </c>
      <c r="AR12" s="158">
        <v>0.02</v>
      </c>
      <c r="AS12" s="274">
        <v>1.98</v>
      </c>
      <c r="AT12" s="289">
        <v>1</v>
      </c>
      <c r="AU12" s="273"/>
      <c r="AV12" s="158"/>
      <c r="AW12" s="158"/>
      <c r="AX12" s="158"/>
      <c r="AY12" s="158"/>
      <c r="AZ12" s="158"/>
      <c r="BA12" s="49"/>
      <c r="BB12" s="49"/>
      <c r="BC12" s="49"/>
      <c r="BD12" s="49"/>
      <c r="BE12" s="49"/>
    </row>
    <row r="13" spans="1:57" ht="17.100000000000001" customHeight="1">
      <c r="A13" s="158">
        <v>3</v>
      </c>
      <c r="B13" s="403" t="s">
        <v>258</v>
      </c>
      <c r="C13" s="405">
        <v>4</v>
      </c>
      <c r="D13" s="404" t="s">
        <v>897</v>
      </c>
      <c r="E13" s="272" t="s">
        <v>77</v>
      </c>
      <c r="F13" s="278" t="s">
        <v>277</v>
      </c>
      <c r="G13" s="275">
        <f>10/8*0.044</f>
        <v>5.4999999999999993E-2</v>
      </c>
      <c r="H13" s="275">
        <v>0.14499999999999999</v>
      </c>
      <c r="I13" s="266">
        <v>0.8</v>
      </c>
      <c r="J13" s="280"/>
      <c r="K13" s="279">
        <f>0.000002*47%</f>
        <v>9.3999999999999989E-7</v>
      </c>
      <c r="L13" s="267">
        <f>0.000002*53%</f>
        <v>1.06E-6</v>
      </c>
      <c r="M13" s="267"/>
      <c r="N13" s="267"/>
      <c r="O13" s="267"/>
      <c r="P13" s="267"/>
      <c r="Q13" s="267"/>
      <c r="R13" s="267"/>
      <c r="S13" s="267"/>
      <c r="T13" s="267"/>
      <c r="U13" s="267"/>
      <c r="V13" s="267"/>
      <c r="W13" s="267"/>
      <c r="X13" s="267"/>
      <c r="Y13" s="197"/>
      <c r="Z13" s="197"/>
      <c r="AA13" s="197"/>
      <c r="AB13" s="197"/>
      <c r="AC13" s="197"/>
      <c r="AD13" s="282"/>
      <c r="AE13" s="397">
        <f t="shared" si="0"/>
        <v>1.9999999999999999E-6</v>
      </c>
      <c r="AF13" s="398"/>
      <c r="AG13" s="396">
        <f>(1/(24*1000))/(2200^0.32)*962</f>
        <v>3.4149832074759833E-3</v>
      </c>
      <c r="AH13" s="399"/>
      <c r="AI13" s="284"/>
      <c r="AJ13" s="268"/>
      <c r="AK13" s="388"/>
      <c r="AL13" s="384"/>
      <c r="AM13" s="273"/>
      <c r="AN13" s="158">
        <v>0</v>
      </c>
      <c r="AO13" s="274">
        <v>0</v>
      </c>
      <c r="AP13" s="158">
        <v>0.105</v>
      </c>
      <c r="AQ13" s="158">
        <v>23.1</v>
      </c>
      <c r="AR13" s="158">
        <v>0</v>
      </c>
      <c r="AS13" s="274">
        <v>2.9</v>
      </c>
      <c r="AT13" s="290">
        <v>1</v>
      </c>
      <c r="AU13" s="273"/>
      <c r="AV13" s="158"/>
      <c r="AW13" s="158"/>
      <c r="AX13" s="158"/>
      <c r="AY13" s="158"/>
      <c r="AZ13" s="158"/>
      <c r="BA13" s="49"/>
      <c r="BB13" s="49"/>
      <c r="BC13" s="49"/>
      <c r="BD13" s="49"/>
      <c r="BE13" s="49"/>
    </row>
    <row r="14" spans="1:57" ht="17.100000000000001" customHeight="1">
      <c r="A14" s="158">
        <v>4</v>
      </c>
      <c r="B14" s="403" t="s">
        <v>799</v>
      </c>
      <c r="C14" s="406">
        <v>0.33</v>
      </c>
      <c r="D14" s="404" t="s">
        <v>898</v>
      </c>
      <c r="E14" s="272" t="s">
        <v>77</v>
      </c>
      <c r="F14" s="278" t="s">
        <v>76</v>
      </c>
      <c r="G14" s="275">
        <v>0.01</v>
      </c>
      <c r="H14" s="275">
        <v>0.04</v>
      </c>
      <c r="I14" s="266">
        <v>0.65</v>
      </c>
      <c r="J14" s="280">
        <v>0.3</v>
      </c>
      <c r="K14" s="279"/>
      <c r="L14" s="267"/>
      <c r="M14" s="267"/>
      <c r="N14" s="267"/>
      <c r="O14" s="267"/>
      <c r="P14" s="267"/>
      <c r="Q14" s="267"/>
      <c r="R14" s="267"/>
      <c r="S14" s="267"/>
      <c r="T14" s="267"/>
      <c r="U14" s="267"/>
      <c r="V14" s="267"/>
      <c r="W14" s="267"/>
      <c r="X14" s="267"/>
      <c r="Y14" s="197"/>
      <c r="Z14" s="197"/>
      <c r="AA14" s="197"/>
      <c r="AB14" s="197"/>
      <c r="AC14" s="197"/>
      <c r="AD14" s="282"/>
      <c r="AE14" s="397"/>
      <c r="AF14" s="396"/>
      <c r="AG14" s="398"/>
      <c r="AH14" s="399">
        <f>1*0.00001*(1/(0.35*Kow*0.2))/4.5</f>
        <v>6.9452749966652538E-11</v>
      </c>
      <c r="AI14" s="284"/>
      <c r="AJ14" s="268"/>
      <c r="AK14" s="388"/>
      <c r="AL14" s="384"/>
      <c r="AM14" s="273"/>
      <c r="AN14" s="158">
        <v>0</v>
      </c>
      <c r="AO14" s="274">
        <v>0</v>
      </c>
      <c r="AP14" s="158">
        <v>1.8</v>
      </c>
      <c r="AQ14" s="158">
        <v>4.5</v>
      </c>
      <c r="AR14" s="158">
        <v>0</v>
      </c>
      <c r="AS14" s="274">
        <v>1</v>
      </c>
      <c r="AT14" s="290">
        <v>1</v>
      </c>
      <c r="AU14" s="273"/>
      <c r="AV14" s="158"/>
      <c r="AW14" s="158"/>
      <c r="AX14" s="158"/>
      <c r="AY14" s="158"/>
      <c r="AZ14" s="158"/>
      <c r="BA14" s="49"/>
      <c r="BB14" s="49"/>
      <c r="BC14" s="49"/>
      <c r="BD14" s="49"/>
      <c r="BE14" s="49"/>
    </row>
    <row r="15" spans="1:57" ht="17.100000000000001" customHeight="1">
      <c r="A15" s="158">
        <v>5</v>
      </c>
      <c r="B15" s="403" t="s">
        <v>800</v>
      </c>
      <c r="C15" s="406">
        <v>0.33</v>
      </c>
      <c r="D15" s="404" t="s">
        <v>898</v>
      </c>
      <c r="E15" s="272" t="s">
        <v>77</v>
      </c>
      <c r="F15" s="278" t="s">
        <v>76</v>
      </c>
      <c r="G15" s="275">
        <v>0.01</v>
      </c>
      <c r="H15" s="275">
        <v>0.04</v>
      </c>
      <c r="I15" s="266">
        <v>0.65</v>
      </c>
      <c r="J15" s="280">
        <v>0.3</v>
      </c>
      <c r="K15" s="279"/>
      <c r="L15" s="267"/>
      <c r="M15" s="267"/>
      <c r="N15" s="267"/>
      <c r="O15" s="267"/>
      <c r="P15" s="267"/>
      <c r="Q15" s="267"/>
      <c r="R15" s="267"/>
      <c r="S15" s="267"/>
      <c r="T15" s="267"/>
      <c r="U15" s="267"/>
      <c r="V15" s="267"/>
      <c r="W15" s="267"/>
      <c r="X15" s="267"/>
      <c r="Y15" s="197"/>
      <c r="Z15" s="197"/>
      <c r="AA15" s="197"/>
      <c r="AB15" s="197"/>
      <c r="AC15" s="197"/>
      <c r="AD15" s="282"/>
      <c r="AE15" s="397"/>
      <c r="AF15" s="396"/>
      <c r="AG15" s="398"/>
      <c r="AH15" s="399"/>
      <c r="AI15" s="284"/>
      <c r="AJ15" s="268"/>
      <c r="AK15" s="388"/>
      <c r="AL15" s="384"/>
      <c r="AM15" s="273"/>
      <c r="AN15" s="158">
        <v>0</v>
      </c>
      <c r="AO15" s="274">
        <v>0</v>
      </c>
      <c r="AP15" s="158">
        <v>1.8</v>
      </c>
      <c r="AQ15" s="158">
        <v>4.5</v>
      </c>
      <c r="AR15" s="158">
        <v>0</v>
      </c>
      <c r="AS15" s="274">
        <v>1</v>
      </c>
      <c r="AT15" s="290">
        <v>1</v>
      </c>
      <c r="AU15" s="273"/>
      <c r="AV15" s="158"/>
      <c r="AW15" s="158"/>
      <c r="AX15" s="158"/>
      <c r="AY15" s="158"/>
      <c r="AZ15" s="158"/>
      <c r="BA15" s="49"/>
      <c r="BB15" s="49"/>
      <c r="BC15" s="49"/>
      <c r="BD15" s="49"/>
      <c r="BE15" s="49"/>
    </row>
    <row r="16" spans="1:57" ht="17.100000000000001" customHeight="1">
      <c r="A16" s="158">
        <v>6</v>
      </c>
      <c r="B16" s="403" t="s">
        <v>798</v>
      </c>
      <c r="C16" s="405">
        <v>1</v>
      </c>
      <c r="D16" s="404" t="s">
        <v>236</v>
      </c>
      <c r="E16" s="272" t="s">
        <v>77</v>
      </c>
      <c r="F16" s="278" t="s">
        <v>76</v>
      </c>
      <c r="G16" s="275">
        <v>0.02</v>
      </c>
      <c r="H16" s="275">
        <v>0.15</v>
      </c>
      <c r="I16" s="266">
        <v>0.83</v>
      </c>
      <c r="J16" s="280"/>
      <c r="K16" s="279"/>
      <c r="L16" s="267"/>
      <c r="M16" s="267"/>
      <c r="N16" s="267"/>
      <c r="O16" s="267"/>
      <c r="P16" s="267"/>
      <c r="Q16" s="267"/>
      <c r="R16" s="267"/>
      <c r="S16" s="267"/>
      <c r="T16" s="267"/>
      <c r="U16" s="267"/>
      <c r="V16" s="267"/>
      <c r="W16" s="267"/>
      <c r="X16" s="267"/>
      <c r="Y16" s="267"/>
      <c r="Z16" s="267"/>
      <c r="AA16" s="267"/>
      <c r="AB16" s="267"/>
      <c r="AC16" s="267"/>
      <c r="AD16" s="283"/>
      <c r="AE16" s="397"/>
      <c r="AF16" s="398"/>
      <c r="AG16" s="398"/>
      <c r="AH16" s="399">
        <f>0.00000021/24/10000</f>
        <v>8.7500000000000011E-13</v>
      </c>
      <c r="AI16" s="284"/>
      <c r="AJ16" s="268"/>
      <c r="AK16" s="388"/>
      <c r="AL16" s="384"/>
      <c r="AM16" s="273"/>
      <c r="AN16" s="158">
        <v>0</v>
      </c>
      <c r="AO16" s="274">
        <v>0</v>
      </c>
      <c r="AP16" s="158">
        <v>0</v>
      </c>
      <c r="AQ16" s="197">
        <v>1E-4</v>
      </c>
      <c r="AR16" s="197">
        <v>1E-4</v>
      </c>
      <c r="AS16" s="274">
        <v>3</v>
      </c>
      <c r="AT16" s="290">
        <v>1</v>
      </c>
      <c r="AU16" s="273"/>
      <c r="AV16" s="158"/>
      <c r="AW16" s="158"/>
      <c r="AX16" s="158"/>
      <c r="AY16" s="158"/>
      <c r="AZ16" s="158"/>
      <c r="BA16" s="49"/>
      <c r="BB16" s="49"/>
      <c r="BC16" s="49"/>
      <c r="BD16" s="49"/>
      <c r="BE16" s="49"/>
    </row>
    <row r="17" spans="1:57" ht="17.100000000000001" customHeight="1">
      <c r="A17" s="158">
        <v>7</v>
      </c>
      <c r="B17" s="403" t="s">
        <v>259</v>
      </c>
      <c r="C17" s="406">
        <f>28/12</f>
        <v>2.3333333333333335</v>
      </c>
      <c r="D17" s="404" t="s">
        <v>900</v>
      </c>
      <c r="E17" s="272" t="s">
        <v>77</v>
      </c>
      <c r="F17" s="278" t="s">
        <v>76</v>
      </c>
      <c r="G17" s="275">
        <v>0.1</v>
      </c>
      <c r="H17" s="275">
        <v>0.16</v>
      </c>
      <c r="I17" s="266">
        <v>0.74</v>
      </c>
      <c r="J17" s="280"/>
      <c r="K17" s="279"/>
      <c r="L17" s="267"/>
      <c r="M17" s="267"/>
      <c r="N17" s="267">
        <f>AVERAGE(3.5/2000/24/40/0.8,13/2000/24/600/0.8)</f>
        <v>1.4214409722222223E-6</v>
      </c>
      <c r="O17" s="267"/>
      <c r="P17" s="267"/>
      <c r="Q17" s="267"/>
      <c r="R17" s="267"/>
      <c r="S17" s="267"/>
      <c r="T17" s="267"/>
      <c r="U17" s="267"/>
      <c r="V17" s="267"/>
      <c r="W17" s="267"/>
      <c r="X17" s="267"/>
      <c r="Y17" s="267"/>
      <c r="Z17" s="267"/>
      <c r="AA17" s="267"/>
      <c r="AB17" s="267"/>
      <c r="AC17" s="267"/>
      <c r="AD17" s="283"/>
      <c r="AE17" s="397">
        <f t="shared" si="0"/>
        <v>1.4214409722222223E-6</v>
      </c>
      <c r="AF17" s="396">
        <v>1.2999999999999999E-2</v>
      </c>
      <c r="AG17" s="396">
        <v>5.0000000000000004E-6</v>
      </c>
      <c r="AH17" s="400">
        <v>2.0923611111111114E-9</v>
      </c>
      <c r="AI17" s="284"/>
      <c r="AJ17" s="268"/>
      <c r="AK17" s="388"/>
      <c r="AL17" s="384"/>
      <c r="AM17" s="273">
        <v>0</v>
      </c>
      <c r="AN17" s="158">
        <v>0</v>
      </c>
      <c r="AO17" s="274">
        <v>0</v>
      </c>
      <c r="AP17" s="158">
        <v>0.75</v>
      </c>
      <c r="AQ17" s="158">
        <v>900</v>
      </c>
      <c r="AR17" s="158">
        <v>45</v>
      </c>
      <c r="AS17" s="274">
        <v>3</v>
      </c>
      <c r="AT17" s="290">
        <v>1</v>
      </c>
      <c r="AU17" s="273"/>
      <c r="AV17" s="158"/>
      <c r="AW17" s="158"/>
      <c r="AX17" s="158"/>
      <c r="AY17" s="158"/>
      <c r="AZ17" s="158"/>
      <c r="BA17" s="49"/>
      <c r="BB17" s="49"/>
      <c r="BC17" s="49"/>
      <c r="BD17" s="49"/>
      <c r="BE17" s="49"/>
    </row>
    <row r="18" spans="1:57" ht="17.100000000000001" customHeight="1">
      <c r="A18" s="158">
        <v>8</v>
      </c>
      <c r="B18" s="403" t="s">
        <v>260</v>
      </c>
      <c r="C18" s="405">
        <v>2.33</v>
      </c>
      <c r="D18" s="404" t="s">
        <v>900</v>
      </c>
      <c r="E18" s="272" t="s">
        <v>77</v>
      </c>
      <c r="F18" s="278" t="s">
        <v>76</v>
      </c>
      <c r="G18" s="275">
        <v>0.1</v>
      </c>
      <c r="H18" s="275">
        <v>0.12</v>
      </c>
      <c r="I18" s="266">
        <v>0.78</v>
      </c>
      <c r="J18" s="280"/>
      <c r="K18" s="279"/>
      <c r="L18" s="267"/>
      <c r="M18" s="267"/>
      <c r="N18" s="267">
        <f>13/24/2000/500/0.8</f>
        <v>6.7708333333333324E-7</v>
      </c>
      <c r="O18" s="267"/>
      <c r="P18" s="267"/>
      <c r="Q18" s="267"/>
      <c r="R18" s="267"/>
      <c r="S18" s="267"/>
      <c r="T18" s="267"/>
      <c r="U18" s="267"/>
      <c r="V18" s="267"/>
      <c r="W18" s="267"/>
      <c r="X18" s="267"/>
      <c r="Y18" s="267"/>
      <c r="Z18" s="267"/>
      <c r="AA18" s="267"/>
      <c r="AB18" s="267"/>
      <c r="AC18" s="267"/>
      <c r="AD18" s="283"/>
      <c r="AE18" s="397">
        <f t="shared" si="0"/>
        <v>6.7708333333333324E-7</v>
      </c>
      <c r="AF18" s="396">
        <f>150/24/500</f>
        <v>1.2500000000000001E-2</v>
      </c>
      <c r="AG18" s="396">
        <f>0.05/24/500</f>
        <v>4.1666666666666669E-6</v>
      </c>
      <c r="AH18" s="400">
        <f>300/24*0.02/(1000000*0.05)/500</f>
        <v>1E-8</v>
      </c>
      <c r="AI18" s="284"/>
      <c r="AJ18" s="268"/>
      <c r="AK18" s="388"/>
      <c r="AL18" s="384"/>
      <c r="AM18" s="287">
        <f>6100/1000/(24*365)</f>
        <v>6.9634703196347033E-4</v>
      </c>
      <c r="AN18" s="197">
        <v>1.0000000000000001E-5</v>
      </c>
      <c r="AO18" s="282">
        <f>C18</f>
        <v>2.33</v>
      </c>
      <c r="AP18" s="158">
        <v>1.2</v>
      </c>
      <c r="AQ18" s="158">
        <v>455</v>
      </c>
      <c r="AR18" s="158">
        <v>27.9</v>
      </c>
      <c r="AS18" s="274">
        <v>3</v>
      </c>
      <c r="AT18" s="290">
        <f>5.5/21</f>
        <v>0.26190476190476192</v>
      </c>
      <c r="AU18" s="273"/>
      <c r="AV18" s="158"/>
      <c r="AW18" s="158"/>
      <c r="AX18" s="158"/>
      <c r="AY18" s="158"/>
      <c r="AZ18" s="158"/>
      <c r="BA18" s="49"/>
      <c r="BB18" s="49"/>
      <c r="BC18" s="49"/>
      <c r="BD18" s="49"/>
      <c r="BE18" s="49"/>
    </row>
    <row r="19" spans="1:57" ht="17.100000000000001" customHeight="1">
      <c r="A19" s="158">
        <v>9</v>
      </c>
      <c r="B19" s="403" t="s">
        <v>261</v>
      </c>
      <c r="C19" s="407">
        <f>42/365</f>
        <v>0.11506849315068493</v>
      </c>
      <c r="D19" s="404" t="s">
        <v>899</v>
      </c>
      <c r="E19" s="272" t="s">
        <v>77</v>
      </c>
      <c r="F19" s="278" t="s">
        <v>76</v>
      </c>
      <c r="G19" s="276">
        <v>0.1</v>
      </c>
      <c r="H19" s="276">
        <v>0.2</v>
      </c>
      <c r="I19" s="269">
        <v>0.7</v>
      </c>
      <c r="J19" s="274"/>
      <c r="K19" s="279"/>
      <c r="L19" s="267"/>
      <c r="M19" s="267"/>
      <c r="N19" s="267">
        <f>0.000021/2*0.8</f>
        <v>8.3999999999999992E-6</v>
      </c>
      <c r="O19" s="267"/>
      <c r="P19" s="267">
        <f>0.000021/2*0.2</f>
        <v>2.0999999999999998E-6</v>
      </c>
      <c r="Q19" s="267"/>
      <c r="R19" s="267"/>
      <c r="S19" s="267"/>
      <c r="T19" s="267"/>
      <c r="U19" s="267"/>
      <c r="V19" s="267"/>
      <c r="W19" s="267"/>
      <c r="X19" s="267"/>
      <c r="Y19" s="267"/>
      <c r="Z19" s="267"/>
      <c r="AA19" s="267"/>
      <c r="AB19" s="267"/>
      <c r="AC19" s="267"/>
      <c r="AD19" s="283"/>
      <c r="AE19" s="397">
        <f t="shared" si="0"/>
        <v>1.0499999999999999E-5</v>
      </c>
      <c r="AF19" s="396">
        <f>0.043/2</f>
        <v>2.1499999999999998E-2</v>
      </c>
      <c r="AG19" s="396">
        <f>0.0000041/2</f>
        <v>2.0499999999999999E-6</v>
      </c>
      <c r="AH19" s="400">
        <v>0</v>
      </c>
      <c r="AI19" s="284"/>
      <c r="AJ19" s="268"/>
      <c r="AK19" s="388"/>
      <c r="AL19" s="384"/>
      <c r="AM19" s="273"/>
      <c r="AN19" s="158">
        <v>0</v>
      </c>
      <c r="AO19" s="274">
        <v>0</v>
      </c>
      <c r="AP19" s="158">
        <v>2.1</v>
      </c>
      <c r="AQ19" s="158">
        <v>3.5</v>
      </c>
      <c r="AR19" s="158">
        <v>3.6999999999999998E-2</v>
      </c>
      <c r="AS19" s="274">
        <v>1</v>
      </c>
      <c r="AT19" s="290">
        <v>1</v>
      </c>
      <c r="AU19" s="273"/>
      <c r="AV19" s="158"/>
      <c r="AW19" s="158"/>
      <c r="AX19" s="158"/>
      <c r="AY19" s="158"/>
      <c r="AZ19" s="158"/>
      <c r="BA19" s="49"/>
      <c r="BB19" s="49"/>
      <c r="BC19" s="49"/>
      <c r="BD19" s="49"/>
      <c r="BE19" s="49"/>
    </row>
    <row r="20" spans="1:57" ht="17.100000000000001" customHeight="1">
      <c r="A20" s="158">
        <v>10</v>
      </c>
      <c r="B20" s="403" t="s">
        <v>262</v>
      </c>
      <c r="C20" s="407">
        <f>42/365</f>
        <v>0.11506849315068493</v>
      </c>
      <c r="D20" s="404" t="s">
        <v>899</v>
      </c>
      <c r="E20" s="272" t="s">
        <v>77</v>
      </c>
      <c r="F20" s="278" t="s">
        <v>76</v>
      </c>
      <c r="G20" s="276">
        <v>0.1</v>
      </c>
      <c r="H20" s="276">
        <v>0.2</v>
      </c>
      <c r="I20" s="269">
        <v>0.7</v>
      </c>
      <c r="J20" s="274"/>
      <c r="K20" s="279"/>
      <c r="L20" s="267"/>
      <c r="M20" s="267"/>
      <c r="N20" s="267">
        <f>0.000021/2*0.8</f>
        <v>8.3999999999999992E-6</v>
      </c>
      <c r="O20" s="267"/>
      <c r="P20" s="267">
        <f>0.000021/2*0.2</f>
        <v>2.0999999999999998E-6</v>
      </c>
      <c r="Q20" s="267"/>
      <c r="R20" s="267"/>
      <c r="S20" s="267"/>
      <c r="T20" s="267"/>
      <c r="U20" s="267"/>
      <c r="V20" s="267"/>
      <c r="W20" s="267"/>
      <c r="X20" s="267"/>
      <c r="Y20" s="267"/>
      <c r="Z20" s="267"/>
      <c r="AA20" s="267"/>
      <c r="AB20" s="267"/>
      <c r="AC20" s="267"/>
      <c r="AD20" s="283"/>
      <c r="AE20" s="397">
        <f t="shared" si="0"/>
        <v>1.0499999999999999E-5</v>
      </c>
      <c r="AF20" s="396">
        <f>0.043/2</f>
        <v>2.1499999999999998E-2</v>
      </c>
      <c r="AG20" s="396">
        <f>0.0000041/2</f>
        <v>2.0499999999999999E-6</v>
      </c>
      <c r="AH20" s="400">
        <v>0</v>
      </c>
      <c r="AI20" s="284"/>
      <c r="AJ20" s="268"/>
      <c r="AK20" s="388"/>
      <c r="AL20" s="384"/>
      <c r="AM20" s="273"/>
      <c r="AN20" s="158">
        <v>0</v>
      </c>
      <c r="AO20" s="274">
        <v>0</v>
      </c>
      <c r="AP20" s="158">
        <v>2.1</v>
      </c>
      <c r="AQ20" s="158">
        <v>3.5</v>
      </c>
      <c r="AR20" s="158">
        <v>3.6999999999999998E-2</v>
      </c>
      <c r="AS20" s="274">
        <v>1</v>
      </c>
      <c r="AT20" s="290">
        <v>1</v>
      </c>
      <c r="AU20" s="273"/>
      <c r="AV20" s="158"/>
      <c r="AW20" s="158"/>
      <c r="AX20" s="158"/>
      <c r="AY20" s="158"/>
      <c r="AZ20" s="158"/>
      <c r="BA20" s="49"/>
      <c r="BB20" s="49"/>
      <c r="BC20" s="49"/>
      <c r="BD20" s="49"/>
      <c r="BE20" s="49"/>
    </row>
    <row r="21" spans="1:57" ht="17.100000000000001" customHeight="1">
      <c r="A21" s="158">
        <v>11</v>
      </c>
      <c r="B21" s="403" t="s">
        <v>263</v>
      </c>
      <c r="C21" s="405">
        <v>0.6</v>
      </c>
      <c r="D21" s="404" t="s">
        <v>900</v>
      </c>
      <c r="E21" s="272" t="s">
        <v>77</v>
      </c>
      <c r="F21" s="278" t="s">
        <v>76</v>
      </c>
      <c r="G21" s="276">
        <v>0.2</v>
      </c>
      <c r="H21" s="276">
        <v>0.2</v>
      </c>
      <c r="I21" s="269">
        <v>0.6</v>
      </c>
      <c r="J21" s="274"/>
      <c r="K21" s="279"/>
      <c r="L21" s="267"/>
      <c r="M21" s="267"/>
      <c r="N21" s="267">
        <f>0.00099/100</f>
        <v>9.9000000000000001E-6</v>
      </c>
      <c r="O21" s="267"/>
      <c r="P21" s="267"/>
      <c r="Q21" s="267"/>
      <c r="R21" s="267"/>
      <c r="S21" s="267"/>
      <c r="T21" s="267"/>
      <c r="U21" s="267"/>
      <c r="V21" s="267"/>
      <c r="W21" s="267"/>
      <c r="X21" s="267"/>
      <c r="Y21" s="267"/>
      <c r="Z21" s="267"/>
      <c r="AA21" s="267"/>
      <c r="AB21" s="267"/>
      <c r="AC21" s="267"/>
      <c r="AD21" s="283"/>
      <c r="AE21" s="397">
        <f>SUM(K21:AD21)</f>
        <v>9.9000000000000001E-6</v>
      </c>
      <c r="AF21" s="396">
        <f>1.4/100</f>
        <v>1.3999999999999999E-2</v>
      </c>
      <c r="AG21" s="396">
        <f>0.00026/100</f>
        <v>2.5999999999999997E-6</v>
      </c>
      <c r="AH21" s="400">
        <v>0</v>
      </c>
      <c r="AI21" s="284"/>
      <c r="AJ21" s="268"/>
      <c r="AK21" s="388"/>
      <c r="AL21" s="384"/>
      <c r="AM21" s="273"/>
      <c r="AN21" s="158">
        <v>0</v>
      </c>
      <c r="AO21" s="274">
        <v>0</v>
      </c>
      <c r="AP21" s="158">
        <v>2.4</v>
      </c>
      <c r="AQ21" s="158">
        <v>150</v>
      </c>
      <c r="AR21" s="158">
        <v>1.5</v>
      </c>
      <c r="AS21" s="274">
        <v>3</v>
      </c>
      <c r="AT21" s="289">
        <v>1</v>
      </c>
      <c r="AU21" s="273"/>
      <c r="AV21" s="158"/>
      <c r="AW21" s="158"/>
      <c r="AX21" s="158"/>
      <c r="AY21" s="158"/>
      <c r="AZ21" s="158"/>
      <c r="BA21" s="49"/>
      <c r="BB21" s="49"/>
      <c r="BC21" s="49"/>
      <c r="BD21" s="49"/>
      <c r="BE21" s="49"/>
    </row>
    <row r="22" spans="1:57" ht="17.100000000000001" customHeight="1">
      <c r="A22" s="158">
        <v>12</v>
      </c>
      <c r="B22" s="403" t="s">
        <v>887</v>
      </c>
      <c r="C22" s="405">
        <v>0</v>
      </c>
      <c r="D22" s="404" t="s">
        <v>901</v>
      </c>
      <c r="E22" s="272" t="s">
        <v>428</v>
      </c>
      <c r="F22" s="278" t="s">
        <v>76</v>
      </c>
      <c r="G22" s="275">
        <v>0.05</v>
      </c>
      <c r="H22" s="275">
        <v>0.25</v>
      </c>
      <c r="I22" s="266">
        <v>0.7</v>
      </c>
      <c r="J22" s="274"/>
      <c r="K22" s="279"/>
      <c r="L22" s="267"/>
      <c r="M22" s="267"/>
      <c r="N22" s="267"/>
      <c r="O22" s="267"/>
      <c r="P22" s="267"/>
      <c r="Q22" s="267"/>
      <c r="R22" s="267"/>
      <c r="S22" s="267"/>
      <c r="T22" s="267"/>
      <c r="U22" s="267"/>
      <c r="V22" s="267"/>
      <c r="W22" s="267"/>
      <c r="X22" s="267"/>
      <c r="Y22" s="267"/>
      <c r="Z22" s="267"/>
      <c r="AA22" s="267"/>
      <c r="AB22" s="267"/>
      <c r="AC22" s="267"/>
      <c r="AD22" s="283"/>
      <c r="AE22" s="401"/>
      <c r="AF22" s="402"/>
      <c r="AG22" s="402"/>
      <c r="AH22" s="278"/>
      <c r="AI22" s="285"/>
      <c r="AJ22" s="270"/>
      <c r="AK22" s="389"/>
      <c r="AL22" s="385"/>
      <c r="AM22" s="273"/>
      <c r="AN22" s="158"/>
      <c r="AO22" s="274"/>
      <c r="AP22" s="158">
        <v>1.8</v>
      </c>
      <c r="AQ22" s="158">
        <v>0.06</v>
      </c>
      <c r="AR22" s="158">
        <f>2/1000</f>
        <v>2E-3</v>
      </c>
      <c r="AS22" s="274">
        <v>0.65</v>
      </c>
      <c r="AT22" s="289">
        <v>0</v>
      </c>
      <c r="AU22" s="273"/>
      <c r="AV22" s="158"/>
      <c r="AW22" s="158"/>
      <c r="AX22" s="158"/>
      <c r="AY22" s="158"/>
      <c r="AZ22" s="158"/>
      <c r="BA22" s="49"/>
      <c r="BB22" s="49"/>
      <c r="BC22" s="49"/>
      <c r="BD22" s="49"/>
      <c r="BE22" s="49"/>
    </row>
    <row r="23" spans="1:57" ht="17.100000000000001" customHeight="1">
      <c r="A23" s="158">
        <v>13</v>
      </c>
      <c r="B23" s="403" t="s">
        <v>886</v>
      </c>
      <c r="C23" s="405">
        <v>0</v>
      </c>
      <c r="D23" s="404" t="s">
        <v>901</v>
      </c>
      <c r="E23" s="272" t="s">
        <v>428</v>
      </c>
      <c r="F23" s="278" t="s">
        <v>76</v>
      </c>
      <c r="G23" s="275">
        <v>0.05</v>
      </c>
      <c r="H23" s="275">
        <v>0.25</v>
      </c>
      <c r="I23" s="266">
        <v>0.7</v>
      </c>
      <c r="J23" s="274"/>
      <c r="K23" s="279"/>
      <c r="L23" s="267"/>
      <c r="M23" s="267"/>
      <c r="N23" s="267"/>
      <c r="O23" s="267"/>
      <c r="P23" s="267"/>
      <c r="Q23" s="267"/>
      <c r="R23" s="267"/>
      <c r="S23" s="267"/>
      <c r="T23" s="267"/>
      <c r="U23" s="267"/>
      <c r="V23" s="267"/>
      <c r="W23" s="267"/>
      <c r="X23" s="267"/>
      <c r="Y23" s="267"/>
      <c r="Z23" s="267"/>
      <c r="AA23" s="267"/>
      <c r="AB23" s="267"/>
      <c r="AC23" s="267"/>
      <c r="AD23" s="283"/>
      <c r="AE23" s="401"/>
      <c r="AF23" s="402"/>
      <c r="AG23" s="402"/>
      <c r="AH23" s="278"/>
      <c r="AI23" s="286"/>
      <c r="AJ23" s="271"/>
      <c r="AK23" s="390"/>
      <c r="AL23" s="386"/>
      <c r="AM23" s="273"/>
      <c r="AN23" s="158"/>
      <c r="AO23" s="274"/>
      <c r="AP23" s="158">
        <v>1.6</v>
      </c>
      <c r="AQ23" s="158">
        <v>0.6</v>
      </c>
      <c r="AR23" s="158">
        <f>6/1000</f>
        <v>6.0000000000000001E-3</v>
      </c>
      <c r="AS23" s="274">
        <v>2</v>
      </c>
      <c r="AT23" s="289">
        <v>0</v>
      </c>
      <c r="AU23" s="273"/>
      <c r="AV23" s="158"/>
      <c r="AW23" s="158"/>
      <c r="AX23" s="158"/>
      <c r="AY23" s="158"/>
      <c r="AZ23" s="158"/>
      <c r="BA23" s="49"/>
      <c r="BB23" s="49"/>
      <c r="BC23" s="49"/>
      <c r="BD23" s="49"/>
      <c r="BE23" s="49"/>
    </row>
    <row r="24" spans="1:57" ht="17.100000000000001" customHeight="1">
      <c r="A24" s="158">
        <v>14</v>
      </c>
      <c r="B24" s="403" t="s">
        <v>962</v>
      </c>
      <c r="C24" s="405">
        <v>0</v>
      </c>
      <c r="D24" s="404" t="s">
        <v>897</v>
      </c>
      <c r="E24" s="272" t="s">
        <v>428</v>
      </c>
      <c r="F24" s="278" t="s">
        <v>964</v>
      </c>
      <c r="G24" s="275">
        <v>4.5999999999999999E-2</v>
      </c>
      <c r="H24" s="275">
        <v>0.27</v>
      </c>
      <c r="I24" s="266">
        <v>0.68</v>
      </c>
      <c r="J24" s="274"/>
      <c r="K24" s="279"/>
      <c r="L24" s="267"/>
      <c r="M24" s="267"/>
      <c r="N24" s="267"/>
      <c r="O24" s="267"/>
      <c r="P24" s="267"/>
      <c r="Q24" s="267"/>
      <c r="R24" s="267"/>
      <c r="S24" s="267"/>
      <c r="T24" s="267"/>
      <c r="U24" s="267"/>
      <c r="V24" s="267"/>
      <c r="W24" s="267"/>
      <c r="X24" s="267"/>
      <c r="Y24" s="267"/>
      <c r="Z24" s="267"/>
      <c r="AA24" s="267"/>
      <c r="AB24" s="267"/>
      <c r="AC24" s="267"/>
      <c r="AD24" s="283"/>
      <c r="AE24" s="401"/>
      <c r="AF24" s="402"/>
      <c r="AG24" s="402"/>
      <c r="AH24" s="278"/>
      <c r="AI24" s="286"/>
      <c r="AJ24" s="271"/>
      <c r="AK24" s="390"/>
      <c r="AL24" s="386"/>
      <c r="AM24" s="273"/>
      <c r="AN24" s="158"/>
      <c r="AO24" s="274"/>
      <c r="AP24" s="158">
        <v>8.8000000000000007</v>
      </c>
      <c r="AQ24" s="158">
        <f>350/1000/1000</f>
        <v>3.5E-4</v>
      </c>
      <c r="AR24" s="158">
        <v>0</v>
      </c>
      <c r="AS24" s="274">
        <v>3.6</v>
      </c>
      <c r="AT24" s="289">
        <v>0</v>
      </c>
      <c r="AU24" s="273"/>
      <c r="AV24" s="158"/>
      <c r="AW24" s="158"/>
      <c r="AX24" s="158"/>
      <c r="AY24" s="158"/>
      <c r="AZ24" s="158"/>
      <c r="BA24" s="49"/>
      <c r="BB24" s="49"/>
      <c r="BC24" s="49"/>
      <c r="BD24" s="49"/>
      <c r="BE24" s="49"/>
    </row>
    <row r="25" spans="1:57" ht="17.100000000000001" customHeight="1">
      <c r="A25" s="158">
        <v>15</v>
      </c>
      <c r="B25" s="403" t="s">
        <v>963</v>
      </c>
      <c r="C25" s="405">
        <v>0</v>
      </c>
      <c r="D25" s="404" t="s">
        <v>897</v>
      </c>
      <c r="E25" s="272" t="s">
        <v>428</v>
      </c>
      <c r="F25" s="278" t="s">
        <v>964</v>
      </c>
      <c r="G25" s="275">
        <v>4.5999999999999999E-2</v>
      </c>
      <c r="H25" s="275">
        <v>0.27</v>
      </c>
      <c r="I25" s="266">
        <v>0.68</v>
      </c>
      <c r="J25" s="274"/>
      <c r="K25" s="279"/>
      <c r="L25" s="267"/>
      <c r="M25" s="267"/>
      <c r="N25" s="267"/>
      <c r="O25" s="267"/>
      <c r="P25" s="267"/>
      <c r="Q25" s="267"/>
      <c r="R25" s="267"/>
      <c r="S25" s="267"/>
      <c r="T25" s="267"/>
      <c r="U25" s="267"/>
      <c r="V25" s="267"/>
      <c r="W25" s="267"/>
      <c r="X25" s="267"/>
      <c r="Y25" s="267"/>
      <c r="Z25" s="267"/>
      <c r="AA25" s="267"/>
      <c r="AB25" s="267"/>
      <c r="AC25" s="267"/>
      <c r="AD25" s="283"/>
      <c r="AE25" s="401"/>
      <c r="AF25" s="402"/>
      <c r="AG25" s="402"/>
      <c r="AH25" s="278"/>
      <c r="AI25" s="286"/>
      <c r="AJ25" s="271"/>
      <c r="AK25" s="390"/>
      <c r="AL25" s="386"/>
      <c r="AM25" s="273"/>
      <c r="AN25" s="158"/>
      <c r="AO25" s="274"/>
      <c r="AP25" s="158">
        <v>175</v>
      </c>
      <c r="AQ25" s="158">
        <f>0.5/1000/1000</f>
        <v>4.9999999999999998E-7</v>
      </c>
      <c r="AR25" s="158">
        <v>0</v>
      </c>
      <c r="AS25" s="274">
        <v>3.6</v>
      </c>
      <c r="AT25" s="289">
        <v>0</v>
      </c>
      <c r="AU25" s="273"/>
      <c r="AV25" s="158"/>
      <c r="AW25" s="158"/>
      <c r="AX25" s="158"/>
      <c r="AY25" s="158"/>
      <c r="AZ25" s="158"/>
      <c r="BA25" s="49"/>
      <c r="BB25" s="49"/>
      <c r="BC25" s="49"/>
      <c r="BD25" s="49"/>
      <c r="BE25" s="49"/>
    </row>
    <row r="26" spans="1:57" ht="17.100000000000001" customHeight="1">
      <c r="A26" s="158">
        <v>16</v>
      </c>
      <c r="B26" s="403"/>
      <c r="C26" s="405"/>
      <c r="D26" s="404"/>
      <c r="E26" s="272"/>
      <c r="F26" s="278"/>
      <c r="G26" s="422"/>
      <c r="H26" s="422"/>
      <c r="I26" s="423"/>
      <c r="J26" s="274"/>
      <c r="K26" s="279"/>
      <c r="L26" s="267"/>
      <c r="M26" s="267"/>
      <c r="N26" s="267"/>
      <c r="O26" s="267"/>
      <c r="P26" s="267"/>
      <c r="Q26" s="267"/>
      <c r="R26" s="267"/>
      <c r="S26" s="267"/>
      <c r="T26" s="267"/>
      <c r="U26" s="267"/>
      <c r="V26" s="267"/>
      <c r="W26" s="267"/>
      <c r="X26" s="267"/>
      <c r="Y26" s="267"/>
      <c r="Z26" s="267"/>
      <c r="AA26" s="267"/>
      <c r="AB26" s="267"/>
      <c r="AC26" s="267"/>
      <c r="AD26" s="283"/>
      <c r="AE26" s="401"/>
      <c r="AF26" s="402"/>
      <c r="AG26" s="402"/>
      <c r="AH26" s="278"/>
      <c r="AI26" s="286"/>
      <c r="AJ26" s="271"/>
      <c r="AK26" s="390"/>
      <c r="AL26" s="386"/>
      <c r="AM26" s="273"/>
      <c r="AN26" s="158"/>
      <c r="AO26" s="274"/>
      <c r="AP26" s="158"/>
      <c r="AQ26" s="158"/>
      <c r="AR26" s="158"/>
      <c r="AS26" s="274"/>
      <c r="AT26" s="288"/>
      <c r="AU26" s="273"/>
      <c r="AV26" s="158"/>
      <c r="AW26" s="158"/>
      <c r="AX26" s="158"/>
      <c r="AY26" s="158"/>
      <c r="AZ26" s="158"/>
      <c r="BA26" s="49"/>
      <c r="BB26" s="49"/>
      <c r="BC26" s="49"/>
      <c r="BD26" s="49"/>
      <c r="BE26" s="49"/>
    </row>
    <row r="27" spans="1:57" ht="17.100000000000001" customHeight="1">
      <c r="A27" s="158">
        <v>17</v>
      </c>
      <c r="B27" s="403"/>
      <c r="C27" s="405"/>
      <c r="D27" s="404"/>
      <c r="E27" s="272"/>
      <c r="F27" s="278"/>
      <c r="G27" s="422"/>
      <c r="H27" s="422"/>
      <c r="I27" s="423"/>
      <c r="J27" s="274"/>
      <c r="K27" s="279"/>
      <c r="L27" s="267"/>
      <c r="M27" s="267"/>
      <c r="N27" s="267"/>
      <c r="O27" s="267"/>
      <c r="P27" s="267"/>
      <c r="Q27" s="267"/>
      <c r="R27" s="267"/>
      <c r="S27" s="267"/>
      <c r="T27" s="267"/>
      <c r="U27" s="267"/>
      <c r="V27" s="267"/>
      <c r="W27" s="267"/>
      <c r="X27" s="267"/>
      <c r="Y27" s="267"/>
      <c r="Z27" s="267"/>
      <c r="AA27" s="267"/>
      <c r="AB27" s="267"/>
      <c r="AC27" s="267"/>
      <c r="AD27" s="283"/>
      <c r="AE27" s="401"/>
      <c r="AF27" s="402"/>
      <c r="AG27" s="402"/>
      <c r="AH27" s="278"/>
      <c r="AI27" s="286"/>
      <c r="AJ27" s="271"/>
      <c r="AK27" s="390"/>
      <c r="AL27" s="386"/>
      <c r="AM27" s="273"/>
      <c r="AN27" s="158"/>
      <c r="AO27" s="274"/>
      <c r="AP27" s="158"/>
      <c r="AQ27" s="158"/>
      <c r="AR27" s="158"/>
      <c r="AS27" s="274"/>
      <c r="AT27" s="288"/>
      <c r="AU27" s="273"/>
      <c r="AV27" s="158"/>
      <c r="AW27" s="158"/>
      <c r="AX27" s="158"/>
      <c r="AY27" s="158"/>
      <c r="AZ27" s="158"/>
      <c r="BA27" s="49"/>
      <c r="BB27" s="49"/>
      <c r="BC27" s="49"/>
      <c r="BD27" s="49"/>
      <c r="BE27" s="49"/>
    </row>
    <row r="28" spans="1:57" ht="17.100000000000001" customHeight="1">
      <c r="A28" s="158">
        <v>18</v>
      </c>
      <c r="B28" s="403"/>
      <c r="C28" s="405"/>
      <c r="D28" s="404"/>
      <c r="E28" s="272"/>
      <c r="F28" s="278"/>
      <c r="G28" s="422"/>
      <c r="H28" s="422"/>
      <c r="I28" s="423"/>
      <c r="J28" s="274"/>
      <c r="K28" s="279"/>
      <c r="L28" s="267"/>
      <c r="M28" s="267"/>
      <c r="N28" s="267"/>
      <c r="O28" s="267"/>
      <c r="P28" s="267"/>
      <c r="Q28" s="267"/>
      <c r="R28" s="267"/>
      <c r="S28" s="267"/>
      <c r="T28" s="267"/>
      <c r="U28" s="267"/>
      <c r="V28" s="267"/>
      <c r="W28" s="267"/>
      <c r="X28" s="267"/>
      <c r="Y28" s="267"/>
      <c r="Z28" s="267"/>
      <c r="AA28" s="267"/>
      <c r="AB28" s="267"/>
      <c r="AC28" s="267"/>
      <c r="AD28" s="283"/>
      <c r="AE28" s="401"/>
      <c r="AF28" s="402"/>
      <c r="AG28" s="402"/>
      <c r="AH28" s="278"/>
      <c r="AI28" s="286"/>
      <c r="AJ28" s="271"/>
      <c r="AK28" s="390"/>
      <c r="AL28" s="386"/>
      <c r="AM28" s="273"/>
      <c r="AN28" s="158"/>
      <c r="AO28" s="274"/>
      <c r="AP28" s="158"/>
      <c r="AQ28" s="158"/>
      <c r="AR28" s="158"/>
      <c r="AS28" s="274"/>
      <c r="AT28" s="288"/>
      <c r="AU28" s="273"/>
      <c r="AV28" s="158"/>
      <c r="AW28" s="158"/>
      <c r="AX28" s="158"/>
      <c r="AY28" s="158"/>
      <c r="AZ28" s="158"/>
      <c r="BA28" s="49"/>
      <c r="BB28" s="49"/>
      <c r="BC28" s="49"/>
      <c r="BD28" s="49"/>
      <c r="BE28" s="49"/>
    </row>
    <row r="29" spans="1:57" ht="17.100000000000001" customHeight="1">
      <c r="A29" s="158">
        <v>19</v>
      </c>
      <c r="B29" s="403"/>
      <c r="C29" s="405"/>
      <c r="D29" s="404"/>
      <c r="E29" s="272"/>
      <c r="F29" s="278"/>
      <c r="G29" s="422"/>
      <c r="H29" s="422"/>
      <c r="I29" s="423"/>
      <c r="J29" s="274"/>
      <c r="K29" s="279"/>
      <c r="L29" s="267"/>
      <c r="M29" s="267"/>
      <c r="N29" s="267"/>
      <c r="O29" s="267"/>
      <c r="P29" s="267"/>
      <c r="Q29" s="267"/>
      <c r="R29" s="267"/>
      <c r="S29" s="267"/>
      <c r="T29" s="267"/>
      <c r="U29" s="267"/>
      <c r="V29" s="267"/>
      <c r="W29" s="267"/>
      <c r="X29" s="267"/>
      <c r="Y29" s="267"/>
      <c r="Z29" s="267"/>
      <c r="AA29" s="267"/>
      <c r="AB29" s="267"/>
      <c r="AC29" s="267"/>
      <c r="AD29" s="283"/>
      <c r="AE29" s="401"/>
      <c r="AF29" s="402"/>
      <c r="AG29" s="402"/>
      <c r="AH29" s="278"/>
      <c r="AI29" s="286"/>
      <c r="AJ29" s="271"/>
      <c r="AK29" s="390"/>
      <c r="AL29" s="386"/>
      <c r="AM29" s="273"/>
      <c r="AN29" s="158"/>
      <c r="AO29" s="274"/>
      <c r="AP29" s="158"/>
      <c r="AQ29" s="158"/>
      <c r="AR29" s="158"/>
      <c r="AS29" s="274"/>
      <c r="AT29" s="288"/>
      <c r="AU29" s="273"/>
      <c r="AV29" s="158"/>
      <c r="AW29" s="158"/>
      <c r="AX29" s="158"/>
      <c r="AY29" s="158"/>
      <c r="AZ29" s="158"/>
      <c r="BA29" s="49"/>
      <c r="BB29" s="49"/>
      <c r="BC29" s="49"/>
      <c r="BD29" s="49"/>
      <c r="BE29" s="49"/>
    </row>
    <row r="30" spans="1:57" ht="17.100000000000001" customHeight="1">
      <c r="A30" s="158">
        <v>20</v>
      </c>
      <c r="B30" s="403"/>
      <c r="C30" s="405"/>
      <c r="D30" s="404"/>
      <c r="E30" s="272"/>
      <c r="F30" s="278"/>
      <c r="G30" s="422"/>
      <c r="H30" s="422"/>
      <c r="I30" s="423"/>
      <c r="J30" s="274"/>
      <c r="K30" s="279"/>
      <c r="L30" s="267"/>
      <c r="M30" s="267"/>
      <c r="N30" s="267"/>
      <c r="O30" s="267"/>
      <c r="P30" s="267"/>
      <c r="Q30" s="267"/>
      <c r="R30" s="267"/>
      <c r="S30" s="267"/>
      <c r="T30" s="267"/>
      <c r="U30" s="267"/>
      <c r="V30" s="267"/>
      <c r="W30" s="267"/>
      <c r="X30" s="267"/>
      <c r="Y30" s="267"/>
      <c r="Z30" s="267"/>
      <c r="AA30" s="267"/>
      <c r="AB30" s="267"/>
      <c r="AC30" s="267"/>
      <c r="AD30" s="283"/>
      <c r="AE30" s="401"/>
      <c r="AF30" s="402"/>
      <c r="AG30" s="402"/>
      <c r="AH30" s="278"/>
      <c r="AI30" s="286"/>
      <c r="AJ30" s="271"/>
      <c r="AK30" s="390"/>
      <c r="AL30" s="386"/>
      <c r="AM30" s="273"/>
      <c r="AN30" s="158"/>
      <c r="AO30" s="274"/>
      <c r="AP30" s="158"/>
      <c r="AQ30" s="158"/>
      <c r="AR30" s="158"/>
      <c r="AS30" s="274"/>
      <c r="AT30" s="288"/>
      <c r="AU30" s="273"/>
      <c r="AV30" s="158"/>
      <c r="AW30" s="158"/>
      <c r="AX30" s="158"/>
      <c r="AY30" s="158"/>
      <c r="AZ30" s="158"/>
      <c r="BA30" s="49"/>
      <c r="BB30" s="49"/>
      <c r="BC30" s="49"/>
      <c r="BD30" s="49"/>
      <c r="BE30" s="49"/>
    </row>
    <row r="31" spans="1:57" ht="17.100000000000001" customHeight="1">
      <c r="A31" s="158"/>
      <c r="B31" s="158"/>
      <c r="C31" s="376"/>
      <c r="D31" s="158"/>
      <c r="E31" s="158"/>
      <c r="F31" s="158"/>
      <c r="G31" s="158"/>
      <c r="H31" s="158"/>
      <c r="I31" s="158"/>
      <c r="J31" s="158"/>
      <c r="K31" s="267"/>
      <c r="L31" s="267"/>
      <c r="M31" s="267"/>
      <c r="N31" s="267"/>
      <c r="O31" s="267"/>
      <c r="P31" s="267"/>
      <c r="Q31" s="267"/>
      <c r="R31" s="267"/>
      <c r="S31" s="267"/>
      <c r="T31" s="267"/>
      <c r="U31" s="267"/>
      <c r="V31" s="267"/>
      <c r="W31" s="267"/>
      <c r="X31" s="267"/>
      <c r="Y31" s="267"/>
      <c r="Z31" s="267"/>
      <c r="AA31" s="267"/>
      <c r="AB31" s="267"/>
      <c r="AC31" s="267"/>
      <c r="AD31" s="267"/>
      <c r="AE31" s="158"/>
      <c r="AF31" s="158"/>
      <c r="AG31" s="158"/>
      <c r="AH31" s="158"/>
      <c r="AI31" s="271"/>
      <c r="AJ31" s="271"/>
      <c r="AK31" s="390"/>
      <c r="AL31" s="286"/>
      <c r="AM31" s="158"/>
      <c r="AN31" s="158"/>
      <c r="AO31" s="158"/>
      <c r="AP31" s="158"/>
      <c r="AQ31" s="158"/>
      <c r="AR31" s="158"/>
      <c r="AS31" s="158"/>
      <c r="AT31" s="158"/>
      <c r="AU31" s="158"/>
      <c r="AV31" s="158"/>
      <c r="AW31" s="158"/>
      <c r="AX31" s="158"/>
      <c r="AY31" s="158"/>
      <c r="AZ31" s="158"/>
      <c r="BA31" s="49"/>
      <c r="BB31" s="49"/>
      <c r="BC31" s="49"/>
      <c r="BD31" s="49"/>
      <c r="BE31" s="49"/>
    </row>
    <row r="32" spans="1:57" ht="17.100000000000001" customHeight="1">
      <c r="A32" s="158"/>
      <c r="B32" s="158"/>
      <c r="C32" s="158"/>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158"/>
      <c r="AB32" s="158"/>
      <c r="AC32" s="158"/>
      <c r="AD32" s="158"/>
      <c r="AE32" s="158"/>
      <c r="AF32" s="158"/>
      <c r="AG32" s="158"/>
      <c r="AH32" s="158"/>
      <c r="AI32" s="49"/>
      <c r="AJ32" s="49"/>
      <c r="AK32" s="387"/>
      <c r="AL32" s="100"/>
      <c r="AM32" s="158"/>
      <c r="AN32" s="158"/>
      <c r="AO32" s="158"/>
      <c r="AP32" s="158"/>
      <c r="AQ32" s="158"/>
      <c r="AR32" s="158"/>
      <c r="AS32" s="158"/>
      <c r="AT32" s="158"/>
      <c r="AU32" s="158"/>
      <c r="AV32" s="158"/>
      <c r="AW32" s="158"/>
      <c r="AX32" s="158"/>
      <c r="AY32" s="158"/>
      <c r="AZ32" s="158"/>
      <c r="BA32" s="49"/>
      <c r="BB32" s="49"/>
      <c r="BC32" s="49"/>
      <c r="BD32" s="49"/>
      <c r="BE32" s="49"/>
    </row>
    <row r="33" spans="1:57" ht="17.100000000000001" customHeight="1">
      <c r="A33" s="158"/>
      <c r="B33" s="158"/>
      <c r="C33" s="158"/>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158"/>
      <c r="AB33" s="158"/>
      <c r="AC33" s="158"/>
      <c r="AD33" s="158"/>
      <c r="AE33" s="158"/>
      <c r="AF33" s="158"/>
      <c r="AG33" s="158"/>
      <c r="AH33" s="158"/>
      <c r="AI33" s="49"/>
      <c r="AJ33" s="49"/>
      <c r="AK33" s="387"/>
      <c r="AL33" s="100"/>
      <c r="AM33" s="158"/>
      <c r="AN33" s="158"/>
      <c r="AO33" s="158"/>
      <c r="AP33" s="158"/>
      <c r="AQ33" s="158"/>
      <c r="AR33" s="158"/>
      <c r="AS33" s="158"/>
      <c r="AT33" s="158"/>
      <c r="AU33" s="158"/>
      <c r="AV33" s="158"/>
      <c r="AW33" s="158"/>
      <c r="AX33" s="158"/>
      <c r="AY33" s="158"/>
      <c r="AZ33" s="158"/>
      <c r="BA33" s="49"/>
      <c r="BB33" s="49"/>
      <c r="BC33" s="49"/>
      <c r="BD33" s="49"/>
      <c r="BE33" s="49"/>
    </row>
    <row r="34" spans="1:57">
      <c r="BA34" s="49"/>
      <c r="BB34" s="49"/>
      <c r="BC34" s="49"/>
      <c r="BD34" s="49"/>
      <c r="BE34" s="49"/>
    </row>
  </sheetData>
  <sheetProtection algorithmName="SHA-512" hashValue="GqqEgvw10k9IQ7j5xyh0YGyi3as3p0fGlmNOi3geviQDsxhHQSZa8IVEVx7/OKjMcgHKuvOQ97yp9NkNJ2BVWQ==" saltValue="Vr+FXFHdOSfXMfP2DtkRdQ==" spinCount="100000" sheet="1" objects="1" scenarios="1"/>
  <phoneticPr fontId="3" type="noConversion"/>
  <dataValidations count="4">
    <dataValidation type="list" allowBlank="1" showInputMessage="1" showErrorMessage="1" sqref="F11:F31" xr:uid="{00000000-0002-0000-0500-000002000000}">
      <formula1>"Freshwater,Estuarine,Terrestrial"</formula1>
    </dataValidation>
    <dataValidation type="list" allowBlank="1" showInputMessage="1" showErrorMessage="1" sqref="E31" xr:uid="{00000000-0002-0000-0500-000003000000}">
      <formula1>"Rural,Urban"</formula1>
    </dataValidation>
    <dataValidation type="list" allowBlank="1" showInputMessage="1" showErrorMessage="1" sqref="E11:E30" xr:uid="{AB86C303-20FF-41E2-ADD0-1786832B240B}">
      <formula1>"Rural,Urban,Indoor"</formula1>
    </dataValidation>
    <dataValidation type="list" allowBlank="1" showInputMessage="1" showErrorMessage="1" sqref="D11:D30" xr:uid="{D2095E50-1CCA-420E-9CD7-D819BC3EB148}">
      <formula1>"Plankton,Plant,Invertebrate,Fish,Reptile/Amphibian,Rodent,LargeMammal,Bird"</formula1>
    </dataValidation>
  </dataValidations>
  <pageMargins left="0.7" right="0.7" top="0.75" bottom="0.75" header="0.3" footer="0.3"/>
  <pageSetup paperSize="9" orientation="portrait" horizontalDpi="1200" verticalDpi="120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EA47B-1F86-40C7-99C6-046BADC24803}">
  <sheetPr codeName="Sheet21">
    <tabColor rgb="FFFF0000"/>
  </sheetPr>
  <dimension ref="A1:G72"/>
  <sheetViews>
    <sheetView topLeftCell="A12" workbookViewId="0">
      <selection activeCell="D63" sqref="D63"/>
    </sheetView>
  </sheetViews>
  <sheetFormatPr defaultColWidth="9" defaultRowHeight="14.25"/>
  <cols>
    <col min="1" max="1" width="3.3984375" customWidth="1"/>
    <col min="2" max="2" width="3" customWidth="1"/>
    <col min="3" max="3" width="63.86328125" customWidth="1"/>
    <col min="4" max="4" width="17.3984375" customWidth="1"/>
    <col min="5" max="5" width="9" style="92" customWidth="1"/>
    <col min="6" max="6" width="31.86328125" customWidth="1"/>
    <col min="7" max="7" width="9" customWidth="1"/>
  </cols>
  <sheetData>
    <row r="1" spans="1:7" ht="50.1" customHeight="1">
      <c r="B1" s="302" t="s">
        <v>462</v>
      </c>
      <c r="C1" s="49"/>
      <c r="D1" s="49"/>
      <c r="E1" s="49"/>
      <c r="F1" s="49"/>
      <c r="G1" s="49"/>
    </row>
    <row r="2" spans="1:7">
      <c r="A2" s="49"/>
      <c r="B2" s="49"/>
      <c r="C2" s="49"/>
      <c r="D2" s="49"/>
      <c r="E2" s="49"/>
      <c r="F2" s="49"/>
      <c r="G2" s="49"/>
    </row>
    <row r="3" spans="1:7" hidden="1">
      <c r="A3" s="49"/>
      <c r="B3" s="49"/>
      <c r="C3" s="49"/>
      <c r="D3" s="49"/>
      <c r="E3" s="49"/>
      <c r="F3" s="49"/>
      <c r="G3" s="49"/>
    </row>
    <row r="4" spans="1:7" hidden="1">
      <c r="A4" s="49"/>
      <c r="B4" s="49"/>
      <c r="C4" s="49"/>
      <c r="D4" s="49"/>
      <c r="E4" s="49"/>
      <c r="F4" s="49"/>
      <c r="G4" s="49"/>
    </row>
    <row r="5" spans="1:7" hidden="1">
      <c r="A5" s="49"/>
      <c r="B5" s="49"/>
      <c r="C5" s="49"/>
      <c r="D5" s="49"/>
      <c r="E5" s="49"/>
      <c r="F5" s="49"/>
      <c r="G5" s="49"/>
    </row>
    <row r="6" spans="1:7" hidden="1">
      <c r="A6" s="49"/>
      <c r="B6" s="49"/>
      <c r="C6" s="49"/>
      <c r="D6" s="49"/>
      <c r="E6" s="49"/>
      <c r="F6" s="49"/>
      <c r="G6" s="49"/>
    </row>
    <row r="7" spans="1:7" hidden="1">
      <c r="A7" s="49"/>
      <c r="B7" s="49"/>
      <c r="C7" s="49"/>
      <c r="D7" s="49"/>
      <c r="E7" s="49"/>
      <c r="F7" s="49"/>
      <c r="G7" s="49"/>
    </row>
    <row r="8" spans="1:7" hidden="1">
      <c r="A8" s="49"/>
      <c r="B8" s="49"/>
      <c r="C8" s="49"/>
      <c r="D8" s="49"/>
      <c r="E8" s="49"/>
      <c r="F8" s="49"/>
      <c r="G8" s="49"/>
    </row>
    <row r="9" spans="1:7" hidden="1">
      <c r="A9" s="103"/>
      <c r="B9" s="103"/>
      <c r="C9" s="103"/>
      <c r="D9" s="103"/>
      <c r="E9" s="103"/>
      <c r="F9" s="103"/>
      <c r="G9" s="49"/>
    </row>
    <row r="10" spans="1:7" hidden="1">
      <c r="A10" s="49"/>
      <c r="B10" s="49"/>
      <c r="C10" s="49"/>
      <c r="D10" s="49"/>
      <c r="E10" s="49"/>
      <c r="F10" s="49"/>
      <c r="G10" s="49"/>
    </row>
    <row r="11" spans="1:7" s="157" customFormat="1" ht="17.100000000000001" customHeight="1">
      <c r="A11" s="303"/>
      <c r="B11" s="304" t="s">
        <v>442</v>
      </c>
      <c r="C11" s="304"/>
      <c r="D11" s="304" t="s">
        <v>463</v>
      </c>
      <c r="E11" s="304" t="s">
        <v>464</v>
      </c>
      <c r="F11" s="304" t="s">
        <v>465</v>
      </c>
      <c r="G11" s="49"/>
    </row>
    <row r="12" spans="1:7" s="305" customFormat="1" ht="17.100000000000001" customHeight="1">
      <c r="A12" s="114"/>
      <c r="B12" s="114" t="s">
        <v>439</v>
      </c>
      <c r="C12" s="114"/>
      <c r="D12" s="195"/>
      <c r="E12" s="114"/>
      <c r="F12" s="114"/>
      <c r="G12" s="49"/>
    </row>
    <row r="13" spans="1:7" s="157" customFormat="1" ht="17.100000000000001" customHeight="1">
      <c r="A13" s="49"/>
      <c r="B13" s="49"/>
      <c r="C13" s="49" t="s">
        <v>440</v>
      </c>
      <c r="D13" s="301"/>
      <c r="E13" s="49" t="s">
        <v>445</v>
      </c>
      <c r="F13" s="49"/>
      <c r="G13" s="49"/>
    </row>
    <row r="14" spans="1:7" s="157" customFormat="1" ht="17.100000000000001" customHeight="1">
      <c r="A14" s="49"/>
      <c r="B14" s="49"/>
      <c r="C14" s="49" t="s">
        <v>428</v>
      </c>
      <c r="D14" s="301"/>
      <c r="E14" s="49" t="s">
        <v>445</v>
      </c>
      <c r="F14" s="49"/>
      <c r="G14" s="49"/>
    </row>
    <row r="15" spans="1:7" s="157" customFormat="1" ht="17.100000000000001" customHeight="1">
      <c r="A15" s="49"/>
      <c r="B15" s="49"/>
      <c r="C15" s="49" t="s">
        <v>43</v>
      </c>
      <c r="D15" s="301"/>
      <c r="E15" s="49" t="s">
        <v>445</v>
      </c>
      <c r="F15" s="49"/>
      <c r="G15" s="49"/>
    </row>
    <row r="16" spans="1:7" s="157" customFormat="1" ht="17.100000000000001" customHeight="1">
      <c r="A16" s="49"/>
      <c r="B16" s="49"/>
      <c r="C16" s="49" t="s">
        <v>77</v>
      </c>
      <c r="D16" s="301"/>
      <c r="E16" s="49" t="s">
        <v>445</v>
      </c>
      <c r="F16" s="49"/>
      <c r="G16" s="49"/>
    </row>
    <row r="17" spans="1:7" s="305" customFormat="1" ht="17.100000000000001" customHeight="1">
      <c r="A17" s="114"/>
      <c r="B17" s="114" t="s">
        <v>443</v>
      </c>
      <c r="C17" s="114"/>
      <c r="D17" s="196"/>
      <c r="E17" s="114"/>
      <c r="F17" s="114"/>
      <c r="G17" s="49"/>
    </row>
    <row r="18" spans="1:7" s="157" customFormat="1" ht="17.100000000000001" customHeight="1">
      <c r="A18" s="49"/>
      <c r="B18" s="49"/>
      <c r="C18" s="49" t="s">
        <v>454</v>
      </c>
      <c r="D18" s="301"/>
      <c r="E18" s="49" t="s">
        <v>445</v>
      </c>
      <c r="F18" s="49"/>
      <c r="G18" s="49"/>
    </row>
    <row r="19" spans="1:7" s="157" customFormat="1" ht="17.100000000000001" customHeight="1">
      <c r="A19" s="49"/>
      <c r="B19" s="49"/>
      <c r="C19" s="49" t="s">
        <v>455</v>
      </c>
      <c r="D19" s="301"/>
      <c r="E19" s="49" t="s">
        <v>445</v>
      </c>
      <c r="F19" s="49"/>
      <c r="G19" s="49"/>
    </row>
    <row r="20" spans="1:7" s="157" customFormat="1" ht="17.100000000000001" customHeight="1">
      <c r="A20" s="49"/>
      <c r="B20" s="49"/>
      <c r="C20" s="49" t="s">
        <v>456</v>
      </c>
      <c r="D20" s="301"/>
      <c r="E20" s="49" t="s">
        <v>445</v>
      </c>
      <c r="F20" s="49"/>
      <c r="G20" s="49"/>
    </row>
    <row r="21" spans="1:7" s="157" customFormat="1" ht="17.100000000000001" customHeight="1">
      <c r="A21" s="49"/>
      <c r="B21" s="49"/>
      <c r="C21" s="49" t="s">
        <v>576</v>
      </c>
      <c r="D21" s="301"/>
      <c r="E21" s="49" t="s">
        <v>445</v>
      </c>
      <c r="F21" s="49"/>
      <c r="G21" s="49"/>
    </row>
    <row r="22" spans="1:7" s="157" customFormat="1" ht="17.100000000000001" customHeight="1">
      <c r="A22" s="49"/>
      <c r="B22" s="49"/>
      <c r="C22" s="49" t="s">
        <v>577</v>
      </c>
      <c r="D22" s="301"/>
      <c r="E22" s="49" t="s">
        <v>445</v>
      </c>
      <c r="F22" s="49"/>
      <c r="G22" s="49"/>
    </row>
    <row r="23" spans="1:7" s="157" customFormat="1" ht="17.100000000000001" customHeight="1">
      <c r="A23" s="49"/>
      <c r="B23" s="49"/>
      <c r="C23" s="49" t="s">
        <v>578</v>
      </c>
      <c r="D23" s="301"/>
      <c r="E23" s="49" t="s">
        <v>445</v>
      </c>
      <c r="F23" s="49"/>
      <c r="G23" s="49"/>
    </row>
    <row r="24" spans="1:7" s="157" customFormat="1" ht="17.100000000000001" hidden="1" customHeight="1">
      <c r="A24" s="49"/>
      <c r="B24" s="49"/>
      <c r="C24" s="49"/>
      <c r="D24" s="158"/>
      <c r="E24" s="49"/>
      <c r="F24" s="49"/>
      <c r="G24" s="49"/>
    </row>
    <row r="25" spans="1:7" s="157" customFormat="1" ht="17.100000000000001" hidden="1" customHeight="1">
      <c r="A25" s="49"/>
      <c r="B25" s="49"/>
      <c r="C25" s="49"/>
      <c r="D25" s="158"/>
      <c r="E25" s="49"/>
      <c r="F25" s="49"/>
      <c r="G25" s="49"/>
    </row>
    <row r="26" spans="1:7" s="157" customFormat="1" ht="17.100000000000001" hidden="1" customHeight="1">
      <c r="A26" s="49"/>
      <c r="B26" s="49"/>
      <c r="C26" s="49"/>
      <c r="D26" s="158"/>
      <c r="E26" s="49"/>
      <c r="F26" s="49"/>
      <c r="G26" s="49"/>
    </row>
    <row r="27" spans="1:7" s="157" customFormat="1" ht="17.100000000000001" hidden="1" customHeight="1">
      <c r="A27" s="49"/>
      <c r="B27" s="49"/>
      <c r="C27" s="49"/>
      <c r="D27" s="158"/>
      <c r="E27" s="49"/>
      <c r="F27" s="49"/>
      <c r="G27" s="49"/>
    </row>
    <row r="28" spans="1:7" s="157" customFormat="1" ht="17.100000000000001" hidden="1" customHeight="1">
      <c r="A28" s="49"/>
      <c r="B28" s="49"/>
      <c r="C28" s="49"/>
      <c r="D28" s="158"/>
      <c r="E28" s="49"/>
      <c r="F28" s="49"/>
      <c r="G28" s="49"/>
    </row>
    <row r="29" spans="1:7" s="157" customFormat="1" ht="17.100000000000001" hidden="1" customHeight="1">
      <c r="A29" s="49"/>
      <c r="B29" s="49"/>
      <c r="C29" s="49"/>
      <c r="D29" s="158"/>
      <c r="E29" s="49"/>
      <c r="F29" s="49"/>
      <c r="G29" s="49"/>
    </row>
    <row r="30" spans="1:7" s="157" customFormat="1" ht="17.100000000000001" customHeight="1">
      <c r="A30" s="49"/>
      <c r="B30" s="49"/>
      <c r="C30" s="49"/>
      <c r="D30" s="158"/>
      <c r="E30" s="49"/>
      <c r="F30" s="49"/>
      <c r="G30" s="49"/>
    </row>
    <row r="31" spans="1:7" s="157" customFormat="1" ht="17.100000000000001" customHeight="1">
      <c r="A31" s="303"/>
      <c r="B31" s="304" t="s">
        <v>444</v>
      </c>
      <c r="C31" s="304"/>
      <c r="D31" s="370"/>
      <c r="E31" s="304"/>
      <c r="F31" s="304"/>
      <c r="G31" s="49"/>
    </row>
    <row r="32" spans="1:7" s="157" customFormat="1" ht="17.100000000000001" customHeight="1">
      <c r="A32" s="49"/>
      <c r="B32" s="49"/>
      <c r="C32" s="49" t="s">
        <v>529</v>
      </c>
      <c r="D32" s="301"/>
      <c r="E32" s="49" t="s">
        <v>530</v>
      </c>
      <c r="F32" s="49"/>
      <c r="G32" s="49"/>
    </row>
    <row r="33" spans="1:7" s="157" customFormat="1" ht="17.100000000000001" customHeight="1">
      <c r="A33" s="49"/>
      <c r="B33" s="49"/>
      <c r="C33" s="49" t="s">
        <v>457</v>
      </c>
      <c r="D33" s="301"/>
      <c r="E33" s="49" t="s">
        <v>458</v>
      </c>
      <c r="F33" s="49"/>
      <c r="G33" s="49"/>
    </row>
    <row r="34" spans="1:7" s="157" customFormat="1" ht="17.100000000000001" hidden="1" customHeight="1">
      <c r="A34" s="49"/>
      <c r="B34" s="49"/>
      <c r="C34" s="49"/>
      <c r="D34" s="158"/>
      <c r="E34" s="49"/>
      <c r="F34" s="49"/>
      <c r="G34" s="49"/>
    </row>
    <row r="35" spans="1:7" s="157" customFormat="1" ht="17.100000000000001" hidden="1" customHeight="1">
      <c r="A35" s="49"/>
      <c r="B35" s="49"/>
      <c r="C35" s="49"/>
      <c r="D35" s="158"/>
      <c r="E35" s="49"/>
      <c r="F35" s="49"/>
      <c r="G35" s="49"/>
    </row>
    <row r="36" spans="1:7" s="157" customFormat="1" ht="17.100000000000001" hidden="1" customHeight="1">
      <c r="A36" s="49"/>
      <c r="B36" s="49"/>
      <c r="C36" s="49"/>
      <c r="D36" s="158"/>
      <c r="E36" s="49"/>
      <c r="F36" s="49"/>
      <c r="G36" s="49"/>
    </row>
    <row r="37" spans="1:7" s="157" customFormat="1" ht="17.100000000000001" hidden="1" customHeight="1">
      <c r="A37" s="49"/>
      <c r="B37" s="49"/>
      <c r="C37" s="49"/>
      <c r="D37" s="158"/>
      <c r="E37" s="49"/>
      <c r="F37" s="49"/>
      <c r="G37" s="49"/>
    </row>
    <row r="38" spans="1:7" s="157" customFormat="1" ht="17.100000000000001" hidden="1" customHeight="1">
      <c r="A38" s="49"/>
      <c r="B38" s="49"/>
      <c r="C38" s="49"/>
      <c r="D38" s="158"/>
      <c r="E38" s="49"/>
      <c r="F38" s="49"/>
      <c r="G38" s="49"/>
    </row>
    <row r="39" spans="1:7" s="157" customFormat="1" ht="17.100000000000001" hidden="1" customHeight="1">
      <c r="A39" s="49"/>
      <c r="B39" s="49"/>
      <c r="C39" s="49"/>
      <c r="D39" s="158"/>
      <c r="E39" s="49"/>
      <c r="F39" s="49"/>
      <c r="G39" s="49"/>
    </row>
    <row r="40" spans="1:7" s="157" customFormat="1" ht="17.100000000000001" hidden="1" customHeight="1">
      <c r="A40" s="49"/>
      <c r="B40" s="49"/>
      <c r="C40" s="49"/>
      <c r="D40" s="158"/>
      <c r="E40" s="49"/>
      <c r="F40" s="49"/>
      <c r="G40" s="49"/>
    </row>
    <row r="41" spans="1:7" s="157" customFormat="1" ht="17.100000000000001" hidden="1" customHeight="1">
      <c r="A41" s="49"/>
      <c r="B41" s="49"/>
      <c r="C41" s="49"/>
      <c r="D41" s="158"/>
      <c r="E41" s="49"/>
      <c r="F41" s="49"/>
      <c r="G41" s="49"/>
    </row>
    <row r="42" spans="1:7" s="157" customFormat="1" ht="17.100000000000001" hidden="1" customHeight="1">
      <c r="A42" s="49"/>
      <c r="B42" s="49"/>
      <c r="C42" s="49"/>
      <c r="D42" s="158"/>
      <c r="E42" s="49"/>
      <c r="F42" s="49"/>
      <c r="G42" s="49"/>
    </row>
    <row r="43" spans="1:7" s="157" customFormat="1" ht="17.100000000000001" hidden="1" customHeight="1">
      <c r="A43" s="49"/>
      <c r="B43" s="49"/>
      <c r="C43" s="49"/>
      <c r="D43" s="158"/>
      <c r="E43" s="49"/>
      <c r="F43" s="49"/>
      <c r="G43" s="49"/>
    </row>
    <row r="44" spans="1:7" s="157" customFormat="1" ht="17.100000000000001" hidden="1" customHeight="1">
      <c r="A44" s="49"/>
      <c r="B44" s="49"/>
      <c r="C44" s="49"/>
      <c r="D44" s="158"/>
      <c r="E44" s="49"/>
      <c r="F44" s="49"/>
      <c r="G44" s="49"/>
    </row>
    <row r="45" spans="1:7" s="157" customFormat="1" ht="17.100000000000001" hidden="1" customHeight="1">
      <c r="A45" s="49"/>
      <c r="B45" s="49"/>
      <c r="C45" s="49"/>
      <c r="D45" s="158"/>
      <c r="E45" s="49"/>
      <c r="F45" s="49"/>
      <c r="G45" s="49"/>
    </row>
    <row r="46" spans="1:7" s="157" customFormat="1" ht="17.100000000000001" hidden="1" customHeight="1">
      <c r="A46" s="49"/>
      <c r="B46" s="49"/>
      <c r="C46" s="49"/>
      <c r="D46" s="158"/>
      <c r="E46" s="49"/>
      <c r="F46" s="49"/>
      <c r="G46" s="49"/>
    </row>
    <row r="47" spans="1:7" s="157" customFormat="1" ht="17.100000000000001" hidden="1" customHeight="1">
      <c r="A47" s="49"/>
      <c r="B47" s="49"/>
      <c r="C47" s="49"/>
      <c r="D47" s="158"/>
      <c r="E47" s="49"/>
      <c r="F47" s="49"/>
      <c r="G47" s="49"/>
    </row>
    <row r="48" spans="1:7" s="157" customFormat="1" ht="17.100000000000001" hidden="1" customHeight="1">
      <c r="A48" s="49"/>
      <c r="B48" s="49"/>
      <c r="C48" s="49"/>
      <c r="D48" s="158"/>
      <c r="E48" s="49"/>
      <c r="F48" s="49"/>
      <c r="G48" s="49"/>
    </row>
    <row r="49" spans="1:7" s="157" customFormat="1" ht="17.100000000000001" hidden="1" customHeight="1">
      <c r="A49" s="49"/>
      <c r="B49" s="49"/>
      <c r="C49" s="49"/>
      <c r="D49" s="158"/>
      <c r="E49" s="49"/>
      <c r="F49" s="49"/>
      <c r="G49" s="49"/>
    </row>
    <row r="50" spans="1:7" s="157" customFormat="1" ht="17.100000000000001" customHeight="1">
      <c r="A50" s="49"/>
      <c r="B50" s="49"/>
      <c r="C50" s="49"/>
      <c r="D50" s="158"/>
      <c r="E50" s="49"/>
      <c r="F50" s="49"/>
      <c r="G50" s="49"/>
    </row>
    <row r="51" spans="1:7" s="157" customFormat="1" ht="17.100000000000001" customHeight="1">
      <c r="A51" s="303"/>
      <c r="B51" s="304" t="s">
        <v>459</v>
      </c>
      <c r="C51" s="304"/>
      <c r="D51" s="370"/>
      <c r="E51" s="304"/>
      <c r="F51" s="304"/>
      <c r="G51" s="49"/>
    </row>
    <row r="52" spans="1:7" s="157" customFormat="1" ht="17.100000000000001" customHeight="1">
      <c r="A52" s="49"/>
      <c r="B52" s="49"/>
      <c r="C52" s="49" t="s">
        <v>461</v>
      </c>
      <c r="D52" s="301"/>
      <c r="E52" s="184" t="s">
        <v>429</v>
      </c>
      <c r="F52" s="49"/>
      <c r="G52" s="49"/>
    </row>
    <row r="53" spans="1:7" s="157" customFormat="1" ht="17.100000000000001" customHeight="1">
      <c r="A53" s="49"/>
      <c r="B53" s="49"/>
      <c r="C53" s="49" t="s">
        <v>460</v>
      </c>
      <c r="D53" s="301"/>
      <c r="E53" s="184" t="s">
        <v>429</v>
      </c>
      <c r="F53" s="49"/>
      <c r="G53" s="49"/>
    </row>
    <row r="54" spans="1:7" s="157" customFormat="1" ht="17.100000000000001" hidden="1" customHeight="1">
      <c r="A54" s="49"/>
      <c r="B54" s="49"/>
      <c r="C54" s="49"/>
      <c r="D54" s="158"/>
      <c r="E54" s="49"/>
      <c r="F54" s="49"/>
      <c r="G54" s="49"/>
    </row>
    <row r="55" spans="1:7" s="157" customFormat="1" ht="17.100000000000001" hidden="1" customHeight="1">
      <c r="A55" s="49"/>
      <c r="B55" s="49"/>
      <c r="C55" s="49"/>
      <c r="D55" s="158"/>
      <c r="E55" s="49"/>
      <c r="F55" s="49"/>
      <c r="G55" s="49"/>
    </row>
    <row r="56" spans="1:7" s="157" customFormat="1" ht="17.100000000000001" hidden="1" customHeight="1">
      <c r="A56" s="49"/>
      <c r="B56" s="49"/>
      <c r="C56" s="49"/>
      <c r="D56" s="158"/>
      <c r="E56" s="49"/>
      <c r="F56" s="49"/>
      <c r="G56" s="49"/>
    </row>
    <row r="57" spans="1:7" s="157" customFormat="1" ht="17.100000000000001" hidden="1" customHeight="1">
      <c r="A57" s="49"/>
      <c r="B57" s="49"/>
      <c r="C57" s="49"/>
      <c r="D57" s="158"/>
      <c r="E57" s="49"/>
      <c r="F57" s="49"/>
      <c r="G57" s="49"/>
    </row>
    <row r="58" spans="1:7" s="157" customFormat="1" ht="17.100000000000001" hidden="1" customHeight="1">
      <c r="A58" s="49"/>
      <c r="B58" s="49"/>
      <c r="C58" s="49"/>
      <c r="D58" s="158"/>
      <c r="E58" s="49"/>
      <c r="F58" s="49"/>
      <c r="G58" s="49"/>
    </row>
    <row r="59" spans="1:7" s="157" customFormat="1" ht="17.100000000000001" hidden="1" customHeight="1">
      <c r="A59" s="49"/>
      <c r="B59" s="49"/>
      <c r="C59" s="49"/>
      <c r="D59" s="158"/>
      <c r="E59" s="49"/>
      <c r="F59" s="49"/>
      <c r="G59" s="49"/>
    </row>
    <row r="60" spans="1:7" s="157" customFormat="1" ht="17.100000000000001" customHeight="1">
      <c r="A60" s="49"/>
      <c r="B60" s="49"/>
      <c r="C60" s="49"/>
      <c r="D60" s="158"/>
      <c r="E60" s="49"/>
      <c r="F60" s="49"/>
      <c r="G60" s="49"/>
    </row>
    <row r="61" spans="1:7" s="157" customFormat="1" ht="17.100000000000001" hidden="1" customHeight="1">
      <c r="A61" s="303"/>
      <c r="B61" s="304" t="s">
        <v>810</v>
      </c>
      <c r="C61" s="304"/>
      <c r="D61" s="370"/>
      <c r="E61" s="304"/>
      <c r="F61" s="304"/>
      <c r="G61" s="49"/>
    </row>
    <row r="62" spans="1:7" s="157" customFormat="1" ht="17.100000000000001" hidden="1" customHeight="1">
      <c r="A62" s="49"/>
      <c r="B62" s="49"/>
      <c r="C62" s="49" t="s">
        <v>581</v>
      </c>
      <c r="D62" s="421"/>
      <c r="E62" s="49" t="s">
        <v>579</v>
      </c>
      <c r="F62" s="49"/>
      <c r="G62" s="49"/>
    </row>
    <row r="63" spans="1:7" s="157" customFormat="1" ht="17.100000000000001" hidden="1" customHeight="1">
      <c r="A63" s="49"/>
      <c r="B63" s="49"/>
      <c r="C63" s="49" t="s">
        <v>582</v>
      </c>
      <c r="D63" s="421"/>
      <c r="E63" s="49" t="s">
        <v>579</v>
      </c>
      <c r="F63" s="49"/>
      <c r="G63" s="49"/>
    </row>
    <row r="64" spans="1:7" s="157" customFormat="1" ht="17.100000000000001" hidden="1" customHeight="1">
      <c r="A64" s="49"/>
      <c r="B64" s="49"/>
      <c r="C64" s="49" t="s">
        <v>583</v>
      </c>
      <c r="D64" s="421"/>
      <c r="E64" s="49" t="s">
        <v>580</v>
      </c>
      <c r="F64" s="49"/>
      <c r="G64" s="49"/>
    </row>
    <row r="65" spans="1:7" s="157" customFormat="1" ht="17.100000000000001" hidden="1" customHeight="1">
      <c r="A65" s="49"/>
      <c r="B65" s="49"/>
      <c r="C65" s="49" t="s">
        <v>584</v>
      </c>
      <c r="D65" s="421"/>
      <c r="E65" s="49" t="s">
        <v>580</v>
      </c>
      <c r="F65" s="49"/>
      <c r="G65" s="49"/>
    </row>
    <row r="66" spans="1:7" s="157" customFormat="1" ht="17.100000000000001" hidden="1" customHeight="1">
      <c r="A66" s="49"/>
      <c r="B66" s="49"/>
      <c r="C66" s="49" t="s">
        <v>585</v>
      </c>
      <c r="D66" s="421"/>
      <c r="E66" s="49" t="s">
        <v>579</v>
      </c>
      <c r="F66" s="49"/>
      <c r="G66" s="49"/>
    </row>
    <row r="67" spans="1:7" s="157" customFormat="1" ht="17.100000000000001" hidden="1" customHeight="1">
      <c r="A67" s="49"/>
      <c r="B67" s="49"/>
      <c r="C67" s="49" t="s">
        <v>586</v>
      </c>
      <c r="D67" s="421"/>
      <c r="E67" s="49" t="s">
        <v>579</v>
      </c>
      <c r="F67" s="49"/>
      <c r="G67" s="49"/>
    </row>
    <row r="68" spans="1:7" s="157" customFormat="1" ht="17.100000000000001" hidden="1" customHeight="1">
      <c r="A68" s="49"/>
      <c r="B68" s="49"/>
      <c r="C68" s="49" t="s">
        <v>587</v>
      </c>
      <c r="D68" s="421"/>
      <c r="E68" s="49" t="s">
        <v>580</v>
      </c>
      <c r="F68" s="49"/>
      <c r="G68" s="49"/>
    </row>
    <row r="69" spans="1:7" s="157" customFormat="1" ht="17.100000000000001" hidden="1" customHeight="1">
      <c r="A69" s="49"/>
      <c r="B69" s="49"/>
      <c r="C69" s="49" t="s">
        <v>588</v>
      </c>
      <c r="D69" s="421"/>
      <c r="E69" s="49" t="s">
        <v>580</v>
      </c>
      <c r="F69" s="49"/>
      <c r="G69" s="49"/>
    </row>
    <row r="70" spans="1:7" s="157" customFormat="1" ht="17.100000000000001" customHeight="1">
      <c r="A70" s="49"/>
      <c r="B70" s="49"/>
      <c r="C70" s="49"/>
      <c r="D70" s="49"/>
      <c r="E70" s="49"/>
      <c r="F70" s="49"/>
      <c r="G70" s="49"/>
    </row>
    <row r="71" spans="1:7" s="157" customFormat="1" ht="13.15">
      <c r="A71" s="49"/>
      <c r="B71" s="49"/>
      <c r="C71" s="49"/>
      <c r="D71" s="49"/>
      <c r="E71" s="49"/>
      <c r="F71" s="49"/>
      <c r="G71" s="49"/>
    </row>
    <row r="72" spans="1:7">
      <c r="A72" s="49"/>
      <c r="B72" s="49"/>
      <c r="C72" s="49"/>
      <c r="D72" s="49"/>
      <c r="E72" s="49"/>
      <c r="F72" s="49"/>
      <c r="G72" s="49"/>
    </row>
  </sheetData>
  <sheetProtection algorithmName="SHA-512" hashValue="nmU5hcOaCs4Fbw/b63cw5sCX/fwyrjtHjucNN6RDnjVBpCpvCFRRjz1r5kQrtsLA9deZ3fAJ+8ulzKpGHtcUcg==" saltValue="+1lzikuwENy2BqIOVe7cJw==" spinCount="100000" sheet="1" objects="1" scenarios="1"/>
  <pageMargins left="0.7" right="0.7" top="0.75" bottom="0.75" header="0.3" footer="0.3"/>
  <pageSetup orientation="portrait" horizont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F8E34-A71B-49ED-8A4D-6BC198E496DF}">
  <sheetPr codeName="Sheet25">
    <tabColor rgb="FFFF0000"/>
  </sheetPr>
  <dimension ref="A1"/>
  <sheetViews>
    <sheetView workbookViewId="0">
      <selection activeCell="A3" sqref="A3"/>
    </sheetView>
  </sheetViews>
  <sheetFormatPr defaultRowHeight="14.25"/>
  <cols>
    <col min="2" max="5" width="0" hidden="1" customWidth="1"/>
    <col min="17" max="20" width="0" hidden="1" customWidth="1"/>
    <col min="27" max="27" width="11.59765625" bestFit="1" customWidth="1"/>
  </cols>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90404-C991-4DB6-B70D-B8F6983779A2}">
  <sheetPr codeName="Sheet15">
    <tabColor rgb="FFFF0000"/>
  </sheetPr>
  <dimension ref="B1:E1"/>
  <sheetViews>
    <sheetView workbookViewId="0">
      <selection activeCell="I2" sqref="I2:I102"/>
    </sheetView>
  </sheetViews>
  <sheetFormatPr defaultRowHeight="14.25"/>
  <cols>
    <col min="2" max="5" width="9.06640625" hidden="1" customWidth="1"/>
  </cols>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28DF0-7247-43F0-A494-3D56305A713F}">
  <sheetPr codeName="Sheet26">
    <tabColor rgb="FFFF0000"/>
  </sheetPr>
  <dimension ref="A1:AO200"/>
  <sheetViews>
    <sheetView workbookViewId="0">
      <selection activeCell="D7" sqref="D7"/>
    </sheetView>
  </sheetViews>
  <sheetFormatPr defaultColWidth="0" defaultRowHeight="14.25"/>
  <cols>
    <col min="1" max="1" width="33.3984375" customWidth="1"/>
    <col min="2" max="7" width="8.86328125" customWidth="1"/>
    <col min="8" max="12" width="8.86328125" hidden="1" customWidth="1"/>
    <col min="13" max="20" width="8.86328125" customWidth="1"/>
    <col min="21" max="22" width="8.86328125" hidden="1" customWidth="1"/>
    <col min="23" max="31" width="8.86328125" customWidth="1"/>
    <col min="32" max="32" width="0" hidden="1" customWidth="1"/>
    <col min="33" max="40" width="8.86328125" customWidth="1"/>
    <col min="41" max="41" width="0" hidden="1" customWidth="1"/>
    <col min="42" max="16384" width="8.86328125" hidden="1"/>
  </cols>
  <sheetData>
    <row r="1" spans="1:35" ht="15">
      <c r="A1" s="115" t="s">
        <v>575</v>
      </c>
      <c r="B1" s="49" t="s">
        <v>571</v>
      </c>
      <c r="C1" s="49" t="s">
        <v>31</v>
      </c>
      <c r="D1" s="49" t="s">
        <v>168</v>
      </c>
      <c r="E1" s="49" t="s">
        <v>169</v>
      </c>
      <c r="F1" s="49" t="s">
        <v>170</v>
      </c>
      <c r="G1" s="49" t="s">
        <v>438</v>
      </c>
      <c r="H1" s="49"/>
      <c r="I1" s="49"/>
      <c r="J1" s="49"/>
      <c r="K1" s="49"/>
      <c r="L1" s="49"/>
      <c r="M1" s="49" t="s">
        <v>111</v>
      </c>
      <c r="N1" s="49" t="s">
        <v>112</v>
      </c>
      <c r="O1" s="49" t="s">
        <v>113</v>
      </c>
      <c r="P1" s="49" t="s">
        <v>527</v>
      </c>
      <c r="Q1" s="49" t="s">
        <v>114</v>
      </c>
      <c r="R1" s="49" t="s">
        <v>441</v>
      </c>
      <c r="S1" s="49" t="s">
        <v>433</v>
      </c>
      <c r="T1" s="49" t="s">
        <v>434</v>
      </c>
      <c r="U1" s="49"/>
      <c r="V1" s="49"/>
      <c r="W1" s="49" t="s">
        <v>115</v>
      </c>
      <c r="X1" s="49" t="s">
        <v>116</v>
      </c>
      <c r="Y1" s="49" t="s">
        <v>117</v>
      </c>
      <c r="Z1" s="49" t="s">
        <v>528</v>
      </c>
      <c r="AA1" s="49" t="s">
        <v>118</v>
      </c>
      <c r="AB1" s="49" t="s">
        <v>119</v>
      </c>
      <c r="AC1" s="49" t="s">
        <v>120</v>
      </c>
      <c r="AD1" s="49" t="s">
        <v>435</v>
      </c>
      <c r="AE1" s="49" t="s">
        <v>436</v>
      </c>
      <c r="AF1" s="156"/>
      <c r="AG1" s="156"/>
      <c r="AH1" s="156"/>
    </row>
    <row r="2" spans="1:35">
      <c r="A2" s="49" t="s">
        <v>572</v>
      </c>
      <c r="B2" s="46"/>
      <c r="C2" s="46"/>
      <c r="D2" s="46"/>
      <c r="E2" s="46"/>
      <c r="F2" s="46"/>
      <c r="G2" s="46"/>
      <c r="H2" s="46"/>
      <c r="I2" s="46"/>
      <c r="J2" s="46"/>
      <c r="K2" s="46"/>
      <c r="L2" s="46"/>
      <c r="M2" s="46"/>
      <c r="N2" s="46"/>
      <c r="O2" s="46"/>
      <c r="P2" s="46"/>
      <c r="Q2" s="46"/>
      <c r="R2" s="46"/>
      <c r="S2" s="46"/>
      <c r="T2" s="46"/>
      <c r="U2" s="46"/>
      <c r="V2" s="46"/>
      <c r="W2" s="46"/>
      <c r="X2" s="46"/>
      <c r="Y2" s="46"/>
      <c r="Z2" s="46"/>
      <c r="AA2" s="46"/>
      <c r="AB2" s="46"/>
      <c r="AC2" s="46"/>
      <c r="AD2" s="46"/>
      <c r="AE2" s="46"/>
      <c r="AF2" s="156">
        <v>0</v>
      </c>
      <c r="AG2" s="156"/>
      <c r="AH2" s="219">
        <v>0</v>
      </c>
      <c r="AI2">
        <v>1</v>
      </c>
    </row>
    <row r="3" spans="1:35">
      <c r="A3" s="49" t="s">
        <v>31</v>
      </c>
      <c r="B3" s="46"/>
      <c r="C3" s="46"/>
      <c r="D3" s="46"/>
      <c r="E3" s="46"/>
      <c r="F3" s="46"/>
      <c r="G3" s="46"/>
      <c r="H3" s="46"/>
      <c r="I3" s="46"/>
      <c r="J3" s="46"/>
      <c r="K3" s="46"/>
      <c r="L3" s="46"/>
      <c r="M3" s="46"/>
      <c r="N3" s="46"/>
      <c r="O3" s="46"/>
      <c r="P3" s="46"/>
      <c r="Q3" s="46"/>
      <c r="R3" s="46"/>
      <c r="S3" s="46"/>
      <c r="T3" s="46"/>
      <c r="U3" s="46"/>
      <c r="V3" s="46"/>
      <c r="W3" s="46"/>
      <c r="X3" s="46"/>
      <c r="Y3" s="46"/>
      <c r="Z3" s="46"/>
      <c r="AA3" s="46"/>
      <c r="AB3" s="46"/>
      <c r="AC3" s="46"/>
      <c r="AD3" s="46"/>
      <c r="AE3" s="46"/>
      <c r="AF3" s="156">
        <v>0</v>
      </c>
      <c r="AG3" s="156"/>
      <c r="AH3" s="219">
        <v>0</v>
      </c>
      <c r="AI3">
        <v>2</v>
      </c>
    </row>
    <row r="4" spans="1:35">
      <c r="A4" s="49" t="s">
        <v>168</v>
      </c>
      <c r="B4" s="46"/>
      <c r="C4" s="46"/>
      <c r="D4" s="46"/>
      <c r="E4" s="46"/>
      <c r="F4" s="46"/>
      <c r="G4" s="46"/>
      <c r="H4" s="46"/>
      <c r="I4" s="46"/>
      <c r="J4" s="46"/>
      <c r="K4" s="46"/>
      <c r="L4" s="46"/>
      <c r="M4" s="46"/>
      <c r="N4" s="46"/>
      <c r="O4" s="46"/>
      <c r="P4" s="46"/>
      <c r="Q4" s="46"/>
      <c r="R4" s="46"/>
      <c r="S4" s="46"/>
      <c r="T4" s="46"/>
      <c r="U4" s="46"/>
      <c r="V4" s="46"/>
      <c r="W4" s="46"/>
      <c r="X4" s="46"/>
      <c r="Y4" s="46"/>
      <c r="Z4" s="46"/>
      <c r="AA4" s="46"/>
      <c r="AB4" s="46"/>
      <c r="AC4" s="46"/>
      <c r="AD4" s="46"/>
      <c r="AE4" s="46"/>
      <c r="AF4" s="156">
        <v>0</v>
      </c>
      <c r="AG4" s="156"/>
      <c r="AH4" s="219">
        <v>0</v>
      </c>
      <c r="AI4">
        <v>3</v>
      </c>
    </row>
    <row r="5" spans="1:35">
      <c r="A5" s="49" t="s">
        <v>169</v>
      </c>
      <c r="B5" s="46"/>
      <c r="C5" s="46"/>
      <c r="D5" s="46"/>
      <c r="E5" s="46"/>
      <c r="F5" s="46"/>
      <c r="G5" s="46"/>
      <c r="H5" s="46"/>
      <c r="I5" s="46"/>
      <c r="J5" s="46"/>
      <c r="K5" s="46"/>
      <c r="L5" s="46"/>
      <c r="M5" s="46"/>
      <c r="N5" s="46"/>
      <c r="O5" s="46"/>
      <c r="P5" s="46"/>
      <c r="Q5" s="46"/>
      <c r="R5" s="46"/>
      <c r="S5" s="46"/>
      <c r="T5" s="46"/>
      <c r="U5" s="46"/>
      <c r="V5" s="46"/>
      <c r="W5" s="46"/>
      <c r="X5" s="46"/>
      <c r="Y5" s="46"/>
      <c r="Z5" s="46"/>
      <c r="AA5" s="46"/>
      <c r="AB5" s="46"/>
      <c r="AC5" s="46"/>
      <c r="AD5" s="46"/>
      <c r="AE5" s="46"/>
      <c r="AF5" s="156">
        <v>0</v>
      </c>
      <c r="AG5" s="156"/>
      <c r="AH5" s="219">
        <v>0</v>
      </c>
      <c r="AI5">
        <v>4</v>
      </c>
    </row>
    <row r="6" spans="1:35">
      <c r="A6" s="49" t="s">
        <v>170</v>
      </c>
      <c r="B6" s="46"/>
      <c r="C6" s="46"/>
      <c r="D6" s="46"/>
      <c r="E6" s="46"/>
      <c r="F6" s="46"/>
      <c r="G6" s="46"/>
      <c r="H6" s="46"/>
      <c r="I6" s="46"/>
      <c r="J6" s="46"/>
      <c r="K6" s="46"/>
      <c r="L6" s="46"/>
      <c r="M6" s="46"/>
      <c r="N6" s="46"/>
      <c r="O6" s="46"/>
      <c r="P6" s="46"/>
      <c r="Q6" s="46"/>
      <c r="R6" s="46"/>
      <c r="S6" s="46"/>
      <c r="T6" s="46"/>
      <c r="U6" s="46"/>
      <c r="V6" s="46"/>
      <c r="W6" s="46"/>
      <c r="X6" s="46"/>
      <c r="Y6" s="46"/>
      <c r="Z6" s="46"/>
      <c r="AA6" s="46"/>
      <c r="AB6" s="46"/>
      <c r="AC6" s="46"/>
      <c r="AD6" s="46"/>
      <c r="AE6" s="46"/>
      <c r="AF6" s="156">
        <v>0</v>
      </c>
      <c r="AG6" s="156"/>
      <c r="AH6" s="219">
        <v>0</v>
      </c>
      <c r="AI6">
        <v>5</v>
      </c>
    </row>
    <row r="7" spans="1:35">
      <c r="A7" s="49" t="s">
        <v>438</v>
      </c>
      <c r="B7" s="46"/>
      <c r="C7" s="46"/>
      <c r="D7" s="46"/>
      <c r="E7" s="46"/>
      <c r="F7" s="46"/>
      <c r="G7" s="46"/>
      <c r="H7" s="46"/>
      <c r="I7" s="46"/>
      <c r="J7" s="46"/>
      <c r="K7" s="46"/>
      <c r="L7" s="46"/>
      <c r="M7" s="46"/>
      <c r="N7" s="46"/>
      <c r="O7" s="46"/>
      <c r="P7" s="46"/>
      <c r="Q7" s="46"/>
      <c r="R7" s="46"/>
      <c r="S7" s="46"/>
      <c r="T7" s="46"/>
      <c r="U7" s="46"/>
      <c r="V7" s="46"/>
      <c r="W7" s="46"/>
      <c r="X7" s="46"/>
      <c r="Y7" s="46"/>
      <c r="Z7" s="46"/>
      <c r="AA7" s="46"/>
      <c r="AB7" s="46"/>
      <c r="AC7" s="46"/>
      <c r="AD7" s="46"/>
      <c r="AE7" s="46"/>
      <c r="AF7" s="156">
        <v>0</v>
      </c>
      <c r="AG7" s="156"/>
      <c r="AH7" s="219">
        <v>0</v>
      </c>
      <c r="AI7">
        <v>6</v>
      </c>
    </row>
    <row r="8" spans="1:35" hidden="1">
      <c r="A8" s="49"/>
      <c r="B8" s="46"/>
      <c r="C8" s="46"/>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156">
        <v>0</v>
      </c>
      <c r="AG8" s="156"/>
      <c r="AH8" s="219">
        <v>0</v>
      </c>
      <c r="AI8">
        <v>7</v>
      </c>
    </row>
    <row r="9" spans="1:35" hidden="1">
      <c r="A9" s="49"/>
      <c r="B9" s="46"/>
      <c r="C9" s="46"/>
      <c r="D9" s="46"/>
      <c r="E9" s="46"/>
      <c r="F9" s="46"/>
      <c r="G9" s="46"/>
      <c r="H9" s="46"/>
      <c r="I9" s="46"/>
      <c r="J9" s="46"/>
      <c r="K9" s="46"/>
      <c r="L9" s="46"/>
      <c r="M9" s="46"/>
      <c r="N9" s="46"/>
      <c r="O9" s="46"/>
      <c r="P9" s="46"/>
      <c r="Q9" s="46"/>
      <c r="R9" s="46"/>
      <c r="S9" s="46"/>
      <c r="T9" s="46"/>
      <c r="U9" s="46"/>
      <c r="V9" s="46"/>
      <c r="W9" s="46"/>
      <c r="X9" s="46"/>
      <c r="Y9" s="46"/>
      <c r="Z9" s="46"/>
      <c r="AA9" s="46"/>
      <c r="AB9" s="46"/>
      <c r="AC9" s="46"/>
      <c r="AD9" s="46"/>
      <c r="AE9" s="46"/>
      <c r="AF9" s="156">
        <v>0</v>
      </c>
      <c r="AG9" s="156"/>
      <c r="AH9" s="219">
        <v>0</v>
      </c>
      <c r="AI9">
        <v>8</v>
      </c>
    </row>
    <row r="10" spans="1:35" hidden="1">
      <c r="A10" s="49"/>
      <c r="B10" s="46"/>
      <c r="C10" s="46"/>
      <c r="D10" s="46"/>
      <c r="E10" s="46"/>
      <c r="F10" s="46"/>
      <c r="G10" s="46"/>
      <c r="H10" s="46"/>
      <c r="I10" s="46"/>
      <c r="J10" s="46"/>
      <c r="K10" s="46"/>
      <c r="L10" s="46"/>
      <c r="M10" s="46"/>
      <c r="N10" s="46"/>
      <c r="O10" s="46"/>
      <c r="P10" s="46"/>
      <c r="Q10" s="46"/>
      <c r="R10" s="46"/>
      <c r="S10" s="46"/>
      <c r="T10" s="46"/>
      <c r="U10" s="46"/>
      <c r="V10" s="46"/>
      <c r="W10" s="46"/>
      <c r="X10" s="46"/>
      <c r="Y10" s="46"/>
      <c r="Z10" s="46"/>
      <c r="AA10" s="46"/>
      <c r="AB10" s="46"/>
      <c r="AC10" s="46"/>
      <c r="AD10" s="46"/>
      <c r="AE10" s="46"/>
      <c r="AF10" s="156">
        <v>0</v>
      </c>
      <c r="AG10" s="156"/>
      <c r="AH10" s="219">
        <v>0</v>
      </c>
      <c r="AI10">
        <v>9</v>
      </c>
    </row>
    <row r="11" spans="1:35" hidden="1">
      <c r="A11" s="49"/>
      <c r="B11" s="46"/>
      <c r="C11" s="46"/>
      <c r="D11" s="46"/>
      <c r="E11" s="46"/>
      <c r="F11" s="46"/>
      <c r="G11" s="46"/>
      <c r="H11" s="46"/>
      <c r="I11" s="46"/>
      <c r="J11" s="46"/>
      <c r="K11" s="46"/>
      <c r="L11" s="46"/>
      <c r="M11" s="46"/>
      <c r="N11" s="46"/>
      <c r="O11" s="46"/>
      <c r="P11" s="46"/>
      <c r="Q11" s="46"/>
      <c r="R11" s="46"/>
      <c r="S11" s="46"/>
      <c r="T11" s="46"/>
      <c r="U11" s="46"/>
      <c r="V11" s="46"/>
      <c r="W11" s="46"/>
      <c r="X11" s="46"/>
      <c r="Y11" s="46"/>
      <c r="Z11" s="46"/>
      <c r="AA11" s="46"/>
      <c r="AB11" s="46"/>
      <c r="AC11" s="46"/>
      <c r="AD11" s="46"/>
      <c r="AE11" s="46"/>
      <c r="AF11" s="156">
        <v>0</v>
      </c>
      <c r="AG11" s="156"/>
      <c r="AH11" s="219">
        <v>0</v>
      </c>
      <c r="AI11">
        <v>10</v>
      </c>
    </row>
    <row r="12" spans="1:35" hidden="1">
      <c r="A12" s="49"/>
      <c r="B12" s="46"/>
      <c r="C12" s="46"/>
      <c r="D12" s="46"/>
      <c r="E12" s="46"/>
      <c r="F12" s="46"/>
      <c r="G12" s="46"/>
      <c r="H12" s="46"/>
      <c r="I12" s="46"/>
      <c r="J12" s="46"/>
      <c r="K12" s="46"/>
      <c r="L12" s="46"/>
      <c r="M12" s="46"/>
      <c r="N12" s="46"/>
      <c r="O12" s="46"/>
      <c r="P12" s="46"/>
      <c r="Q12" s="46"/>
      <c r="R12" s="46"/>
      <c r="S12" s="46"/>
      <c r="T12" s="46"/>
      <c r="U12" s="46"/>
      <c r="V12" s="46"/>
      <c r="W12" s="46"/>
      <c r="X12" s="46"/>
      <c r="Y12" s="46"/>
      <c r="Z12" s="46"/>
      <c r="AA12" s="46"/>
      <c r="AB12" s="46"/>
      <c r="AC12" s="46"/>
      <c r="AD12" s="46"/>
      <c r="AE12" s="46"/>
      <c r="AF12" s="156">
        <v>0</v>
      </c>
      <c r="AG12" s="156"/>
      <c r="AH12" s="219">
        <v>39371800.182165615</v>
      </c>
      <c r="AI12">
        <v>11</v>
      </c>
    </row>
    <row r="13" spans="1:35">
      <c r="A13" s="49" t="s">
        <v>111</v>
      </c>
      <c r="B13" s="46"/>
      <c r="C13" s="46"/>
      <c r="D13" s="46"/>
      <c r="E13" s="46"/>
      <c r="F13" s="46"/>
      <c r="G13" s="46"/>
      <c r="H13" s="46"/>
      <c r="I13" s="46"/>
      <c r="J13" s="46"/>
      <c r="K13" s="46"/>
      <c r="L13" s="46"/>
      <c r="M13" s="46"/>
      <c r="N13" s="46"/>
      <c r="O13" s="46"/>
      <c r="P13" s="46"/>
      <c r="Q13" s="46"/>
      <c r="R13" s="46"/>
      <c r="S13" s="46"/>
      <c r="T13" s="46"/>
      <c r="U13" s="46"/>
      <c r="V13" s="46"/>
      <c r="W13" s="46"/>
      <c r="X13" s="46"/>
      <c r="Y13" s="46"/>
      <c r="Z13" s="46"/>
      <c r="AA13" s="46"/>
      <c r="AB13" s="46"/>
      <c r="AC13" s="46"/>
      <c r="AD13" s="46"/>
      <c r="AE13" s="46"/>
      <c r="AF13" s="156">
        <v>0</v>
      </c>
      <c r="AG13" s="156"/>
      <c r="AH13" s="219">
        <v>8.6009481495587821</v>
      </c>
      <c r="AI13">
        <v>12</v>
      </c>
    </row>
    <row r="14" spans="1:35">
      <c r="A14" s="49" t="s">
        <v>112</v>
      </c>
      <c r="B14" s="46"/>
      <c r="C14" s="46"/>
      <c r="D14" s="46"/>
      <c r="E14" s="46"/>
      <c r="F14" s="46"/>
      <c r="G14" s="46"/>
      <c r="H14" s="46"/>
      <c r="I14" s="46"/>
      <c r="J14" s="46"/>
      <c r="K14" s="46"/>
      <c r="L14" s="46"/>
      <c r="M14" s="46"/>
      <c r="N14" s="46"/>
      <c r="O14" s="46"/>
      <c r="P14" s="46"/>
      <c r="Q14" s="46"/>
      <c r="R14" s="46"/>
      <c r="S14" s="46"/>
      <c r="T14" s="46"/>
      <c r="U14" s="46"/>
      <c r="V14" s="46"/>
      <c r="W14" s="46"/>
      <c r="X14" s="46"/>
      <c r="Y14" s="46"/>
      <c r="Z14" s="46"/>
      <c r="AA14" s="46"/>
      <c r="AB14" s="46"/>
      <c r="AC14" s="46"/>
      <c r="AD14" s="46"/>
      <c r="AE14" s="46"/>
      <c r="AF14" s="156">
        <v>0</v>
      </c>
      <c r="AG14" s="156"/>
      <c r="AH14" s="219">
        <v>397.62315365141666</v>
      </c>
      <c r="AI14">
        <v>13</v>
      </c>
    </row>
    <row r="15" spans="1:35">
      <c r="A15" s="49" t="s">
        <v>113</v>
      </c>
      <c r="B15" s="46"/>
      <c r="C15" s="46"/>
      <c r="D15" s="46"/>
      <c r="E15" s="46"/>
      <c r="F15" s="46"/>
      <c r="G15" s="46"/>
      <c r="H15" s="46"/>
      <c r="I15" s="46"/>
      <c r="J15" s="46"/>
      <c r="K15" s="46"/>
      <c r="L15" s="46"/>
      <c r="M15" s="46"/>
      <c r="N15" s="46"/>
      <c r="O15" s="46"/>
      <c r="P15" s="46"/>
      <c r="Q15" s="46"/>
      <c r="R15" s="46"/>
      <c r="S15" s="46"/>
      <c r="T15" s="46"/>
      <c r="U15" s="46"/>
      <c r="V15" s="46"/>
      <c r="W15" s="46"/>
      <c r="X15" s="46"/>
      <c r="Y15" s="46"/>
      <c r="Z15" s="46"/>
      <c r="AA15" s="46"/>
      <c r="AB15" s="46"/>
      <c r="AC15" s="46"/>
      <c r="AD15" s="46"/>
      <c r="AE15" s="46"/>
      <c r="AF15" s="156">
        <v>0</v>
      </c>
      <c r="AG15" s="156"/>
      <c r="AH15" s="219">
        <v>1427.3524251712645</v>
      </c>
      <c r="AI15">
        <v>14</v>
      </c>
    </row>
    <row r="16" spans="1:35">
      <c r="A16" s="49" t="s">
        <v>527</v>
      </c>
      <c r="B16" s="46"/>
      <c r="C16" s="46"/>
      <c r="D16" s="46"/>
      <c r="E16" s="46"/>
      <c r="F16" s="46"/>
      <c r="G16" s="46"/>
      <c r="H16" s="46"/>
      <c r="I16" s="46"/>
      <c r="J16" s="46"/>
      <c r="K16" s="46"/>
      <c r="L16" s="46"/>
      <c r="M16" s="46"/>
      <c r="N16" s="46"/>
      <c r="O16" s="46"/>
      <c r="P16" s="46"/>
      <c r="Q16" s="46"/>
      <c r="R16" s="46"/>
      <c r="S16" s="46"/>
      <c r="T16" s="46"/>
      <c r="U16" s="46"/>
      <c r="V16" s="46"/>
      <c r="W16" s="46"/>
      <c r="X16" s="46"/>
      <c r="Y16" s="46"/>
      <c r="Z16" s="46"/>
      <c r="AA16" s="46"/>
      <c r="AB16" s="46"/>
      <c r="AC16" s="46"/>
      <c r="AD16" s="46"/>
      <c r="AE16" s="46"/>
      <c r="AF16" s="156">
        <v>0</v>
      </c>
      <c r="AG16" s="156"/>
      <c r="AH16" s="219">
        <v>0</v>
      </c>
      <c r="AI16">
        <v>15</v>
      </c>
    </row>
    <row r="17" spans="1:35">
      <c r="A17" s="49" t="s">
        <v>114</v>
      </c>
      <c r="B17" s="46"/>
      <c r="C17" s="46"/>
      <c r="D17" s="46"/>
      <c r="E17" s="46"/>
      <c r="F17" s="46"/>
      <c r="G17" s="46"/>
      <c r="H17" s="46"/>
      <c r="I17" s="46"/>
      <c r="J17" s="46"/>
      <c r="K17" s="46"/>
      <c r="L17" s="46"/>
      <c r="M17" s="46"/>
      <c r="N17" s="46"/>
      <c r="O17" s="46"/>
      <c r="P17" s="46"/>
      <c r="Q17" s="46"/>
      <c r="R17" s="46"/>
      <c r="S17" s="46"/>
      <c r="T17" s="46"/>
      <c r="U17" s="46"/>
      <c r="V17" s="46"/>
      <c r="W17" s="46"/>
      <c r="X17" s="46"/>
      <c r="Y17" s="46"/>
      <c r="Z17" s="46"/>
      <c r="AA17" s="46"/>
      <c r="AB17" s="46"/>
      <c r="AC17" s="46"/>
      <c r="AD17" s="46"/>
      <c r="AE17" s="46"/>
      <c r="AF17" s="156">
        <v>0</v>
      </c>
      <c r="AG17" s="156"/>
      <c r="AH17" s="219">
        <v>1.5591326998316047E-3</v>
      </c>
      <c r="AI17">
        <v>16</v>
      </c>
    </row>
    <row r="18" spans="1:35">
      <c r="A18" s="49" t="s">
        <v>441</v>
      </c>
      <c r="B18" s="46"/>
      <c r="C18" s="46"/>
      <c r="D18" s="46"/>
      <c r="E18" s="46"/>
      <c r="F18" s="46"/>
      <c r="G18" s="46"/>
      <c r="H18" s="46"/>
      <c r="I18" s="46"/>
      <c r="J18" s="46"/>
      <c r="K18" s="46"/>
      <c r="L18" s="46"/>
      <c r="M18" s="46"/>
      <c r="N18" s="46"/>
      <c r="O18" s="46"/>
      <c r="P18" s="46"/>
      <c r="Q18" s="46"/>
      <c r="R18" s="46"/>
      <c r="S18" s="46"/>
      <c r="T18" s="46"/>
      <c r="U18" s="46"/>
      <c r="V18" s="46"/>
      <c r="W18" s="46"/>
      <c r="X18" s="46"/>
      <c r="Y18" s="46"/>
      <c r="Z18" s="46"/>
      <c r="AA18" s="46"/>
      <c r="AB18" s="46"/>
      <c r="AC18" s="46"/>
      <c r="AD18" s="46"/>
      <c r="AE18" s="46"/>
      <c r="AF18" s="156">
        <v>0</v>
      </c>
      <c r="AG18" s="156"/>
      <c r="AH18" s="219">
        <v>59114.383983111838</v>
      </c>
      <c r="AI18">
        <v>17</v>
      </c>
    </row>
    <row r="19" spans="1:35">
      <c r="A19" s="49" t="s">
        <v>433</v>
      </c>
      <c r="B19" s="46"/>
      <c r="C19" s="46"/>
      <c r="D19" s="46"/>
      <c r="E19" s="46"/>
      <c r="F19" s="46"/>
      <c r="G19" s="46"/>
      <c r="H19" s="46"/>
      <c r="I19" s="46"/>
      <c r="J19" s="46"/>
      <c r="K19" s="46"/>
      <c r="L19" s="46"/>
      <c r="M19" s="46"/>
      <c r="N19" s="46"/>
      <c r="O19" s="46"/>
      <c r="P19" s="46"/>
      <c r="Q19" s="46"/>
      <c r="R19" s="46"/>
      <c r="S19" s="46"/>
      <c r="T19" s="46"/>
      <c r="U19" s="46"/>
      <c r="V19" s="46"/>
      <c r="W19" s="46"/>
      <c r="X19" s="46"/>
      <c r="Y19" s="46"/>
      <c r="Z19" s="46"/>
      <c r="AA19" s="46"/>
      <c r="AB19" s="46"/>
      <c r="AC19" s="46"/>
      <c r="AD19" s="46"/>
      <c r="AE19" s="46"/>
      <c r="AF19" s="156">
        <v>0</v>
      </c>
      <c r="AG19" s="156"/>
      <c r="AH19" s="219">
        <v>202180.86172612535</v>
      </c>
      <c r="AI19">
        <v>18</v>
      </c>
    </row>
    <row r="20" spans="1:35">
      <c r="A20" s="49" t="s">
        <v>434</v>
      </c>
      <c r="B20" s="46"/>
      <c r="C20" s="46"/>
      <c r="D20" s="46"/>
      <c r="E20" s="46"/>
      <c r="F20" s="46"/>
      <c r="G20" s="46"/>
      <c r="H20" s="46"/>
      <c r="I20" s="46"/>
      <c r="J20" s="46"/>
      <c r="K20" s="46"/>
      <c r="L20" s="46"/>
      <c r="M20" s="46"/>
      <c r="N20" s="46"/>
      <c r="O20" s="46"/>
      <c r="P20" s="46"/>
      <c r="Q20" s="46"/>
      <c r="R20" s="46"/>
      <c r="S20" s="46"/>
      <c r="T20" s="46"/>
      <c r="U20" s="46"/>
      <c r="V20" s="46"/>
      <c r="W20" s="46"/>
      <c r="X20" s="46"/>
      <c r="Y20" s="46"/>
      <c r="Z20" s="46"/>
      <c r="AA20" s="46"/>
      <c r="AB20" s="46"/>
      <c r="AC20" s="46"/>
      <c r="AD20" s="46"/>
      <c r="AE20" s="46"/>
      <c r="AF20" s="156">
        <v>0</v>
      </c>
      <c r="AG20" s="156"/>
      <c r="AH20" s="219">
        <v>0</v>
      </c>
      <c r="AI20">
        <v>19</v>
      </c>
    </row>
    <row r="21" spans="1:35" hidden="1">
      <c r="A21" s="49"/>
      <c r="B21" s="46"/>
      <c r="C21" s="46"/>
      <c r="D21" s="46"/>
      <c r="E21" s="46"/>
      <c r="F21" s="46"/>
      <c r="G21" s="46"/>
      <c r="H21" s="46"/>
      <c r="I21" s="46"/>
      <c r="J21" s="46"/>
      <c r="K21" s="46"/>
      <c r="L21" s="46"/>
      <c r="M21" s="46"/>
      <c r="N21" s="46"/>
      <c r="O21" s="46"/>
      <c r="P21" s="46"/>
      <c r="Q21" s="46"/>
      <c r="R21" s="46"/>
      <c r="S21" s="46"/>
      <c r="T21" s="46"/>
      <c r="U21" s="46"/>
      <c r="V21" s="46"/>
      <c r="W21" s="46"/>
      <c r="X21" s="46"/>
      <c r="Y21" s="46"/>
      <c r="Z21" s="46"/>
      <c r="AA21" s="46"/>
      <c r="AB21" s="46"/>
      <c r="AC21" s="46"/>
      <c r="AD21" s="46"/>
      <c r="AE21" s="46"/>
      <c r="AF21" s="156">
        <v>0</v>
      </c>
      <c r="AG21" s="156"/>
      <c r="AH21" s="219">
        <v>0</v>
      </c>
      <c r="AI21">
        <v>20</v>
      </c>
    </row>
    <row r="22" spans="1:35" hidden="1">
      <c r="A22" s="49"/>
      <c r="B22" s="46"/>
      <c r="C22" s="46"/>
      <c r="D22" s="46"/>
      <c r="E22" s="46"/>
      <c r="F22" s="46"/>
      <c r="G22" s="46"/>
      <c r="H22" s="46"/>
      <c r="I22" s="46"/>
      <c r="J22" s="46"/>
      <c r="K22" s="46"/>
      <c r="L22" s="46"/>
      <c r="M22" s="46"/>
      <c r="N22" s="46"/>
      <c r="O22" s="46"/>
      <c r="P22" s="46"/>
      <c r="Q22" s="46"/>
      <c r="R22" s="46"/>
      <c r="S22" s="46"/>
      <c r="T22" s="46"/>
      <c r="U22" s="46"/>
      <c r="V22" s="46"/>
      <c r="W22" s="46"/>
      <c r="X22" s="46"/>
      <c r="Y22" s="46"/>
      <c r="Z22" s="46"/>
      <c r="AA22" s="46"/>
      <c r="AB22" s="46"/>
      <c r="AC22" s="46"/>
      <c r="AD22" s="46"/>
      <c r="AE22" s="46"/>
      <c r="AF22" s="156">
        <v>0</v>
      </c>
      <c r="AG22" s="156"/>
      <c r="AH22" s="219">
        <v>38494299.324889265</v>
      </c>
      <c r="AI22">
        <v>21</v>
      </c>
    </row>
    <row r="23" spans="1:35">
      <c r="A23" s="49" t="s">
        <v>115</v>
      </c>
      <c r="B23" s="46"/>
      <c r="C23" s="46"/>
      <c r="D23" s="46"/>
      <c r="E23" s="46"/>
      <c r="F23" s="46"/>
      <c r="G23" s="46"/>
      <c r="H23" s="46"/>
      <c r="I23" s="46"/>
      <c r="J23" s="46"/>
      <c r="K23" s="46"/>
      <c r="L23" s="46"/>
      <c r="M23" s="46"/>
      <c r="N23" s="46"/>
      <c r="O23" s="46"/>
      <c r="P23" s="46"/>
      <c r="Q23" s="46"/>
      <c r="R23" s="46"/>
      <c r="S23" s="46"/>
      <c r="T23" s="46"/>
      <c r="U23" s="46"/>
      <c r="V23" s="46"/>
      <c r="W23" s="46"/>
      <c r="X23" s="46"/>
      <c r="Y23" s="46"/>
      <c r="Z23" s="46"/>
      <c r="AA23" s="46"/>
      <c r="AB23" s="46"/>
      <c r="AC23" s="46"/>
      <c r="AD23" s="46"/>
      <c r="AE23" s="46"/>
      <c r="AF23" s="156">
        <v>0</v>
      </c>
      <c r="AG23" s="156"/>
      <c r="AH23" s="219">
        <v>10.872365364786992</v>
      </c>
      <c r="AI23">
        <v>22</v>
      </c>
    </row>
    <row r="24" spans="1:35">
      <c r="A24" s="49" t="s">
        <v>116</v>
      </c>
      <c r="B24" s="46"/>
      <c r="C24" s="46"/>
      <c r="D24" s="46"/>
      <c r="E24" s="46"/>
      <c r="F24" s="46"/>
      <c r="G24" s="46"/>
      <c r="H24" s="46"/>
      <c r="I24" s="46"/>
      <c r="J24" s="46"/>
      <c r="K24" s="46"/>
      <c r="L24" s="46"/>
      <c r="M24" s="46"/>
      <c r="N24" s="46"/>
      <c r="O24" s="46"/>
      <c r="P24" s="46"/>
      <c r="Q24" s="46"/>
      <c r="R24" s="46"/>
      <c r="S24" s="46"/>
      <c r="T24" s="46"/>
      <c r="U24" s="46"/>
      <c r="V24" s="46"/>
      <c r="W24" s="46"/>
      <c r="X24" s="46"/>
      <c r="Y24" s="46"/>
      <c r="Z24" s="46"/>
      <c r="AA24" s="46"/>
      <c r="AB24" s="46"/>
      <c r="AC24" s="46"/>
      <c r="AD24" s="46"/>
      <c r="AE24" s="46"/>
      <c r="AF24" s="156">
        <v>0</v>
      </c>
      <c r="AG24" s="156"/>
      <c r="AH24" s="219">
        <v>2065.3558219561596</v>
      </c>
      <c r="AI24">
        <v>23</v>
      </c>
    </row>
    <row r="25" spans="1:35" ht="13.5" customHeight="1">
      <c r="A25" s="49" t="s">
        <v>117</v>
      </c>
      <c r="B25" s="46"/>
      <c r="C25" s="46"/>
      <c r="D25" s="46"/>
      <c r="E25" s="46"/>
      <c r="F25" s="46"/>
      <c r="G25" s="46"/>
      <c r="H25" s="46"/>
      <c r="I25" s="46"/>
      <c r="J25" s="46"/>
      <c r="K25" s="46"/>
      <c r="L25" s="46"/>
      <c r="M25" s="46"/>
      <c r="N25" s="46"/>
      <c r="O25" s="46"/>
      <c r="P25" s="46"/>
      <c r="Q25" s="46"/>
      <c r="R25" s="46"/>
      <c r="S25" s="46"/>
      <c r="T25" s="46"/>
      <c r="U25" s="46"/>
      <c r="V25" s="46"/>
      <c r="W25" s="46"/>
      <c r="X25" s="46"/>
      <c r="Y25" s="46"/>
      <c r="Z25" s="46"/>
      <c r="AA25" s="46"/>
      <c r="AB25" s="46"/>
      <c r="AC25" s="46"/>
      <c r="AD25" s="46"/>
      <c r="AE25" s="46"/>
      <c r="AF25" s="156">
        <v>0</v>
      </c>
      <c r="AG25" s="156"/>
      <c r="AH25" s="219">
        <v>5707.0817714085488</v>
      </c>
      <c r="AI25">
        <v>24</v>
      </c>
    </row>
    <row r="26" spans="1:35">
      <c r="A26" s="49" t="s">
        <v>528</v>
      </c>
      <c r="B26" s="46"/>
      <c r="C26" s="46"/>
      <c r="D26" s="46"/>
      <c r="E26" s="46"/>
      <c r="F26" s="46"/>
      <c r="G26" s="46"/>
      <c r="H26" s="46"/>
      <c r="I26" s="46"/>
      <c r="J26" s="46"/>
      <c r="K26" s="46"/>
      <c r="L26" s="46"/>
      <c r="M26" s="46"/>
      <c r="N26" s="46"/>
      <c r="O26" s="46"/>
      <c r="P26" s="46"/>
      <c r="Q26" s="46"/>
      <c r="R26" s="46"/>
      <c r="S26" s="46"/>
      <c r="T26" s="46"/>
      <c r="U26" s="46"/>
      <c r="V26" s="46"/>
      <c r="W26" s="46"/>
      <c r="X26" s="46"/>
      <c r="Y26" s="46"/>
      <c r="Z26" s="46"/>
      <c r="AA26" s="46"/>
      <c r="AB26" s="46"/>
      <c r="AC26" s="46"/>
      <c r="AD26" s="46"/>
      <c r="AE26" s="46"/>
      <c r="AF26" s="156">
        <v>0</v>
      </c>
      <c r="AG26" s="156"/>
      <c r="AH26" s="219">
        <v>0</v>
      </c>
      <c r="AI26">
        <v>25</v>
      </c>
    </row>
    <row r="27" spans="1:35">
      <c r="A27" s="49" t="s">
        <v>118</v>
      </c>
      <c r="B27" s="46"/>
      <c r="C27" s="46"/>
      <c r="D27" s="46"/>
      <c r="E27" s="46"/>
      <c r="F27" s="46"/>
      <c r="G27" s="46"/>
      <c r="H27" s="46"/>
      <c r="I27" s="46"/>
      <c r="J27" s="46"/>
      <c r="K27" s="46"/>
      <c r="L27" s="46"/>
      <c r="M27" s="46"/>
      <c r="N27" s="46"/>
      <c r="O27" s="46"/>
      <c r="P27" s="46"/>
      <c r="Q27" s="46"/>
      <c r="R27" s="46"/>
      <c r="S27" s="46"/>
      <c r="T27" s="46"/>
      <c r="U27" s="46"/>
      <c r="V27" s="46"/>
      <c r="W27" s="46"/>
      <c r="X27" s="46"/>
      <c r="Y27" s="46"/>
      <c r="Z27" s="46"/>
      <c r="AA27" s="46"/>
      <c r="AB27" s="46"/>
      <c r="AC27" s="46"/>
      <c r="AD27" s="46"/>
      <c r="AE27" s="46"/>
      <c r="AF27" s="156">
        <v>0</v>
      </c>
      <c r="AG27" s="156"/>
      <c r="AH27" s="219">
        <v>336893.85223874584</v>
      </c>
      <c r="AI27">
        <v>26</v>
      </c>
    </row>
    <row r="28" spans="1:35">
      <c r="A28" s="49" t="s">
        <v>119</v>
      </c>
      <c r="B28" s="46"/>
      <c r="C28" s="46"/>
      <c r="D28" s="46"/>
      <c r="E28" s="46"/>
      <c r="F28" s="46"/>
      <c r="G28" s="46"/>
      <c r="H28" s="46"/>
      <c r="I28" s="46"/>
      <c r="J28" s="46"/>
      <c r="K28" s="46"/>
      <c r="L28" s="46"/>
      <c r="M28" s="46"/>
      <c r="N28" s="46"/>
      <c r="O28" s="46"/>
      <c r="P28" s="46"/>
      <c r="Q28" s="46"/>
      <c r="R28" s="46"/>
      <c r="S28" s="46"/>
      <c r="T28" s="46"/>
      <c r="U28" s="46"/>
      <c r="V28" s="46"/>
      <c r="W28" s="46"/>
      <c r="X28" s="46"/>
      <c r="Y28" s="46"/>
      <c r="Z28" s="46"/>
      <c r="AA28" s="46"/>
      <c r="AB28" s="46"/>
      <c r="AC28" s="46"/>
      <c r="AD28" s="46"/>
      <c r="AE28" s="46"/>
      <c r="AF28" s="156">
        <v>0</v>
      </c>
      <c r="AG28" s="156"/>
      <c r="AH28" s="219">
        <v>0</v>
      </c>
      <c r="AI28">
        <v>27</v>
      </c>
    </row>
    <row r="29" spans="1:35">
      <c r="A29" s="49" t="s">
        <v>120</v>
      </c>
      <c r="B29" s="46"/>
      <c r="C29" s="46"/>
      <c r="D29" s="46"/>
      <c r="E29" s="46"/>
      <c r="F29" s="46"/>
      <c r="G29" s="46"/>
      <c r="H29" s="46"/>
      <c r="I29" s="46"/>
      <c r="J29" s="46"/>
      <c r="K29" s="46"/>
      <c r="L29" s="46"/>
      <c r="M29" s="46"/>
      <c r="N29" s="46"/>
      <c r="O29" s="46"/>
      <c r="P29" s="46"/>
      <c r="Q29" s="46"/>
      <c r="R29" s="46"/>
      <c r="S29" s="46"/>
      <c r="T29" s="46"/>
      <c r="U29" s="46"/>
      <c r="V29" s="46"/>
      <c r="W29" s="46"/>
      <c r="X29" s="46"/>
      <c r="Y29" s="46"/>
      <c r="Z29" s="46"/>
      <c r="AA29" s="46"/>
      <c r="AB29" s="46"/>
      <c r="AC29" s="46"/>
      <c r="AD29" s="46"/>
      <c r="AE29" s="46"/>
      <c r="AF29" s="156">
        <v>0</v>
      </c>
      <c r="AG29" s="156"/>
      <c r="AH29" s="219">
        <v>77209.074843074894</v>
      </c>
      <c r="AI29">
        <v>28</v>
      </c>
    </row>
    <row r="30" spans="1:35" ht="14.1" customHeight="1">
      <c r="A30" s="49" t="s">
        <v>435</v>
      </c>
      <c r="B30" s="46"/>
      <c r="C30" s="46"/>
      <c r="D30" s="46"/>
      <c r="E30" s="46"/>
      <c r="F30" s="46"/>
      <c r="G30" s="46"/>
      <c r="H30" s="46"/>
      <c r="I30" s="46"/>
      <c r="J30" s="46"/>
      <c r="K30" s="46"/>
      <c r="L30" s="46"/>
      <c r="M30" s="46"/>
      <c r="N30" s="46"/>
      <c r="O30" s="46"/>
      <c r="P30" s="46"/>
      <c r="Q30" s="46"/>
      <c r="R30" s="46"/>
      <c r="S30" s="46"/>
      <c r="T30" s="46"/>
      <c r="U30" s="46"/>
      <c r="V30" s="46"/>
      <c r="W30" s="46"/>
      <c r="X30" s="46"/>
      <c r="Y30" s="46"/>
      <c r="Z30" s="46"/>
      <c r="AA30" s="46"/>
      <c r="AB30" s="46"/>
      <c r="AC30" s="46"/>
      <c r="AD30" s="46"/>
      <c r="AE30" s="46"/>
      <c r="AF30" s="156">
        <v>0</v>
      </c>
      <c r="AG30" s="156"/>
      <c r="AH30" s="219">
        <v>677216.86895586329</v>
      </c>
      <c r="AI30">
        <v>29</v>
      </c>
    </row>
    <row r="31" spans="1:35">
      <c r="A31" s="49" t="s">
        <v>436</v>
      </c>
      <c r="B31" s="46"/>
      <c r="C31" s="46"/>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156">
        <v>0</v>
      </c>
      <c r="AG31" s="156"/>
      <c r="AH31" s="219">
        <v>0</v>
      </c>
      <c r="AI31">
        <v>30</v>
      </c>
    </row>
    <row r="32" spans="1:35" ht="14.1" hidden="1" customHeight="1">
      <c r="A32" s="156"/>
      <c r="B32" s="156">
        <v>0</v>
      </c>
      <c r="C32" s="156">
        <v>0</v>
      </c>
      <c r="D32" s="156">
        <v>0</v>
      </c>
      <c r="E32" s="156">
        <v>0</v>
      </c>
      <c r="F32" s="156">
        <v>0</v>
      </c>
      <c r="G32" s="156">
        <v>0</v>
      </c>
      <c r="H32" s="156">
        <v>0</v>
      </c>
      <c r="I32" s="156">
        <v>0</v>
      </c>
      <c r="J32" s="156">
        <v>0</v>
      </c>
      <c r="K32" s="156">
        <v>0</v>
      </c>
      <c r="L32" s="156">
        <v>0</v>
      </c>
      <c r="M32" s="156">
        <v>0</v>
      </c>
      <c r="N32" s="156">
        <v>0</v>
      </c>
      <c r="O32" s="156">
        <v>0</v>
      </c>
      <c r="P32" s="156">
        <v>0</v>
      </c>
      <c r="Q32" s="156">
        <v>0</v>
      </c>
      <c r="R32" s="156">
        <v>0</v>
      </c>
      <c r="S32" s="156">
        <v>0</v>
      </c>
      <c r="T32" s="156">
        <v>0</v>
      </c>
      <c r="U32" s="156">
        <v>0</v>
      </c>
      <c r="V32" s="156">
        <v>0</v>
      </c>
      <c r="W32" s="156">
        <v>0</v>
      </c>
      <c r="X32" s="156">
        <v>0</v>
      </c>
      <c r="Y32" s="156">
        <v>0</v>
      </c>
      <c r="Z32" s="156">
        <v>0</v>
      </c>
      <c r="AA32" s="156">
        <v>0</v>
      </c>
      <c r="AB32" s="156">
        <v>0</v>
      </c>
      <c r="AC32" s="156">
        <v>0</v>
      </c>
      <c r="AD32" s="156">
        <v>0</v>
      </c>
      <c r="AE32" s="156">
        <v>0</v>
      </c>
      <c r="AF32" s="156">
        <v>0</v>
      </c>
      <c r="AG32" s="156"/>
      <c r="AH32" s="156"/>
    </row>
    <row r="33" spans="1:34">
      <c r="A33" s="49"/>
      <c r="B33" s="49"/>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row>
    <row r="34" spans="1:34" hidden="1">
      <c r="A34" s="49"/>
      <c r="B34" s="49"/>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row>
    <row r="35" spans="1:34" hidden="1">
      <c r="A35" s="49"/>
      <c r="B35" s="49"/>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row>
    <row r="36" spans="1:34" hidden="1">
      <c r="A36" s="49"/>
      <c r="B36" s="49"/>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row>
    <row r="37" spans="1:34" hidden="1">
      <c r="A37" s="49"/>
      <c r="B37" s="49"/>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row>
    <row r="38" spans="1:34" hidden="1">
      <c r="A38" s="49"/>
      <c r="B38" s="49"/>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row>
    <row r="39" spans="1:34" hidden="1">
      <c r="A39" s="49"/>
      <c r="B39" s="49"/>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row>
    <row r="40" spans="1:34" hidden="1">
      <c r="A40" s="49"/>
      <c r="B40" s="49"/>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row>
    <row r="41" spans="1:34" ht="15">
      <c r="A41" s="115" t="s">
        <v>573</v>
      </c>
      <c r="B41" s="49" t="s">
        <v>571</v>
      </c>
      <c r="C41" s="49" t="s">
        <v>31</v>
      </c>
      <c r="D41" s="49" t="s">
        <v>168</v>
      </c>
      <c r="E41" s="49" t="s">
        <v>169</v>
      </c>
      <c r="F41" s="49" t="s">
        <v>170</v>
      </c>
      <c r="G41" s="49" t="s">
        <v>438</v>
      </c>
      <c r="H41" s="49"/>
      <c r="I41" s="49"/>
      <c r="J41" s="49"/>
      <c r="K41" s="49"/>
      <c r="L41" s="49"/>
      <c r="M41" s="49" t="s">
        <v>111</v>
      </c>
      <c r="N41" s="49" t="s">
        <v>112</v>
      </c>
      <c r="O41" s="49" t="s">
        <v>113</v>
      </c>
      <c r="P41" s="49" t="s">
        <v>527</v>
      </c>
      <c r="Q41" s="49" t="s">
        <v>114</v>
      </c>
      <c r="R41" s="49" t="s">
        <v>441</v>
      </c>
      <c r="S41" s="49" t="s">
        <v>433</v>
      </c>
      <c r="T41" s="49" t="s">
        <v>434</v>
      </c>
      <c r="U41" s="49"/>
      <c r="V41" s="49"/>
      <c r="W41" s="49" t="s">
        <v>115</v>
      </c>
      <c r="X41" s="49" t="s">
        <v>116</v>
      </c>
      <c r="Y41" s="49" t="s">
        <v>117</v>
      </c>
      <c r="Z41" s="49" t="s">
        <v>528</v>
      </c>
      <c r="AA41" s="49" t="s">
        <v>118</v>
      </c>
      <c r="AB41" s="49" t="s">
        <v>119</v>
      </c>
      <c r="AC41" s="49" t="s">
        <v>120</v>
      </c>
      <c r="AD41" s="49" t="s">
        <v>435</v>
      </c>
      <c r="AE41" s="49" t="s">
        <v>436</v>
      </c>
      <c r="AF41" s="156"/>
    </row>
    <row r="42" spans="1:34">
      <c r="A42" s="49" t="s">
        <v>572</v>
      </c>
      <c r="B42" s="46"/>
      <c r="C42" s="46"/>
      <c r="D42" s="46"/>
      <c r="E42" s="46"/>
      <c r="F42" s="46"/>
      <c r="G42" s="46"/>
      <c r="H42" s="46"/>
      <c r="I42" s="46"/>
      <c r="J42" s="46"/>
      <c r="K42" s="46"/>
      <c r="L42" s="46"/>
      <c r="M42" s="46"/>
      <c r="N42" s="46"/>
      <c r="O42" s="46"/>
      <c r="P42" s="46"/>
      <c r="Q42" s="46"/>
      <c r="R42" s="46"/>
      <c r="S42" s="46"/>
      <c r="T42" s="46"/>
      <c r="U42" s="46"/>
      <c r="V42" s="46"/>
      <c r="W42" s="46"/>
      <c r="X42" s="46"/>
      <c r="Y42" s="46"/>
      <c r="Z42" s="46"/>
      <c r="AA42" s="46"/>
      <c r="AB42" s="46"/>
      <c r="AC42" s="46"/>
      <c r="AD42" s="46"/>
      <c r="AE42" s="46"/>
      <c r="AF42" s="156">
        <v>0</v>
      </c>
      <c r="AG42" s="49"/>
      <c r="AH42" s="49"/>
    </row>
    <row r="43" spans="1:34">
      <c r="A43" s="49" t="s">
        <v>31</v>
      </c>
      <c r="B43" s="46"/>
      <c r="C43" s="46"/>
      <c r="D43" s="46"/>
      <c r="E43" s="46"/>
      <c r="F43" s="46"/>
      <c r="G43" s="46"/>
      <c r="H43" s="46"/>
      <c r="I43" s="46"/>
      <c r="J43" s="46"/>
      <c r="K43" s="46"/>
      <c r="L43" s="46"/>
      <c r="M43" s="46"/>
      <c r="N43" s="46"/>
      <c r="O43" s="46"/>
      <c r="P43" s="46"/>
      <c r="Q43" s="46"/>
      <c r="R43" s="46"/>
      <c r="S43" s="46"/>
      <c r="T43" s="46"/>
      <c r="U43" s="46"/>
      <c r="V43" s="46"/>
      <c r="W43" s="46"/>
      <c r="X43" s="46"/>
      <c r="Y43" s="46"/>
      <c r="Z43" s="46"/>
      <c r="AA43" s="46"/>
      <c r="AB43" s="46"/>
      <c r="AC43" s="46"/>
      <c r="AD43" s="46"/>
      <c r="AE43" s="46"/>
      <c r="AF43" s="156">
        <v>0</v>
      </c>
      <c r="AG43" s="49"/>
      <c r="AH43" s="49"/>
    </row>
    <row r="44" spans="1:34">
      <c r="A44" s="49" t="s">
        <v>168</v>
      </c>
      <c r="B44" s="46"/>
      <c r="C44" s="46"/>
      <c r="D44" s="46"/>
      <c r="E44" s="46"/>
      <c r="F44" s="46"/>
      <c r="G44" s="46"/>
      <c r="H44" s="46"/>
      <c r="I44" s="46"/>
      <c r="J44" s="46"/>
      <c r="K44" s="46"/>
      <c r="L44" s="46"/>
      <c r="M44" s="46"/>
      <c r="N44" s="46"/>
      <c r="O44" s="46"/>
      <c r="P44" s="46"/>
      <c r="Q44" s="46"/>
      <c r="R44" s="46"/>
      <c r="S44" s="46"/>
      <c r="T44" s="46"/>
      <c r="U44" s="46"/>
      <c r="V44" s="46"/>
      <c r="W44" s="46"/>
      <c r="X44" s="46"/>
      <c r="Y44" s="46"/>
      <c r="Z44" s="46"/>
      <c r="AA44" s="46"/>
      <c r="AB44" s="46"/>
      <c r="AC44" s="46"/>
      <c r="AD44" s="46"/>
      <c r="AE44" s="46"/>
      <c r="AF44" s="156">
        <v>0</v>
      </c>
      <c r="AG44" s="49"/>
      <c r="AH44" s="49"/>
    </row>
    <row r="45" spans="1:34">
      <c r="A45" s="49" t="s">
        <v>169</v>
      </c>
      <c r="B45" s="46"/>
      <c r="C45" s="46"/>
      <c r="D45" s="46"/>
      <c r="E45" s="46"/>
      <c r="F45" s="46"/>
      <c r="G45" s="46"/>
      <c r="H45" s="46"/>
      <c r="I45" s="46"/>
      <c r="J45" s="46"/>
      <c r="K45" s="46"/>
      <c r="L45" s="46"/>
      <c r="M45" s="46"/>
      <c r="N45" s="46"/>
      <c r="O45" s="46"/>
      <c r="P45" s="46"/>
      <c r="Q45" s="46"/>
      <c r="R45" s="46"/>
      <c r="S45" s="46"/>
      <c r="T45" s="46"/>
      <c r="U45" s="46"/>
      <c r="V45" s="46"/>
      <c r="W45" s="46"/>
      <c r="X45" s="46"/>
      <c r="Y45" s="46"/>
      <c r="Z45" s="46"/>
      <c r="AA45" s="46"/>
      <c r="AB45" s="46"/>
      <c r="AC45" s="46"/>
      <c r="AD45" s="46"/>
      <c r="AE45" s="46"/>
      <c r="AF45" s="156">
        <v>0</v>
      </c>
      <c r="AG45" s="49"/>
      <c r="AH45" s="49"/>
    </row>
    <row r="46" spans="1:34">
      <c r="A46" s="49" t="s">
        <v>170</v>
      </c>
      <c r="B46" s="46"/>
      <c r="C46" s="46"/>
      <c r="D46" s="46"/>
      <c r="E46" s="46"/>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156">
        <v>0</v>
      </c>
      <c r="AG46" s="49"/>
      <c r="AH46" s="49"/>
    </row>
    <row r="47" spans="1:34">
      <c r="A47" s="49" t="s">
        <v>438</v>
      </c>
      <c r="B47" s="46"/>
      <c r="C47" s="46"/>
      <c r="D47" s="46"/>
      <c r="E47" s="46"/>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156">
        <v>0</v>
      </c>
      <c r="AG47" s="49"/>
      <c r="AH47" s="49"/>
    </row>
    <row r="48" spans="1:34" hidden="1">
      <c r="A48" s="49"/>
      <c r="B48" s="46"/>
      <c r="C48" s="46"/>
      <c r="D48" s="46"/>
      <c r="E48" s="46"/>
      <c r="F48" s="46"/>
      <c r="G48" s="46"/>
      <c r="H48" s="46"/>
      <c r="I48" s="46"/>
      <c r="J48" s="46"/>
      <c r="K48" s="46"/>
      <c r="L48" s="46"/>
      <c r="M48" s="46"/>
      <c r="N48" s="46"/>
      <c r="O48" s="46"/>
      <c r="P48" s="46"/>
      <c r="Q48" s="46"/>
      <c r="R48" s="46"/>
      <c r="S48" s="46"/>
      <c r="T48" s="46"/>
      <c r="U48" s="46"/>
      <c r="V48" s="46"/>
      <c r="W48" s="46"/>
      <c r="X48" s="46"/>
      <c r="Y48" s="46"/>
      <c r="Z48" s="46"/>
      <c r="AA48" s="46"/>
      <c r="AB48" s="46"/>
      <c r="AC48" s="46"/>
      <c r="AD48" s="46"/>
      <c r="AE48" s="46"/>
      <c r="AF48" s="156">
        <v>0</v>
      </c>
      <c r="AG48" s="49"/>
      <c r="AH48" s="49"/>
    </row>
    <row r="49" spans="1:34" hidden="1">
      <c r="A49" s="49"/>
      <c r="B49" s="46"/>
      <c r="C49" s="46"/>
      <c r="D49" s="46"/>
      <c r="E49" s="46"/>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156">
        <v>0</v>
      </c>
      <c r="AG49" s="49"/>
      <c r="AH49" s="49"/>
    </row>
    <row r="50" spans="1:34" hidden="1">
      <c r="A50" s="49"/>
      <c r="B50" s="46"/>
      <c r="C50" s="46"/>
      <c r="D50" s="46"/>
      <c r="E50" s="46"/>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156">
        <v>0</v>
      </c>
      <c r="AG50" s="49"/>
      <c r="AH50" s="49"/>
    </row>
    <row r="51" spans="1:34" hidden="1">
      <c r="A51" s="49"/>
      <c r="B51" s="46"/>
      <c r="C51" s="46"/>
      <c r="D51" s="46"/>
      <c r="E51" s="46"/>
      <c r="F51" s="46"/>
      <c r="G51" s="46"/>
      <c r="H51" s="46"/>
      <c r="I51" s="46"/>
      <c r="J51" s="46"/>
      <c r="K51" s="46"/>
      <c r="L51" s="46"/>
      <c r="M51" s="46"/>
      <c r="N51" s="46"/>
      <c r="O51" s="46"/>
      <c r="P51" s="46"/>
      <c r="Q51" s="46"/>
      <c r="R51" s="46"/>
      <c r="S51" s="46"/>
      <c r="T51" s="46"/>
      <c r="U51" s="46"/>
      <c r="V51" s="46"/>
      <c r="W51" s="46"/>
      <c r="X51" s="46"/>
      <c r="Y51" s="46"/>
      <c r="Z51" s="46"/>
      <c r="AA51" s="46"/>
      <c r="AB51" s="46"/>
      <c r="AC51" s="46"/>
      <c r="AD51" s="46"/>
      <c r="AE51" s="46"/>
      <c r="AF51" s="156">
        <v>0</v>
      </c>
      <c r="AG51" s="49"/>
      <c r="AH51" s="49"/>
    </row>
    <row r="52" spans="1:34" hidden="1">
      <c r="A52" s="49"/>
      <c r="B52" s="46"/>
      <c r="C52" s="46"/>
      <c r="D52" s="46"/>
      <c r="E52" s="46"/>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156">
        <v>0</v>
      </c>
      <c r="AG52" s="49"/>
      <c r="AH52" s="49"/>
    </row>
    <row r="53" spans="1:34">
      <c r="A53" s="49" t="s">
        <v>111</v>
      </c>
      <c r="B53" s="46"/>
      <c r="C53" s="46"/>
      <c r="D53" s="46"/>
      <c r="E53" s="46"/>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156">
        <v>0</v>
      </c>
      <c r="AG53" s="49"/>
      <c r="AH53" s="49"/>
    </row>
    <row r="54" spans="1:34">
      <c r="A54" s="49" t="s">
        <v>112</v>
      </c>
      <c r="B54" s="46"/>
      <c r="C54" s="46"/>
      <c r="D54" s="46"/>
      <c r="E54" s="46"/>
      <c r="F54" s="46"/>
      <c r="G54" s="46"/>
      <c r="H54" s="46"/>
      <c r="I54" s="46"/>
      <c r="J54" s="46"/>
      <c r="K54" s="46"/>
      <c r="L54" s="46"/>
      <c r="M54" s="46"/>
      <c r="N54" s="46"/>
      <c r="O54" s="46"/>
      <c r="P54" s="46"/>
      <c r="Q54" s="46"/>
      <c r="R54" s="46"/>
      <c r="S54" s="46"/>
      <c r="T54" s="46"/>
      <c r="U54" s="46"/>
      <c r="V54" s="46"/>
      <c r="W54" s="46"/>
      <c r="X54" s="46"/>
      <c r="Y54" s="46"/>
      <c r="Z54" s="46"/>
      <c r="AA54" s="46"/>
      <c r="AB54" s="46"/>
      <c r="AC54" s="46"/>
      <c r="AD54" s="46"/>
      <c r="AE54" s="46"/>
      <c r="AF54" s="156">
        <v>0</v>
      </c>
      <c r="AG54" s="49"/>
      <c r="AH54" s="49"/>
    </row>
    <row r="55" spans="1:34">
      <c r="A55" s="49" t="s">
        <v>113</v>
      </c>
      <c r="B55" s="46"/>
      <c r="C55" s="46"/>
      <c r="D55" s="46"/>
      <c r="E55" s="46"/>
      <c r="F55" s="46"/>
      <c r="G55" s="46"/>
      <c r="H55" s="46"/>
      <c r="I55" s="46"/>
      <c r="J55" s="46"/>
      <c r="K55" s="46"/>
      <c r="L55" s="46"/>
      <c r="M55" s="46"/>
      <c r="N55" s="46"/>
      <c r="O55" s="46"/>
      <c r="P55" s="46"/>
      <c r="Q55" s="46"/>
      <c r="R55" s="46"/>
      <c r="S55" s="46"/>
      <c r="T55" s="46"/>
      <c r="U55" s="46"/>
      <c r="V55" s="46"/>
      <c r="W55" s="46"/>
      <c r="X55" s="46"/>
      <c r="Y55" s="46"/>
      <c r="Z55" s="46"/>
      <c r="AA55" s="46"/>
      <c r="AB55" s="46"/>
      <c r="AC55" s="46"/>
      <c r="AD55" s="46"/>
      <c r="AE55" s="46"/>
      <c r="AF55" s="156">
        <v>0</v>
      </c>
      <c r="AG55" s="49"/>
      <c r="AH55" s="49"/>
    </row>
    <row r="56" spans="1:34">
      <c r="A56" s="49" t="s">
        <v>527</v>
      </c>
      <c r="B56" s="46"/>
      <c r="C56" s="46"/>
      <c r="D56" s="46"/>
      <c r="E56" s="46"/>
      <c r="F56" s="46"/>
      <c r="G56" s="46"/>
      <c r="H56" s="46"/>
      <c r="I56" s="46"/>
      <c r="J56" s="46"/>
      <c r="K56" s="46"/>
      <c r="L56" s="46"/>
      <c r="M56" s="46"/>
      <c r="N56" s="46"/>
      <c r="O56" s="46"/>
      <c r="P56" s="46"/>
      <c r="Q56" s="46"/>
      <c r="R56" s="46"/>
      <c r="S56" s="46"/>
      <c r="T56" s="46"/>
      <c r="U56" s="46"/>
      <c r="V56" s="46"/>
      <c r="W56" s="46"/>
      <c r="X56" s="46"/>
      <c r="Y56" s="46"/>
      <c r="Z56" s="46"/>
      <c r="AA56" s="46"/>
      <c r="AB56" s="46"/>
      <c r="AC56" s="46"/>
      <c r="AD56" s="46"/>
      <c r="AE56" s="46"/>
      <c r="AF56" s="156">
        <v>0</v>
      </c>
      <c r="AG56" s="49"/>
      <c r="AH56" s="49"/>
    </row>
    <row r="57" spans="1:34">
      <c r="A57" s="49" t="s">
        <v>114</v>
      </c>
      <c r="B57" s="46"/>
      <c r="C57" s="46"/>
      <c r="D57" s="46"/>
      <c r="E57" s="46"/>
      <c r="F57" s="46"/>
      <c r="G57" s="46"/>
      <c r="H57" s="46"/>
      <c r="I57" s="46"/>
      <c r="J57" s="46"/>
      <c r="K57" s="46"/>
      <c r="L57" s="46"/>
      <c r="M57" s="46"/>
      <c r="N57" s="46"/>
      <c r="O57" s="46"/>
      <c r="P57" s="46"/>
      <c r="Q57" s="46"/>
      <c r="R57" s="46"/>
      <c r="S57" s="46"/>
      <c r="T57" s="46"/>
      <c r="U57" s="46"/>
      <c r="V57" s="46"/>
      <c r="W57" s="46"/>
      <c r="X57" s="46"/>
      <c r="Y57" s="46"/>
      <c r="Z57" s="46"/>
      <c r="AA57" s="46"/>
      <c r="AB57" s="46"/>
      <c r="AC57" s="46"/>
      <c r="AD57" s="46"/>
      <c r="AE57" s="46"/>
      <c r="AF57" s="156">
        <v>0</v>
      </c>
      <c r="AG57" s="49"/>
      <c r="AH57" s="49"/>
    </row>
    <row r="58" spans="1:34">
      <c r="A58" s="49" t="s">
        <v>441</v>
      </c>
      <c r="B58" s="46"/>
      <c r="C58" s="46"/>
      <c r="D58" s="46"/>
      <c r="E58" s="46"/>
      <c r="F58" s="46"/>
      <c r="G58" s="46"/>
      <c r="H58" s="46"/>
      <c r="I58" s="46"/>
      <c r="J58" s="46"/>
      <c r="K58" s="46"/>
      <c r="L58" s="46"/>
      <c r="M58" s="46"/>
      <c r="N58" s="46"/>
      <c r="O58" s="46"/>
      <c r="P58" s="46"/>
      <c r="Q58" s="46"/>
      <c r="R58" s="46"/>
      <c r="S58" s="46"/>
      <c r="T58" s="46"/>
      <c r="U58" s="46"/>
      <c r="V58" s="46"/>
      <c r="W58" s="46"/>
      <c r="X58" s="46"/>
      <c r="Y58" s="46"/>
      <c r="Z58" s="46"/>
      <c r="AA58" s="46"/>
      <c r="AB58" s="46"/>
      <c r="AC58" s="46"/>
      <c r="AD58" s="46"/>
      <c r="AE58" s="46"/>
      <c r="AF58" s="156">
        <v>0</v>
      </c>
      <c r="AG58" s="49"/>
      <c r="AH58" s="49"/>
    </row>
    <row r="59" spans="1:34">
      <c r="A59" s="49" t="s">
        <v>433</v>
      </c>
      <c r="B59" s="46"/>
      <c r="C59" s="46"/>
      <c r="D59" s="46"/>
      <c r="E59" s="46"/>
      <c r="F59" s="46"/>
      <c r="G59" s="46"/>
      <c r="H59" s="46"/>
      <c r="I59" s="46"/>
      <c r="J59" s="46"/>
      <c r="K59" s="46"/>
      <c r="L59" s="46"/>
      <c r="M59" s="46"/>
      <c r="N59" s="46"/>
      <c r="O59" s="46"/>
      <c r="P59" s="46"/>
      <c r="Q59" s="46"/>
      <c r="R59" s="46"/>
      <c r="S59" s="46"/>
      <c r="T59" s="46"/>
      <c r="U59" s="46"/>
      <c r="V59" s="46"/>
      <c r="W59" s="46"/>
      <c r="X59" s="46"/>
      <c r="Y59" s="46"/>
      <c r="Z59" s="46"/>
      <c r="AA59" s="46"/>
      <c r="AB59" s="46"/>
      <c r="AC59" s="46"/>
      <c r="AD59" s="46"/>
      <c r="AE59" s="46"/>
      <c r="AF59" s="156">
        <v>0</v>
      </c>
      <c r="AG59" s="49"/>
      <c r="AH59" s="49"/>
    </row>
    <row r="60" spans="1:34">
      <c r="A60" s="49" t="s">
        <v>434</v>
      </c>
      <c r="B60" s="46"/>
      <c r="C60" s="46"/>
      <c r="D60" s="46"/>
      <c r="E60" s="46"/>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156">
        <v>0</v>
      </c>
      <c r="AG60" s="49"/>
      <c r="AH60" s="49"/>
    </row>
    <row r="61" spans="1:34" hidden="1">
      <c r="A61" s="49"/>
      <c r="B61" s="46"/>
      <c r="C61" s="46"/>
      <c r="D61" s="46"/>
      <c r="E61" s="46"/>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156">
        <v>0</v>
      </c>
      <c r="AG61" s="49"/>
      <c r="AH61" s="49"/>
    </row>
    <row r="62" spans="1:34" hidden="1">
      <c r="A62" s="49"/>
      <c r="B62" s="46"/>
      <c r="C62" s="46"/>
      <c r="D62" s="46"/>
      <c r="E62" s="46"/>
      <c r="F62" s="46"/>
      <c r="G62" s="46"/>
      <c r="H62" s="46"/>
      <c r="I62" s="46"/>
      <c r="J62" s="46"/>
      <c r="K62" s="46"/>
      <c r="L62" s="46"/>
      <c r="M62" s="46"/>
      <c r="N62" s="46"/>
      <c r="O62" s="46"/>
      <c r="P62" s="46"/>
      <c r="Q62" s="46"/>
      <c r="R62" s="46"/>
      <c r="S62" s="46"/>
      <c r="T62" s="46"/>
      <c r="U62" s="46"/>
      <c r="V62" s="46"/>
      <c r="W62" s="46"/>
      <c r="X62" s="46"/>
      <c r="Y62" s="46"/>
      <c r="Z62" s="46"/>
      <c r="AA62" s="46"/>
      <c r="AB62" s="46"/>
      <c r="AC62" s="46"/>
      <c r="AD62" s="46"/>
      <c r="AE62" s="46"/>
      <c r="AF62" s="156">
        <v>0</v>
      </c>
      <c r="AG62" s="49"/>
      <c r="AH62" s="49"/>
    </row>
    <row r="63" spans="1:34">
      <c r="A63" s="49" t="s">
        <v>115</v>
      </c>
      <c r="B63" s="46"/>
      <c r="C63" s="46"/>
      <c r="D63" s="46"/>
      <c r="E63" s="46"/>
      <c r="F63" s="46"/>
      <c r="G63" s="46"/>
      <c r="H63" s="46"/>
      <c r="I63" s="46"/>
      <c r="J63" s="46"/>
      <c r="K63" s="46"/>
      <c r="L63" s="46"/>
      <c r="M63" s="46"/>
      <c r="N63" s="46"/>
      <c r="O63" s="46"/>
      <c r="P63" s="46"/>
      <c r="Q63" s="46"/>
      <c r="R63" s="46"/>
      <c r="S63" s="46"/>
      <c r="T63" s="46"/>
      <c r="U63" s="46"/>
      <c r="V63" s="46"/>
      <c r="W63" s="46"/>
      <c r="X63" s="46"/>
      <c r="Y63" s="46"/>
      <c r="Z63" s="46"/>
      <c r="AA63" s="46"/>
      <c r="AB63" s="46"/>
      <c r="AC63" s="46"/>
      <c r="AD63" s="46"/>
      <c r="AE63" s="46"/>
      <c r="AF63" s="156">
        <v>0</v>
      </c>
      <c r="AG63" s="49"/>
      <c r="AH63" s="49"/>
    </row>
    <row r="64" spans="1:34">
      <c r="A64" s="49" t="s">
        <v>116</v>
      </c>
      <c r="B64" s="46"/>
      <c r="C64" s="46"/>
      <c r="D64" s="46"/>
      <c r="E64" s="46"/>
      <c r="F64" s="46"/>
      <c r="G64" s="46"/>
      <c r="H64" s="46"/>
      <c r="I64" s="46"/>
      <c r="J64" s="46"/>
      <c r="K64" s="46"/>
      <c r="L64" s="46"/>
      <c r="M64" s="46"/>
      <c r="N64" s="46"/>
      <c r="O64" s="46"/>
      <c r="P64" s="46"/>
      <c r="Q64" s="46"/>
      <c r="R64" s="46"/>
      <c r="S64" s="46"/>
      <c r="T64" s="46"/>
      <c r="U64" s="46"/>
      <c r="V64" s="46"/>
      <c r="W64" s="46"/>
      <c r="X64" s="46"/>
      <c r="Y64" s="46"/>
      <c r="Z64" s="46"/>
      <c r="AA64" s="46"/>
      <c r="AB64" s="46"/>
      <c r="AC64" s="46"/>
      <c r="AD64" s="46"/>
      <c r="AE64" s="46"/>
      <c r="AF64" s="156">
        <v>0</v>
      </c>
      <c r="AG64" s="49"/>
      <c r="AH64" s="49"/>
    </row>
    <row r="65" spans="1:34">
      <c r="A65" s="49" t="s">
        <v>117</v>
      </c>
      <c r="B65" s="46"/>
      <c r="C65" s="46"/>
      <c r="D65" s="46"/>
      <c r="E65" s="46"/>
      <c r="F65" s="46"/>
      <c r="G65" s="46"/>
      <c r="H65" s="46"/>
      <c r="I65" s="46"/>
      <c r="J65" s="46"/>
      <c r="K65" s="46"/>
      <c r="L65" s="46"/>
      <c r="M65" s="46"/>
      <c r="N65" s="46"/>
      <c r="O65" s="46"/>
      <c r="P65" s="46"/>
      <c r="Q65" s="46"/>
      <c r="R65" s="46"/>
      <c r="S65" s="46"/>
      <c r="T65" s="46"/>
      <c r="U65" s="46"/>
      <c r="V65" s="46"/>
      <c r="W65" s="46"/>
      <c r="X65" s="46"/>
      <c r="Y65" s="46"/>
      <c r="Z65" s="46"/>
      <c r="AA65" s="46"/>
      <c r="AB65" s="46"/>
      <c r="AC65" s="46"/>
      <c r="AD65" s="46"/>
      <c r="AE65" s="46"/>
      <c r="AF65" s="156">
        <v>0</v>
      </c>
      <c r="AG65" s="49"/>
      <c r="AH65" s="49"/>
    </row>
    <row r="66" spans="1:34">
      <c r="A66" s="49" t="s">
        <v>528</v>
      </c>
      <c r="B66" s="46"/>
      <c r="C66" s="46"/>
      <c r="D66" s="46"/>
      <c r="E66" s="46"/>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156">
        <v>0</v>
      </c>
      <c r="AG66" s="49"/>
      <c r="AH66" s="49"/>
    </row>
    <row r="67" spans="1:34">
      <c r="A67" s="49" t="s">
        <v>118</v>
      </c>
      <c r="B67" s="46"/>
      <c r="C67" s="46"/>
      <c r="D67" s="46"/>
      <c r="E67" s="46"/>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156">
        <v>0</v>
      </c>
      <c r="AG67" s="49"/>
      <c r="AH67" s="49"/>
    </row>
    <row r="68" spans="1:34">
      <c r="A68" s="49" t="s">
        <v>119</v>
      </c>
      <c r="B68" s="46"/>
      <c r="C68" s="46"/>
      <c r="D68" s="46"/>
      <c r="E68" s="46"/>
      <c r="F68" s="46"/>
      <c r="G68" s="46"/>
      <c r="H68" s="46"/>
      <c r="I68" s="46"/>
      <c r="J68" s="46"/>
      <c r="K68" s="46"/>
      <c r="L68" s="46"/>
      <c r="M68" s="46"/>
      <c r="N68" s="46"/>
      <c r="O68" s="46"/>
      <c r="P68" s="46"/>
      <c r="Q68" s="46"/>
      <c r="R68" s="46"/>
      <c r="S68" s="46"/>
      <c r="T68" s="46"/>
      <c r="U68" s="46"/>
      <c r="V68" s="46"/>
      <c r="W68" s="46"/>
      <c r="X68" s="46"/>
      <c r="Y68" s="46"/>
      <c r="Z68" s="46"/>
      <c r="AA68" s="46"/>
      <c r="AB68" s="46"/>
      <c r="AC68" s="46"/>
      <c r="AD68" s="46"/>
      <c r="AE68" s="46"/>
      <c r="AF68" s="156">
        <v>0</v>
      </c>
      <c r="AG68" s="49"/>
      <c r="AH68" s="49"/>
    </row>
    <row r="69" spans="1:34">
      <c r="A69" s="49" t="s">
        <v>120</v>
      </c>
      <c r="B69" s="46"/>
      <c r="C69" s="46"/>
      <c r="D69" s="46"/>
      <c r="E69" s="46"/>
      <c r="F69" s="46"/>
      <c r="G69" s="46"/>
      <c r="H69" s="46"/>
      <c r="I69" s="46"/>
      <c r="J69" s="46"/>
      <c r="K69" s="46"/>
      <c r="L69" s="46"/>
      <c r="M69" s="46"/>
      <c r="N69" s="46"/>
      <c r="O69" s="46"/>
      <c r="P69" s="46"/>
      <c r="Q69" s="46"/>
      <c r="R69" s="46"/>
      <c r="S69" s="46"/>
      <c r="T69" s="46"/>
      <c r="U69" s="46"/>
      <c r="V69" s="46"/>
      <c r="W69" s="46"/>
      <c r="X69" s="46"/>
      <c r="Y69" s="46"/>
      <c r="Z69" s="46"/>
      <c r="AA69" s="46"/>
      <c r="AB69" s="46"/>
      <c r="AC69" s="46"/>
      <c r="AD69" s="46"/>
      <c r="AE69" s="46"/>
      <c r="AF69" s="156">
        <v>0</v>
      </c>
      <c r="AG69" s="49"/>
      <c r="AH69" s="49"/>
    </row>
    <row r="70" spans="1:34">
      <c r="A70" s="49" t="s">
        <v>435</v>
      </c>
      <c r="B70" s="46"/>
      <c r="C70" s="46"/>
      <c r="D70" s="46"/>
      <c r="E70" s="46"/>
      <c r="F70" s="46"/>
      <c r="G70" s="46"/>
      <c r="H70" s="46"/>
      <c r="I70" s="46"/>
      <c r="J70" s="46"/>
      <c r="K70" s="46"/>
      <c r="L70" s="46"/>
      <c r="M70" s="46"/>
      <c r="N70" s="46"/>
      <c r="O70" s="46"/>
      <c r="P70" s="46"/>
      <c r="Q70" s="46"/>
      <c r="R70" s="46"/>
      <c r="S70" s="46"/>
      <c r="T70" s="46"/>
      <c r="U70" s="46"/>
      <c r="V70" s="46"/>
      <c r="W70" s="46"/>
      <c r="X70" s="46"/>
      <c r="Y70" s="46"/>
      <c r="Z70" s="46"/>
      <c r="AA70" s="46"/>
      <c r="AB70" s="46"/>
      <c r="AC70" s="46"/>
      <c r="AD70" s="46"/>
      <c r="AE70" s="46"/>
      <c r="AF70" s="156">
        <v>0</v>
      </c>
      <c r="AG70" s="49"/>
      <c r="AH70" s="49"/>
    </row>
    <row r="71" spans="1:34">
      <c r="A71" s="49" t="s">
        <v>436</v>
      </c>
      <c r="B71" s="46"/>
      <c r="C71" s="46"/>
      <c r="D71" s="46"/>
      <c r="E71" s="46"/>
      <c r="F71" s="46"/>
      <c r="G71" s="46"/>
      <c r="H71" s="46"/>
      <c r="I71" s="46"/>
      <c r="J71" s="46"/>
      <c r="K71" s="46"/>
      <c r="L71" s="46"/>
      <c r="M71" s="46"/>
      <c r="N71" s="46"/>
      <c r="O71" s="46"/>
      <c r="P71" s="46"/>
      <c r="Q71" s="46"/>
      <c r="R71" s="46"/>
      <c r="S71" s="46"/>
      <c r="T71" s="46"/>
      <c r="U71" s="46"/>
      <c r="V71" s="46"/>
      <c r="W71" s="46"/>
      <c r="X71" s="46"/>
      <c r="Y71" s="46"/>
      <c r="Z71" s="46"/>
      <c r="AA71" s="46"/>
      <c r="AB71" s="46"/>
      <c r="AC71" s="46"/>
      <c r="AD71" s="46"/>
      <c r="AE71" s="46"/>
      <c r="AF71" s="156">
        <v>0</v>
      </c>
      <c r="AG71" s="49"/>
      <c r="AH71" s="49"/>
    </row>
    <row r="72" spans="1:34" hidden="1">
      <c r="A72" s="156"/>
      <c r="B72" s="156">
        <v>0</v>
      </c>
      <c r="C72" s="156">
        <v>0</v>
      </c>
      <c r="D72" s="156">
        <v>0</v>
      </c>
      <c r="E72" s="156">
        <v>0</v>
      </c>
      <c r="F72" s="156">
        <v>0</v>
      </c>
      <c r="G72" s="156">
        <v>0</v>
      </c>
      <c r="H72" s="156">
        <v>0</v>
      </c>
      <c r="I72" s="156">
        <v>0</v>
      </c>
      <c r="J72" s="156">
        <v>0</v>
      </c>
      <c r="K72" s="156">
        <v>0</v>
      </c>
      <c r="L72" s="156">
        <v>0</v>
      </c>
      <c r="M72" s="156">
        <v>0</v>
      </c>
      <c r="N72" s="156">
        <v>0</v>
      </c>
      <c r="O72" s="156">
        <v>0</v>
      </c>
      <c r="P72" s="156">
        <v>0</v>
      </c>
      <c r="Q72" s="156">
        <v>0</v>
      </c>
      <c r="R72" s="156">
        <v>0</v>
      </c>
      <c r="S72" s="156">
        <v>0</v>
      </c>
      <c r="T72" s="156">
        <v>0</v>
      </c>
      <c r="U72" s="156">
        <v>0</v>
      </c>
      <c r="V72" s="156">
        <v>0</v>
      </c>
      <c r="W72" s="156">
        <v>0</v>
      </c>
      <c r="X72" s="156">
        <v>0</v>
      </c>
      <c r="Y72" s="156">
        <v>0</v>
      </c>
      <c r="Z72" s="156">
        <v>0</v>
      </c>
      <c r="AA72" s="156">
        <v>0</v>
      </c>
      <c r="AB72" s="156">
        <v>0</v>
      </c>
      <c r="AC72" s="156">
        <v>0</v>
      </c>
      <c r="AD72" s="156">
        <v>0</v>
      </c>
      <c r="AE72" s="156">
        <v>0</v>
      </c>
      <c r="AF72" s="156">
        <v>0</v>
      </c>
      <c r="AG72" s="49"/>
      <c r="AH72" s="49"/>
    </row>
    <row r="73" spans="1:34">
      <c r="A73" s="49"/>
      <c r="B73" s="49"/>
      <c r="C73" s="49"/>
      <c r="D73" s="49"/>
      <c r="E73" s="49"/>
      <c r="F73" s="49"/>
      <c r="G73" s="49"/>
      <c r="H73" s="49"/>
      <c r="I73" s="49"/>
      <c r="J73" s="49"/>
      <c r="K73" s="49"/>
      <c r="L73" s="49"/>
      <c r="M73" s="49"/>
      <c r="N73" s="49"/>
      <c r="O73" s="49"/>
      <c r="P73" s="49"/>
      <c r="Q73" s="49"/>
      <c r="R73" s="49"/>
      <c r="S73" s="49"/>
      <c r="T73" s="49"/>
      <c r="U73" s="49"/>
      <c r="V73" s="49"/>
      <c r="W73" s="49"/>
      <c r="X73" s="49"/>
      <c r="Y73" s="49"/>
      <c r="Z73" s="49"/>
      <c r="AA73" s="49"/>
      <c r="AB73" s="49"/>
      <c r="AC73" s="49"/>
      <c r="AD73" s="49"/>
      <c r="AE73" s="49"/>
      <c r="AF73" s="49"/>
      <c r="AG73" s="49"/>
      <c r="AH73" s="49"/>
    </row>
    <row r="74" spans="1:34" hidden="1">
      <c r="A74" s="49"/>
      <c r="B74" s="49"/>
      <c r="C74" s="49"/>
      <c r="D74" s="49"/>
      <c r="E74" s="49"/>
      <c r="F74" s="49"/>
      <c r="G74" s="49"/>
      <c r="H74" s="49"/>
      <c r="I74" s="49"/>
      <c r="J74" s="49"/>
      <c r="K74" s="49"/>
      <c r="L74" s="49"/>
      <c r="M74" s="49"/>
      <c r="N74" s="49"/>
      <c r="O74" s="49"/>
      <c r="P74" s="49"/>
      <c r="Q74" s="49"/>
      <c r="R74" s="49"/>
      <c r="S74" s="49"/>
      <c r="T74" s="49"/>
      <c r="U74" s="49"/>
      <c r="V74" s="49"/>
      <c r="W74" s="49"/>
      <c r="X74" s="49"/>
      <c r="Y74" s="49"/>
      <c r="Z74" s="49"/>
      <c r="AA74" s="49"/>
      <c r="AB74" s="49"/>
      <c r="AC74" s="49"/>
      <c r="AD74" s="49"/>
      <c r="AE74" s="49"/>
      <c r="AF74" s="49"/>
      <c r="AG74" s="49"/>
      <c r="AH74" s="49"/>
    </row>
    <row r="75" spans="1:34" hidden="1">
      <c r="A75" s="49"/>
      <c r="B75" s="49"/>
      <c r="C75" s="49"/>
      <c r="D75" s="49"/>
      <c r="E75" s="49"/>
      <c r="F75" s="49"/>
      <c r="G75" s="49"/>
      <c r="H75" s="49"/>
      <c r="I75" s="49"/>
      <c r="J75" s="49"/>
      <c r="K75" s="49"/>
      <c r="L75" s="49"/>
      <c r="M75" s="49"/>
      <c r="N75" s="49"/>
      <c r="O75" s="49"/>
      <c r="P75" s="49"/>
      <c r="Q75" s="49"/>
      <c r="R75" s="49"/>
      <c r="S75" s="49"/>
      <c r="T75" s="49"/>
      <c r="U75" s="49"/>
      <c r="V75" s="49"/>
      <c r="W75" s="49"/>
      <c r="X75" s="49"/>
      <c r="Y75" s="49"/>
      <c r="Z75" s="49"/>
      <c r="AA75" s="49"/>
      <c r="AB75" s="49"/>
      <c r="AC75" s="49"/>
      <c r="AD75" s="49"/>
      <c r="AE75" s="49"/>
      <c r="AF75" s="49"/>
      <c r="AG75" s="49"/>
      <c r="AH75" s="49"/>
    </row>
    <row r="76" spans="1:34" hidden="1">
      <c r="A76" s="49"/>
      <c r="B76" s="49"/>
      <c r="C76" s="49"/>
      <c r="D76" s="49"/>
      <c r="E76" s="49"/>
      <c r="F76" s="49"/>
      <c r="G76" s="49"/>
      <c r="H76" s="49"/>
      <c r="I76" s="49"/>
      <c r="J76" s="49"/>
      <c r="K76" s="49"/>
      <c r="L76" s="49"/>
      <c r="M76" s="49"/>
      <c r="N76" s="49"/>
      <c r="O76" s="49"/>
      <c r="P76" s="49"/>
      <c r="Q76" s="49"/>
      <c r="R76" s="49"/>
      <c r="S76" s="49"/>
      <c r="T76" s="49"/>
      <c r="U76" s="49"/>
      <c r="V76" s="49"/>
      <c r="W76" s="49"/>
      <c r="X76" s="49"/>
      <c r="Y76" s="49"/>
      <c r="Z76" s="49"/>
      <c r="AA76" s="49"/>
      <c r="AB76" s="49"/>
      <c r="AC76" s="49"/>
      <c r="AD76" s="49"/>
      <c r="AE76" s="49"/>
      <c r="AF76" s="49"/>
      <c r="AG76" s="49"/>
      <c r="AH76" s="49"/>
    </row>
    <row r="77" spans="1:34" hidden="1">
      <c r="A77" s="49"/>
      <c r="B77" s="49"/>
      <c r="C77" s="49"/>
      <c r="D77" s="49"/>
      <c r="E77" s="49"/>
      <c r="F77" s="49"/>
      <c r="G77" s="49"/>
      <c r="H77" s="49"/>
      <c r="I77" s="49"/>
      <c r="J77" s="49"/>
      <c r="K77" s="49"/>
      <c r="L77" s="49"/>
      <c r="M77" s="49"/>
      <c r="N77" s="49"/>
      <c r="O77" s="49"/>
      <c r="P77" s="49"/>
      <c r="Q77" s="49"/>
      <c r="R77" s="49"/>
      <c r="S77" s="49"/>
      <c r="T77" s="49"/>
      <c r="U77" s="49"/>
      <c r="V77" s="49"/>
      <c r="W77" s="49"/>
      <c r="X77" s="49"/>
      <c r="Y77" s="49"/>
      <c r="Z77" s="49"/>
      <c r="AA77" s="49"/>
      <c r="AB77" s="49"/>
      <c r="AC77" s="49"/>
      <c r="AD77" s="49"/>
      <c r="AE77" s="49"/>
      <c r="AF77" s="49"/>
      <c r="AG77" s="49"/>
      <c r="AH77" s="49"/>
    </row>
    <row r="78" spans="1:34" hidden="1">
      <c r="A78" s="49"/>
      <c r="B78" s="49"/>
      <c r="C78" s="49"/>
      <c r="D78" s="49"/>
      <c r="E78" s="49"/>
      <c r="F78" s="49"/>
      <c r="G78" s="49"/>
      <c r="H78" s="49"/>
      <c r="I78" s="49"/>
      <c r="J78" s="49"/>
      <c r="K78" s="49"/>
      <c r="L78" s="49"/>
      <c r="M78" s="49"/>
      <c r="N78" s="49"/>
      <c r="O78" s="49"/>
      <c r="P78" s="49"/>
      <c r="Q78" s="49"/>
      <c r="R78" s="49"/>
      <c r="S78" s="49"/>
      <c r="T78" s="49"/>
      <c r="U78" s="49"/>
      <c r="V78" s="49"/>
      <c r="W78" s="49"/>
      <c r="X78" s="49"/>
      <c r="Y78" s="49"/>
      <c r="Z78" s="49"/>
      <c r="AA78" s="49"/>
      <c r="AB78" s="49"/>
      <c r="AC78" s="49"/>
      <c r="AD78" s="49"/>
      <c r="AE78" s="49"/>
      <c r="AF78" s="49"/>
      <c r="AG78" s="49"/>
      <c r="AH78" s="49"/>
    </row>
    <row r="79" spans="1:34" hidden="1">
      <c r="A79" s="49"/>
      <c r="B79" s="49"/>
      <c r="C79" s="49"/>
      <c r="D79" s="49"/>
      <c r="E79" s="49"/>
      <c r="F79" s="49"/>
      <c r="G79" s="49"/>
      <c r="H79" s="49"/>
      <c r="I79" s="49"/>
      <c r="J79" s="49"/>
      <c r="K79" s="49"/>
      <c r="L79" s="49"/>
      <c r="M79" s="49"/>
      <c r="N79" s="49"/>
      <c r="O79" s="49"/>
      <c r="P79" s="49"/>
      <c r="Q79" s="49"/>
      <c r="R79" s="49"/>
      <c r="S79" s="49"/>
      <c r="T79" s="49"/>
      <c r="U79" s="49"/>
      <c r="V79" s="49"/>
      <c r="W79" s="49"/>
      <c r="X79" s="49"/>
      <c r="Y79" s="49"/>
      <c r="Z79" s="49"/>
      <c r="AA79" s="49"/>
      <c r="AB79" s="49"/>
      <c r="AC79" s="49"/>
      <c r="AD79" s="49"/>
      <c r="AE79" s="49"/>
      <c r="AF79" s="49"/>
      <c r="AG79" s="49"/>
      <c r="AH79" s="49"/>
    </row>
    <row r="80" spans="1:34" hidden="1">
      <c r="A80" s="49"/>
      <c r="B80" s="49"/>
      <c r="C80" s="49"/>
      <c r="D80" s="49"/>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row>
    <row r="81" spans="1:34" ht="15">
      <c r="A81" s="115" t="s">
        <v>574</v>
      </c>
      <c r="B81" s="49" t="s">
        <v>571</v>
      </c>
      <c r="C81" s="49" t="s">
        <v>31</v>
      </c>
      <c r="D81" s="49" t="s">
        <v>168</v>
      </c>
      <c r="E81" s="49" t="s">
        <v>169</v>
      </c>
      <c r="F81" s="49" t="s">
        <v>170</v>
      </c>
      <c r="G81" s="49" t="s">
        <v>438</v>
      </c>
      <c r="H81" s="49"/>
      <c r="I81" s="49"/>
      <c r="J81" s="49"/>
      <c r="K81" s="49"/>
      <c r="L81" s="49"/>
      <c r="M81" s="49" t="s">
        <v>111</v>
      </c>
      <c r="N81" s="49" t="s">
        <v>112</v>
      </c>
      <c r="O81" s="49" t="s">
        <v>113</v>
      </c>
      <c r="P81" s="49" t="s">
        <v>527</v>
      </c>
      <c r="Q81" s="49" t="s">
        <v>114</v>
      </c>
      <c r="R81" s="49" t="s">
        <v>441</v>
      </c>
      <c r="S81" s="49" t="s">
        <v>433</v>
      </c>
      <c r="T81" s="49" t="s">
        <v>434</v>
      </c>
      <c r="U81" s="49"/>
      <c r="V81" s="49"/>
      <c r="W81" s="49" t="s">
        <v>115</v>
      </c>
      <c r="X81" s="49" t="s">
        <v>116</v>
      </c>
      <c r="Y81" s="49" t="s">
        <v>117</v>
      </c>
      <c r="Z81" s="49" t="s">
        <v>528</v>
      </c>
      <c r="AA81" s="49" t="s">
        <v>118</v>
      </c>
      <c r="AB81" s="49" t="s">
        <v>119</v>
      </c>
      <c r="AC81" s="49" t="s">
        <v>120</v>
      </c>
      <c r="AD81" s="49" t="s">
        <v>435</v>
      </c>
      <c r="AE81" s="49" t="s">
        <v>436</v>
      </c>
      <c r="AF81" s="156"/>
      <c r="AG81" s="49"/>
      <c r="AH81" s="49"/>
    </row>
    <row r="82" spans="1:34">
      <c r="A82" s="49" t="s">
        <v>572</v>
      </c>
      <c r="B82" s="46"/>
      <c r="C82" s="46"/>
      <c r="D82" s="46"/>
      <c r="E82" s="46"/>
      <c r="F82" s="46"/>
      <c r="G82" s="46"/>
      <c r="H82" s="46"/>
      <c r="I82" s="46"/>
      <c r="J82" s="46"/>
      <c r="K82" s="46"/>
      <c r="L82" s="46"/>
      <c r="M82" s="46"/>
      <c r="N82" s="46"/>
      <c r="O82" s="46"/>
      <c r="P82" s="46"/>
      <c r="Q82" s="46"/>
      <c r="R82" s="46"/>
      <c r="S82" s="46"/>
      <c r="T82" s="46"/>
      <c r="U82" s="46"/>
      <c r="V82" s="46"/>
      <c r="W82" s="46"/>
      <c r="X82" s="46"/>
      <c r="Y82" s="46"/>
      <c r="Z82" s="46"/>
      <c r="AA82" s="46"/>
      <c r="AB82" s="46"/>
      <c r="AC82" s="46"/>
      <c r="AD82" s="46"/>
      <c r="AE82" s="46"/>
      <c r="AF82" s="156">
        <v>0</v>
      </c>
      <c r="AG82" s="49"/>
      <c r="AH82" s="49"/>
    </row>
    <row r="83" spans="1:34">
      <c r="A83" s="49" t="s">
        <v>31</v>
      </c>
      <c r="B83" s="46"/>
      <c r="C83" s="46"/>
      <c r="D83" s="46"/>
      <c r="E83" s="46"/>
      <c r="F83" s="46"/>
      <c r="G83" s="46"/>
      <c r="H83" s="46"/>
      <c r="I83" s="46"/>
      <c r="J83" s="46"/>
      <c r="K83" s="46"/>
      <c r="L83" s="46"/>
      <c r="M83" s="46"/>
      <c r="N83" s="46"/>
      <c r="O83" s="46"/>
      <c r="P83" s="46"/>
      <c r="Q83" s="46"/>
      <c r="R83" s="46"/>
      <c r="S83" s="46"/>
      <c r="T83" s="46"/>
      <c r="U83" s="46"/>
      <c r="V83" s="46"/>
      <c r="W83" s="46"/>
      <c r="X83" s="46"/>
      <c r="Y83" s="46"/>
      <c r="Z83" s="46"/>
      <c r="AA83" s="46"/>
      <c r="AB83" s="46"/>
      <c r="AC83" s="46"/>
      <c r="AD83" s="46"/>
      <c r="AE83" s="46"/>
      <c r="AF83" s="156">
        <v>0</v>
      </c>
      <c r="AG83" s="49"/>
      <c r="AH83" s="49"/>
    </row>
    <row r="84" spans="1:34">
      <c r="A84" s="49" t="s">
        <v>168</v>
      </c>
      <c r="B84" s="46"/>
      <c r="C84" s="46"/>
      <c r="D84" s="46"/>
      <c r="E84" s="46"/>
      <c r="F84" s="46"/>
      <c r="G84" s="46"/>
      <c r="H84" s="46"/>
      <c r="I84" s="46"/>
      <c r="J84" s="46"/>
      <c r="K84" s="46"/>
      <c r="L84" s="46"/>
      <c r="M84" s="46"/>
      <c r="N84" s="46"/>
      <c r="O84" s="46"/>
      <c r="P84" s="46"/>
      <c r="Q84" s="46"/>
      <c r="R84" s="46"/>
      <c r="S84" s="46"/>
      <c r="T84" s="46"/>
      <c r="U84" s="46"/>
      <c r="V84" s="46"/>
      <c r="W84" s="46"/>
      <c r="X84" s="46"/>
      <c r="Y84" s="46"/>
      <c r="Z84" s="46"/>
      <c r="AA84" s="46"/>
      <c r="AB84" s="46"/>
      <c r="AC84" s="46"/>
      <c r="AD84" s="46"/>
      <c r="AE84" s="46"/>
      <c r="AF84" s="156">
        <v>0</v>
      </c>
      <c r="AG84" s="49"/>
      <c r="AH84" s="49"/>
    </row>
    <row r="85" spans="1:34">
      <c r="A85" s="49" t="s">
        <v>169</v>
      </c>
      <c r="B85" s="46"/>
      <c r="C85" s="46"/>
      <c r="D85" s="46"/>
      <c r="E85" s="46"/>
      <c r="F85" s="46"/>
      <c r="G85" s="46"/>
      <c r="H85" s="46"/>
      <c r="I85" s="46"/>
      <c r="J85" s="46"/>
      <c r="K85" s="46"/>
      <c r="L85" s="46"/>
      <c r="M85" s="46"/>
      <c r="N85" s="46"/>
      <c r="O85" s="46"/>
      <c r="P85" s="46"/>
      <c r="Q85" s="46"/>
      <c r="R85" s="46"/>
      <c r="S85" s="46"/>
      <c r="T85" s="46"/>
      <c r="U85" s="46"/>
      <c r="V85" s="46"/>
      <c r="W85" s="46"/>
      <c r="X85" s="46"/>
      <c r="Y85" s="46"/>
      <c r="Z85" s="46"/>
      <c r="AA85" s="46"/>
      <c r="AB85" s="46"/>
      <c r="AC85" s="46"/>
      <c r="AD85" s="46"/>
      <c r="AE85" s="46"/>
      <c r="AF85" s="156">
        <v>0</v>
      </c>
      <c r="AG85" s="49"/>
      <c r="AH85" s="49"/>
    </row>
    <row r="86" spans="1:34">
      <c r="A86" s="49" t="s">
        <v>170</v>
      </c>
      <c r="B86" s="46"/>
      <c r="C86" s="46"/>
      <c r="D86" s="46"/>
      <c r="E86" s="46"/>
      <c r="F86" s="46"/>
      <c r="G86" s="46"/>
      <c r="H86" s="46"/>
      <c r="I86" s="46"/>
      <c r="J86" s="46"/>
      <c r="K86" s="46"/>
      <c r="L86" s="46"/>
      <c r="M86" s="46"/>
      <c r="N86" s="46"/>
      <c r="O86" s="46"/>
      <c r="P86" s="46"/>
      <c r="Q86" s="46"/>
      <c r="R86" s="46"/>
      <c r="S86" s="46"/>
      <c r="T86" s="46"/>
      <c r="U86" s="46"/>
      <c r="V86" s="46"/>
      <c r="W86" s="46"/>
      <c r="X86" s="46"/>
      <c r="Y86" s="46"/>
      <c r="Z86" s="46"/>
      <c r="AA86" s="46"/>
      <c r="AB86" s="46"/>
      <c r="AC86" s="46"/>
      <c r="AD86" s="46"/>
      <c r="AE86" s="46"/>
      <c r="AF86" s="156">
        <v>0</v>
      </c>
      <c r="AG86" s="49"/>
      <c r="AH86" s="49"/>
    </row>
    <row r="87" spans="1:34">
      <c r="A87" s="49" t="s">
        <v>438</v>
      </c>
      <c r="B87" s="46"/>
      <c r="C87" s="46"/>
      <c r="D87" s="46"/>
      <c r="E87" s="46"/>
      <c r="F87" s="46"/>
      <c r="G87" s="46"/>
      <c r="H87" s="46"/>
      <c r="I87" s="46"/>
      <c r="J87" s="46"/>
      <c r="K87" s="46"/>
      <c r="L87" s="46"/>
      <c r="M87" s="46"/>
      <c r="N87" s="46"/>
      <c r="O87" s="46"/>
      <c r="P87" s="46"/>
      <c r="Q87" s="46"/>
      <c r="R87" s="46"/>
      <c r="S87" s="46"/>
      <c r="T87" s="46"/>
      <c r="U87" s="46"/>
      <c r="V87" s="46"/>
      <c r="W87" s="46"/>
      <c r="X87" s="46"/>
      <c r="Y87" s="46"/>
      <c r="Z87" s="46"/>
      <c r="AA87" s="46"/>
      <c r="AB87" s="46"/>
      <c r="AC87" s="46"/>
      <c r="AD87" s="46"/>
      <c r="AE87" s="46"/>
      <c r="AF87" s="156">
        <v>0</v>
      </c>
      <c r="AG87" s="49"/>
      <c r="AH87" s="49"/>
    </row>
    <row r="88" spans="1:34" hidden="1">
      <c r="A88" s="49"/>
      <c r="B88" s="46"/>
      <c r="C88" s="46"/>
      <c r="D88" s="46"/>
      <c r="E88" s="46"/>
      <c r="F88" s="46"/>
      <c r="G88" s="46"/>
      <c r="H88" s="46"/>
      <c r="I88" s="46"/>
      <c r="J88" s="46"/>
      <c r="K88" s="46"/>
      <c r="L88" s="46"/>
      <c r="M88" s="46"/>
      <c r="N88" s="46"/>
      <c r="O88" s="46"/>
      <c r="P88" s="46"/>
      <c r="Q88" s="46"/>
      <c r="R88" s="46"/>
      <c r="S88" s="46"/>
      <c r="T88" s="46"/>
      <c r="U88" s="46"/>
      <c r="V88" s="46"/>
      <c r="W88" s="46"/>
      <c r="X88" s="46"/>
      <c r="Y88" s="46"/>
      <c r="Z88" s="46"/>
      <c r="AA88" s="46"/>
      <c r="AB88" s="46"/>
      <c r="AC88" s="46"/>
      <c r="AD88" s="46"/>
      <c r="AE88" s="46"/>
      <c r="AF88" s="156">
        <v>0</v>
      </c>
      <c r="AG88" s="49"/>
      <c r="AH88" s="49"/>
    </row>
    <row r="89" spans="1:34" hidden="1">
      <c r="A89" s="49"/>
      <c r="B89" s="46"/>
      <c r="C89" s="46"/>
      <c r="D89" s="46"/>
      <c r="E89" s="46"/>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156">
        <v>0</v>
      </c>
      <c r="AG89" s="49"/>
      <c r="AH89" s="49"/>
    </row>
    <row r="90" spans="1:34" hidden="1">
      <c r="A90" s="49"/>
      <c r="B90" s="46"/>
      <c r="C90" s="46"/>
      <c r="D90" s="46"/>
      <c r="E90" s="46"/>
      <c r="F90" s="46"/>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c r="AF90" s="156">
        <v>0</v>
      </c>
      <c r="AG90" s="49"/>
      <c r="AH90" s="49"/>
    </row>
    <row r="91" spans="1:34" hidden="1">
      <c r="A91" s="49"/>
      <c r="B91" s="46"/>
      <c r="C91" s="46"/>
      <c r="D91" s="46"/>
      <c r="E91" s="46"/>
      <c r="F91" s="46"/>
      <c r="G91" s="46"/>
      <c r="H91" s="46"/>
      <c r="I91" s="46"/>
      <c r="J91" s="46"/>
      <c r="K91" s="46"/>
      <c r="L91" s="46"/>
      <c r="M91" s="46"/>
      <c r="N91" s="46"/>
      <c r="O91" s="46"/>
      <c r="P91" s="46"/>
      <c r="Q91" s="46"/>
      <c r="R91" s="46"/>
      <c r="S91" s="46"/>
      <c r="T91" s="46"/>
      <c r="U91" s="46"/>
      <c r="V91" s="46"/>
      <c r="W91" s="46"/>
      <c r="X91" s="46"/>
      <c r="Y91" s="46"/>
      <c r="Z91" s="46"/>
      <c r="AA91" s="46"/>
      <c r="AB91" s="46"/>
      <c r="AC91" s="46"/>
      <c r="AD91" s="46"/>
      <c r="AE91" s="46"/>
      <c r="AF91" s="156">
        <v>0</v>
      </c>
      <c r="AG91" s="49"/>
      <c r="AH91" s="49"/>
    </row>
    <row r="92" spans="1:34" hidden="1">
      <c r="A92" s="49"/>
      <c r="B92" s="46"/>
      <c r="C92" s="46"/>
      <c r="D92" s="46"/>
      <c r="E92" s="46"/>
      <c r="F92" s="46"/>
      <c r="G92" s="46"/>
      <c r="H92" s="46"/>
      <c r="I92" s="46"/>
      <c r="J92" s="46"/>
      <c r="K92" s="46"/>
      <c r="L92" s="46"/>
      <c r="M92" s="46"/>
      <c r="N92" s="46"/>
      <c r="O92" s="46"/>
      <c r="P92" s="46"/>
      <c r="Q92" s="46"/>
      <c r="R92" s="46"/>
      <c r="S92" s="46"/>
      <c r="T92" s="46"/>
      <c r="U92" s="46"/>
      <c r="V92" s="46"/>
      <c r="W92" s="46"/>
      <c r="X92" s="46"/>
      <c r="Y92" s="46"/>
      <c r="Z92" s="46"/>
      <c r="AA92" s="46"/>
      <c r="AB92" s="46"/>
      <c r="AC92" s="46"/>
      <c r="AD92" s="46"/>
      <c r="AE92" s="46"/>
      <c r="AF92" s="156">
        <v>0</v>
      </c>
      <c r="AG92" s="49"/>
      <c r="AH92" s="49"/>
    </row>
    <row r="93" spans="1:34">
      <c r="A93" s="49" t="s">
        <v>111</v>
      </c>
      <c r="B93" s="46"/>
      <c r="C93" s="46"/>
      <c r="D93" s="46"/>
      <c r="E93" s="46"/>
      <c r="F93" s="46"/>
      <c r="G93" s="46"/>
      <c r="H93" s="46"/>
      <c r="I93" s="46"/>
      <c r="J93" s="46"/>
      <c r="K93" s="46"/>
      <c r="L93" s="46"/>
      <c r="M93" s="46"/>
      <c r="N93" s="46"/>
      <c r="O93" s="46"/>
      <c r="P93" s="46"/>
      <c r="Q93" s="46"/>
      <c r="R93" s="46"/>
      <c r="S93" s="46"/>
      <c r="T93" s="46"/>
      <c r="U93" s="46"/>
      <c r="V93" s="46"/>
      <c r="W93" s="46"/>
      <c r="X93" s="46"/>
      <c r="Y93" s="46"/>
      <c r="Z93" s="46"/>
      <c r="AA93" s="46"/>
      <c r="AB93" s="46"/>
      <c r="AC93" s="46"/>
      <c r="AD93" s="46"/>
      <c r="AE93" s="46"/>
      <c r="AF93" s="156">
        <v>0</v>
      </c>
      <c r="AG93" s="49"/>
      <c r="AH93" s="49"/>
    </row>
    <row r="94" spans="1:34">
      <c r="A94" s="49" t="s">
        <v>112</v>
      </c>
      <c r="B94" s="46"/>
      <c r="C94" s="46"/>
      <c r="D94" s="46"/>
      <c r="E94" s="46"/>
      <c r="F94" s="46"/>
      <c r="G94" s="46"/>
      <c r="H94" s="46"/>
      <c r="I94" s="46"/>
      <c r="J94" s="46"/>
      <c r="K94" s="46"/>
      <c r="L94" s="46"/>
      <c r="M94" s="46"/>
      <c r="N94" s="46"/>
      <c r="O94" s="46"/>
      <c r="P94" s="46"/>
      <c r="Q94" s="46"/>
      <c r="R94" s="46"/>
      <c r="S94" s="46"/>
      <c r="T94" s="46"/>
      <c r="U94" s="46"/>
      <c r="V94" s="46"/>
      <c r="W94" s="46"/>
      <c r="X94" s="46"/>
      <c r="Y94" s="46"/>
      <c r="Z94" s="46"/>
      <c r="AA94" s="46"/>
      <c r="AB94" s="46"/>
      <c r="AC94" s="46"/>
      <c r="AD94" s="46"/>
      <c r="AE94" s="46"/>
      <c r="AF94" s="156">
        <v>0</v>
      </c>
      <c r="AG94" s="49"/>
      <c r="AH94" s="49"/>
    </row>
    <row r="95" spans="1:34">
      <c r="A95" s="49" t="s">
        <v>113</v>
      </c>
      <c r="B95" s="46"/>
      <c r="C95" s="46"/>
      <c r="D95" s="46"/>
      <c r="E95" s="46"/>
      <c r="F95" s="46"/>
      <c r="G95" s="46"/>
      <c r="H95" s="46"/>
      <c r="I95" s="46"/>
      <c r="J95" s="46"/>
      <c r="K95" s="46"/>
      <c r="L95" s="46"/>
      <c r="M95" s="46"/>
      <c r="N95" s="46"/>
      <c r="O95" s="46"/>
      <c r="P95" s="46"/>
      <c r="Q95" s="46"/>
      <c r="R95" s="46"/>
      <c r="S95" s="46"/>
      <c r="T95" s="46"/>
      <c r="U95" s="46"/>
      <c r="V95" s="46"/>
      <c r="W95" s="46"/>
      <c r="X95" s="46"/>
      <c r="Y95" s="46"/>
      <c r="Z95" s="46"/>
      <c r="AA95" s="46"/>
      <c r="AB95" s="46"/>
      <c r="AC95" s="46"/>
      <c r="AD95" s="46"/>
      <c r="AE95" s="46"/>
      <c r="AF95" s="156">
        <v>0</v>
      </c>
      <c r="AG95" s="49"/>
      <c r="AH95" s="49"/>
    </row>
    <row r="96" spans="1:34">
      <c r="A96" s="49" t="s">
        <v>527</v>
      </c>
      <c r="B96" s="46"/>
      <c r="C96" s="46"/>
      <c r="D96" s="46"/>
      <c r="E96" s="46"/>
      <c r="F96" s="46"/>
      <c r="G96" s="46"/>
      <c r="H96" s="46"/>
      <c r="I96" s="46"/>
      <c r="J96" s="46"/>
      <c r="K96" s="46"/>
      <c r="L96" s="46"/>
      <c r="M96" s="46"/>
      <c r="N96" s="46"/>
      <c r="O96" s="46"/>
      <c r="P96" s="46"/>
      <c r="Q96" s="46"/>
      <c r="R96" s="46"/>
      <c r="S96" s="46"/>
      <c r="T96" s="46"/>
      <c r="U96" s="46"/>
      <c r="V96" s="46"/>
      <c r="W96" s="46"/>
      <c r="X96" s="46"/>
      <c r="Y96" s="46"/>
      <c r="Z96" s="46"/>
      <c r="AA96" s="46"/>
      <c r="AB96" s="46"/>
      <c r="AC96" s="46"/>
      <c r="AD96" s="46"/>
      <c r="AE96" s="46"/>
      <c r="AF96" s="156">
        <v>0</v>
      </c>
      <c r="AG96" s="49"/>
      <c r="AH96" s="49"/>
    </row>
    <row r="97" spans="1:34">
      <c r="A97" s="49" t="s">
        <v>114</v>
      </c>
      <c r="B97" s="46"/>
      <c r="C97" s="46"/>
      <c r="D97" s="46"/>
      <c r="E97" s="46"/>
      <c r="F97" s="46"/>
      <c r="G97" s="46"/>
      <c r="H97" s="46"/>
      <c r="I97" s="46"/>
      <c r="J97" s="46"/>
      <c r="K97" s="46"/>
      <c r="L97" s="46"/>
      <c r="M97" s="46"/>
      <c r="N97" s="46"/>
      <c r="O97" s="46"/>
      <c r="P97" s="46"/>
      <c r="Q97" s="46"/>
      <c r="R97" s="46"/>
      <c r="S97" s="46"/>
      <c r="T97" s="46"/>
      <c r="U97" s="46"/>
      <c r="V97" s="46"/>
      <c r="W97" s="46"/>
      <c r="X97" s="46"/>
      <c r="Y97" s="46"/>
      <c r="Z97" s="46"/>
      <c r="AA97" s="46"/>
      <c r="AB97" s="46"/>
      <c r="AC97" s="46"/>
      <c r="AD97" s="46"/>
      <c r="AE97" s="46"/>
      <c r="AF97" s="156">
        <v>0</v>
      </c>
      <c r="AG97" s="49"/>
      <c r="AH97" s="49"/>
    </row>
    <row r="98" spans="1:34">
      <c r="A98" s="49" t="s">
        <v>441</v>
      </c>
      <c r="B98" s="46"/>
      <c r="C98" s="46"/>
      <c r="D98" s="46"/>
      <c r="E98" s="46"/>
      <c r="F98" s="46"/>
      <c r="G98" s="46"/>
      <c r="H98" s="46"/>
      <c r="I98" s="46"/>
      <c r="J98" s="46"/>
      <c r="K98" s="46"/>
      <c r="L98" s="46"/>
      <c r="M98" s="46"/>
      <c r="N98" s="46"/>
      <c r="O98" s="46"/>
      <c r="P98" s="46"/>
      <c r="Q98" s="46"/>
      <c r="R98" s="46"/>
      <c r="S98" s="46"/>
      <c r="T98" s="46"/>
      <c r="U98" s="46"/>
      <c r="V98" s="46"/>
      <c r="W98" s="46"/>
      <c r="X98" s="46"/>
      <c r="Y98" s="46"/>
      <c r="Z98" s="46"/>
      <c r="AA98" s="46"/>
      <c r="AB98" s="46"/>
      <c r="AC98" s="46"/>
      <c r="AD98" s="46"/>
      <c r="AE98" s="46"/>
      <c r="AF98" s="156">
        <v>0</v>
      </c>
      <c r="AG98" s="49"/>
      <c r="AH98" s="49"/>
    </row>
    <row r="99" spans="1:34">
      <c r="A99" s="49" t="s">
        <v>433</v>
      </c>
      <c r="B99" s="46"/>
      <c r="C99" s="46"/>
      <c r="D99" s="46"/>
      <c r="E99" s="46"/>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156">
        <v>0</v>
      </c>
      <c r="AG99" s="49"/>
      <c r="AH99" s="49"/>
    </row>
    <row r="100" spans="1:34">
      <c r="A100" s="49" t="s">
        <v>434</v>
      </c>
      <c r="B100" s="46"/>
      <c r="C100" s="46"/>
      <c r="D100" s="46"/>
      <c r="E100" s="46"/>
      <c r="F100" s="46"/>
      <c r="G100" s="46"/>
      <c r="H100" s="46"/>
      <c r="I100" s="46"/>
      <c r="J100" s="46"/>
      <c r="K100" s="46"/>
      <c r="L100" s="46"/>
      <c r="M100" s="46"/>
      <c r="N100" s="46"/>
      <c r="O100" s="46"/>
      <c r="P100" s="46"/>
      <c r="Q100" s="46"/>
      <c r="R100" s="46"/>
      <c r="S100" s="46"/>
      <c r="T100" s="46"/>
      <c r="U100" s="46"/>
      <c r="V100" s="46"/>
      <c r="W100" s="46"/>
      <c r="X100" s="46"/>
      <c r="Y100" s="46"/>
      <c r="Z100" s="46"/>
      <c r="AA100" s="46"/>
      <c r="AB100" s="46"/>
      <c r="AC100" s="46"/>
      <c r="AD100" s="46"/>
      <c r="AE100" s="46"/>
      <c r="AF100" s="156">
        <v>0</v>
      </c>
      <c r="AG100" s="49"/>
      <c r="AH100" s="49"/>
    </row>
    <row r="101" spans="1:34" ht="14.1" hidden="1" customHeight="1">
      <c r="A101" s="49"/>
      <c r="B101" s="46"/>
      <c r="C101" s="46"/>
      <c r="D101" s="46"/>
      <c r="E101" s="46"/>
      <c r="F101" s="46"/>
      <c r="G101" s="46"/>
      <c r="H101" s="46"/>
      <c r="I101" s="46"/>
      <c r="J101" s="46"/>
      <c r="K101" s="46"/>
      <c r="L101" s="46"/>
      <c r="M101" s="46"/>
      <c r="N101" s="46"/>
      <c r="O101" s="46"/>
      <c r="P101" s="46"/>
      <c r="Q101" s="46"/>
      <c r="R101" s="46"/>
      <c r="S101" s="46"/>
      <c r="T101" s="46"/>
      <c r="U101" s="46"/>
      <c r="V101" s="46"/>
      <c r="W101" s="46"/>
      <c r="X101" s="46"/>
      <c r="Y101" s="46"/>
      <c r="Z101" s="46"/>
      <c r="AA101" s="46"/>
      <c r="AB101" s="46"/>
      <c r="AC101" s="46"/>
      <c r="AD101" s="46"/>
      <c r="AE101" s="46"/>
      <c r="AF101" s="156">
        <v>0</v>
      </c>
      <c r="AG101" s="49"/>
      <c r="AH101" s="49"/>
    </row>
    <row r="102" spans="1:34" hidden="1">
      <c r="A102" s="49"/>
      <c r="B102" s="46"/>
      <c r="C102" s="46"/>
      <c r="D102" s="46"/>
      <c r="E102" s="46"/>
      <c r="F102" s="46"/>
      <c r="G102" s="46"/>
      <c r="H102" s="46"/>
      <c r="I102" s="46"/>
      <c r="J102" s="46"/>
      <c r="K102" s="46"/>
      <c r="L102" s="46"/>
      <c r="M102" s="46"/>
      <c r="N102" s="46"/>
      <c r="O102" s="46"/>
      <c r="P102" s="46"/>
      <c r="Q102" s="46"/>
      <c r="R102" s="46"/>
      <c r="S102" s="46"/>
      <c r="T102" s="46"/>
      <c r="U102" s="46"/>
      <c r="V102" s="46"/>
      <c r="W102" s="46"/>
      <c r="X102" s="46"/>
      <c r="Y102" s="46"/>
      <c r="Z102" s="46"/>
      <c r="AA102" s="46"/>
      <c r="AB102" s="46"/>
      <c r="AC102" s="46"/>
      <c r="AD102" s="46"/>
      <c r="AE102" s="46"/>
      <c r="AF102" s="156">
        <v>0</v>
      </c>
      <c r="AG102" s="49"/>
      <c r="AH102" s="49"/>
    </row>
    <row r="103" spans="1:34">
      <c r="A103" s="49" t="s">
        <v>115</v>
      </c>
      <c r="B103" s="46"/>
      <c r="C103" s="46"/>
      <c r="D103" s="46"/>
      <c r="E103" s="46"/>
      <c r="F103" s="46"/>
      <c r="G103" s="46"/>
      <c r="H103" s="46"/>
      <c r="I103" s="46"/>
      <c r="J103" s="46"/>
      <c r="K103" s="46"/>
      <c r="L103" s="46"/>
      <c r="M103" s="46"/>
      <c r="N103" s="46"/>
      <c r="O103" s="46"/>
      <c r="P103" s="46"/>
      <c r="Q103" s="46"/>
      <c r="R103" s="46"/>
      <c r="S103" s="46"/>
      <c r="T103" s="46"/>
      <c r="U103" s="46"/>
      <c r="V103" s="46"/>
      <c r="W103" s="46"/>
      <c r="X103" s="46"/>
      <c r="Y103" s="46"/>
      <c r="Z103" s="46"/>
      <c r="AA103" s="46"/>
      <c r="AB103" s="46"/>
      <c r="AC103" s="46"/>
      <c r="AD103" s="46"/>
      <c r="AE103" s="46"/>
      <c r="AF103" s="156">
        <v>0</v>
      </c>
      <c r="AG103" s="49"/>
      <c r="AH103" s="49"/>
    </row>
    <row r="104" spans="1:34">
      <c r="A104" s="49" t="s">
        <v>116</v>
      </c>
      <c r="B104" s="46"/>
      <c r="C104" s="46"/>
      <c r="D104" s="46"/>
      <c r="E104" s="46"/>
      <c r="F104" s="46"/>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156">
        <v>0</v>
      </c>
      <c r="AG104" s="49"/>
      <c r="AH104" s="49"/>
    </row>
    <row r="105" spans="1:34">
      <c r="A105" s="49" t="s">
        <v>117</v>
      </c>
      <c r="B105" s="46"/>
      <c r="C105" s="46"/>
      <c r="D105" s="46"/>
      <c r="E105" s="46"/>
      <c r="F105" s="46"/>
      <c r="G105" s="46"/>
      <c r="H105" s="46"/>
      <c r="I105" s="46"/>
      <c r="J105" s="46"/>
      <c r="K105" s="46"/>
      <c r="L105" s="46"/>
      <c r="M105" s="46"/>
      <c r="N105" s="46"/>
      <c r="O105" s="46"/>
      <c r="P105" s="46"/>
      <c r="Q105" s="46"/>
      <c r="R105" s="46"/>
      <c r="S105" s="46"/>
      <c r="T105" s="46"/>
      <c r="U105" s="46"/>
      <c r="V105" s="46"/>
      <c r="W105" s="46"/>
      <c r="X105" s="46"/>
      <c r="Y105" s="46"/>
      <c r="Z105" s="46"/>
      <c r="AA105" s="46"/>
      <c r="AB105" s="46"/>
      <c r="AC105" s="46"/>
      <c r="AD105" s="46"/>
      <c r="AE105" s="46"/>
      <c r="AF105" s="156">
        <v>0</v>
      </c>
      <c r="AG105" s="49"/>
      <c r="AH105" s="49"/>
    </row>
    <row r="106" spans="1:34">
      <c r="A106" s="49" t="s">
        <v>528</v>
      </c>
      <c r="B106" s="46"/>
      <c r="C106" s="46"/>
      <c r="D106" s="46"/>
      <c r="E106" s="46"/>
      <c r="F106" s="46"/>
      <c r="G106" s="46"/>
      <c r="H106" s="46"/>
      <c r="I106" s="46"/>
      <c r="J106" s="46"/>
      <c r="K106" s="46"/>
      <c r="L106" s="46"/>
      <c r="M106" s="46"/>
      <c r="N106" s="46"/>
      <c r="O106" s="46"/>
      <c r="P106" s="46"/>
      <c r="Q106" s="46"/>
      <c r="R106" s="46"/>
      <c r="S106" s="46"/>
      <c r="T106" s="46"/>
      <c r="U106" s="46"/>
      <c r="V106" s="46"/>
      <c r="W106" s="46"/>
      <c r="X106" s="46"/>
      <c r="Y106" s="46"/>
      <c r="Z106" s="46"/>
      <c r="AA106" s="46"/>
      <c r="AB106" s="46"/>
      <c r="AC106" s="46"/>
      <c r="AD106" s="46"/>
      <c r="AE106" s="46"/>
      <c r="AF106" s="156">
        <v>0</v>
      </c>
      <c r="AG106" s="49"/>
      <c r="AH106" s="49"/>
    </row>
    <row r="107" spans="1:34">
      <c r="A107" s="49" t="s">
        <v>118</v>
      </c>
      <c r="B107" s="46"/>
      <c r="C107" s="46"/>
      <c r="D107" s="46"/>
      <c r="E107" s="46"/>
      <c r="F107" s="46"/>
      <c r="G107" s="46"/>
      <c r="H107" s="46"/>
      <c r="I107" s="46"/>
      <c r="J107" s="46"/>
      <c r="K107" s="46"/>
      <c r="L107" s="46"/>
      <c r="M107" s="46"/>
      <c r="N107" s="46"/>
      <c r="O107" s="46"/>
      <c r="P107" s="46"/>
      <c r="Q107" s="46"/>
      <c r="R107" s="46"/>
      <c r="S107" s="46"/>
      <c r="T107" s="46"/>
      <c r="U107" s="46"/>
      <c r="V107" s="46"/>
      <c r="W107" s="46"/>
      <c r="X107" s="46"/>
      <c r="Y107" s="46"/>
      <c r="Z107" s="46"/>
      <c r="AA107" s="46"/>
      <c r="AB107" s="46"/>
      <c r="AC107" s="46"/>
      <c r="AD107" s="46"/>
      <c r="AE107" s="46"/>
      <c r="AF107" s="156">
        <v>0</v>
      </c>
      <c r="AG107" s="49"/>
      <c r="AH107" s="49"/>
    </row>
    <row r="108" spans="1:34">
      <c r="A108" s="49" t="s">
        <v>119</v>
      </c>
      <c r="B108" s="46"/>
      <c r="C108" s="46"/>
      <c r="D108" s="46"/>
      <c r="E108" s="46"/>
      <c r="F108" s="46"/>
      <c r="G108" s="46"/>
      <c r="H108" s="46"/>
      <c r="I108" s="46"/>
      <c r="J108" s="46"/>
      <c r="K108" s="46"/>
      <c r="L108" s="46"/>
      <c r="M108" s="46"/>
      <c r="N108" s="46"/>
      <c r="O108" s="46"/>
      <c r="P108" s="46"/>
      <c r="Q108" s="46"/>
      <c r="R108" s="46"/>
      <c r="S108" s="46"/>
      <c r="T108" s="46"/>
      <c r="U108" s="46"/>
      <c r="V108" s="46"/>
      <c r="W108" s="46"/>
      <c r="X108" s="46"/>
      <c r="Y108" s="46"/>
      <c r="Z108" s="46"/>
      <c r="AA108" s="46"/>
      <c r="AB108" s="46"/>
      <c r="AC108" s="46"/>
      <c r="AD108" s="46"/>
      <c r="AE108" s="46"/>
      <c r="AF108" s="156">
        <v>0</v>
      </c>
      <c r="AG108" s="49"/>
      <c r="AH108" s="49"/>
    </row>
    <row r="109" spans="1:34">
      <c r="A109" s="49" t="s">
        <v>120</v>
      </c>
      <c r="B109" s="46"/>
      <c r="C109" s="46"/>
      <c r="D109" s="46"/>
      <c r="E109" s="46"/>
      <c r="F109" s="46"/>
      <c r="G109" s="46"/>
      <c r="H109" s="46"/>
      <c r="I109" s="46"/>
      <c r="J109" s="46"/>
      <c r="K109" s="46"/>
      <c r="L109" s="46"/>
      <c r="M109" s="46"/>
      <c r="N109" s="46"/>
      <c r="O109" s="46"/>
      <c r="P109" s="46"/>
      <c r="Q109" s="46"/>
      <c r="R109" s="46"/>
      <c r="S109" s="46"/>
      <c r="T109" s="46"/>
      <c r="U109" s="46"/>
      <c r="V109" s="46"/>
      <c r="W109" s="46"/>
      <c r="X109" s="46"/>
      <c r="Y109" s="46"/>
      <c r="Z109" s="46"/>
      <c r="AA109" s="46"/>
      <c r="AB109" s="46"/>
      <c r="AC109" s="46"/>
      <c r="AD109" s="46"/>
      <c r="AE109" s="46"/>
      <c r="AF109" s="156">
        <v>0</v>
      </c>
      <c r="AG109" s="49"/>
      <c r="AH109" s="49"/>
    </row>
    <row r="110" spans="1:34">
      <c r="A110" s="49" t="s">
        <v>435</v>
      </c>
      <c r="B110" s="46"/>
      <c r="C110" s="46"/>
      <c r="D110" s="46"/>
      <c r="E110" s="46"/>
      <c r="F110" s="46"/>
      <c r="G110" s="46"/>
      <c r="H110" s="46"/>
      <c r="I110" s="46"/>
      <c r="J110" s="46"/>
      <c r="K110" s="46"/>
      <c r="L110" s="46"/>
      <c r="M110" s="46"/>
      <c r="N110" s="46"/>
      <c r="O110" s="46"/>
      <c r="P110" s="46"/>
      <c r="Q110" s="46"/>
      <c r="R110" s="46"/>
      <c r="S110" s="46"/>
      <c r="T110" s="46"/>
      <c r="U110" s="46"/>
      <c r="V110" s="46"/>
      <c r="W110" s="46"/>
      <c r="X110" s="46"/>
      <c r="Y110" s="46"/>
      <c r="Z110" s="46"/>
      <c r="AA110" s="46"/>
      <c r="AB110" s="46"/>
      <c r="AC110" s="46"/>
      <c r="AD110" s="46"/>
      <c r="AE110" s="46"/>
      <c r="AF110" s="156">
        <v>0</v>
      </c>
      <c r="AG110" s="49"/>
      <c r="AH110" s="49"/>
    </row>
    <row r="111" spans="1:34">
      <c r="A111" s="49" t="s">
        <v>436</v>
      </c>
      <c r="B111" s="46"/>
      <c r="C111" s="46"/>
      <c r="D111" s="46"/>
      <c r="E111" s="46"/>
      <c r="F111" s="46"/>
      <c r="G111" s="46"/>
      <c r="H111" s="46"/>
      <c r="I111" s="46"/>
      <c r="J111" s="46"/>
      <c r="K111" s="46"/>
      <c r="L111" s="46"/>
      <c r="M111" s="46"/>
      <c r="N111" s="46"/>
      <c r="O111" s="46"/>
      <c r="P111" s="46"/>
      <c r="Q111" s="46"/>
      <c r="R111" s="46"/>
      <c r="S111" s="46"/>
      <c r="T111" s="46"/>
      <c r="U111" s="46"/>
      <c r="V111" s="46"/>
      <c r="W111" s="46"/>
      <c r="X111" s="46"/>
      <c r="Y111" s="46"/>
      <c r="Z111" s="46"/>
      <c r="AA111" s="46"/>
      <c r="AB111" s="46"/>
      <c r="AC111" s="46"/>
      <c r="AD111" s="46"/>
      <c r="AE111" s="46"/>
      <c r="AF111" s="156">
        <v>0</v>
      </c>
      <c r="AG111" s="49"/>
      <c r="AH111" s="49"/>
    </row>
    <row r="112" spans="1:34" ht="14.1" hidden="1" customHeight="1">
      <c r="A112" s="156"/>
      <c r="B112" s="156">
        <v>0</v>
      </c>
      <c r="C112" s="156">
        <v>0</v>
      </c>
      <c r="D112" s="156">
        <v>0</v>
      </c>
      <c r="E112" s="156">
        <v>0</v>
      </c>
      <c r="F112" s="156">
        <v>0</v>
      </c>
      <c r="G112" s="156">
        <v>0</v>
      </c>
      <c r="H112" s="156">
        <v>0</v>
      </c>
      <c r="I112" s="156">
        <v>0</v>
      </c>
      <c r="J112" s="156">
        <v>0</v>
      </c>
      <c r="K112" s="156">
        <v>0</v>
      </c>
      <c r="L112" s="156">
        <v>0</v>
      </c>
      <c r="M112" s="156">
        <v>0</v>
      </c>
      <c r="N112" s="156">
        <v>0</v>
      </c>
      <c r="O112" s="156">
        <v>0</v>
      </c>
      <c r="P112" s="156">
        <v>0</v>
      </c>
      <c r="Q112" s="156">
        <v>0</v>
      </c>
      <c r="R112" s="156">
        <v>0</v>
      </c>
      <c r="S112" s="156">
        <v>0</v>
      </c>
      <c r="T112" s="156">
        <v>0</v>
      </c>
      <c r="U112" s="156">
        <v>0</v>
      </c>
      <c r="V112" s="156">
        <v>0</v>
      </c>
      <c r="W112" s="156">
        <v>0</v>
      </c>
      <c r="X112" s="156">
        <v>0</v>
      </c>
      <c r="Y112" s="156">
        <v>0</v>
      </c>
      <c r="Z112" s="156">
        <v>0</v>
      </c>
      <c r="AA112" s="156">
        <v>0</v>
      </c>
      <c r="AB112" s="156">
        <v>0</v>
      </c>
      <c r="AC112" s="156">
        <v>0</v>
      </c>
      <c r="AD112" s="156">
        <v>0</v>
      </c>
      <c r="AE112" s="156">
        <v>0</v>
      </c>
      <c r="AF112" s="156">
        <v>0</v>
      </c>
      <c r="AG112" s="49"/>
      <c r="AH112" s="49"/>
    </row>
    <row r="113" spans="1:34">
      <c r="A113" s="49"/>
      <c r="B113" s="49"/>
      <c r="C113" s="49"/>
      <c r="D113" s="49"/>
      <c r="E113" s="49"/>
      <c r="F113" s="49"/>
      <c r="G113" s="49"/>
      <c r="H113" s="49"/>
      <c r="I113" s="49"/>
      <c r="J113" s="49"/>
      <c r="K113" s="49"/>
      <c r="L113" s="49"/>
      <c r="M113" s="49"/>
      <c r="N113" s="49"/>
      <c r="O113" s="49"/>
      <c r="P113" s="49"/>
      <c r="Q113" s="49"/>
      <c r="R113" s="49"/>
      <c r="S113" s="49"/>
      <c r="T113" s="49"/>
      <c r="U113" s="49"/>
      <c r="V113" s="49"/>
      <c r="W113" s="49"/>
      <c r="X113" s="49"/>
      <c r="Y113" s="49"/>
      <c r="Z113" s="49"/>
      <c r="AA113" s="49"/>
      <c r="AB113" s="49"/>
      <c r="AC113" s="49"/>
      <c r="AD113" s="49"/>
      <c r="AE113" s="49"/>
      <c r="AF113" s="49"/>
      <c r="AG113" s="49"/>
      <c r="AH113" s="49"/>
    </row>
    <row r="114" spans="1:34" hidden="1">
      <c r="A114" s="49"/>
      <c r="B114" s="49"/>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c r="AA114" s="49"/>
      <c r="AB114" s="49"/>
      <c r="AC114" s="49"/>
      <c r="AD114" s="49"/>
      <c r="AE114" s="49"/>
      <c r="AF114" s="49"/>
      <c r="AG114" s="49"/>
      <c r="AH114" s="49"/>
    </row>
    <row r="115" spans="1:34" hidden="1">
      <c r="A115" s="49"/>
      <c r="B115" s="49"/>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c r="AA115" s="49"/>
      <c r="AB115" s="49"/>
      <c r="AC115" s="49"/>
      <c r="AD115" s="49"/>
      <c r="AE115" s="49"/>
      <c r="AF115" s="49"/>
      <c r="AG115" s="49"/>
      <c r="AH115" s="49"/>
    </row>
    <row r="116" spans="1:34" hidden="1">
      <c r="A116" s="49"/>
      <c r="B116" s="49"/>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c r="AA116" s="49"/>
      <c r="AB116" s="49"/>
      <c r="AC116" s="49"/>
      <c r="AD116" s="49"/>
      <c r="AE116" s="49"/>
      <c r="AF116" s="49"/>
      <c r="AG116" s="49"/>
      <c r="AH116" s="49"/>
    </row>
    <row r="117" spans="1:34" hidden="1">
      <c r="A117" s="49"/>
      <c r="B117" s="49"/>
      <c r="C117" s="49"/>
      <c r="D117" s="49"/>
      <c r="E117" s="49"/>
      <c r="F117" s="49"/>
      <c r="G117" s="49"/>
      <c r="H117" s="49"/>
      <c r="I117" s="49"/>
      <c r="J117" s="49"/>
      <c r="K117" s="49"/>
      <c r="L117" s="49"/>
      <c r="M117" s="49"/>
      <c r="N117" s="49"/>
      <c r="O117" s="49"/>
      <c r="P117" s="49"/>
      <c r="Q117" s="49"/>
      <c r="R117" s="49"/>
      <c r="S117" s="49"/>
      <c r="T117" s="49"/>
      <c r="U117" s="49"/>
      <c r="V117" s="49"/>
      <c r="W117" s="49"/>
      <c r="X117" s="49"/>
      <c r="Y117" s="49"/>
      <c r="Z117" s="49"/>
      <c r="AA117" s="49"/>
      <c r="AB117" s="49"/>
      <c r="AC117" s="49"/>
      <c r="AD117" s="49"/>
      <c r="AE117" s="49"/>
      <c r="AF117" s="49"/>
      <c r="AG117" s="49"/>
      <c r="AH117" s="49"/>
    </row>
    <row r="118" spans="1:34" hidden="1">
      <c r="A118" s="49"/>
      <c r="B118" s="49"/>
      <c r="C118" s="49"/>
      <c r="D118" s="49"/>
      <c r="E118" s="49"/>
      <c r="F118" s="49"/>
      <c r="G118" s="49"/>
      <c r="H118" s="49"/>
      <c r="I118" s="49"/>
      <c r="J118" s="49"/>
      <c r="K118" s="49"/>
      <c r="L118" s="49"/>
      <c r="M118" s="49"/>
      <c r="N118" s="49"/>
      <c r="O118" s="49"/>
      <c r="P118" s="49"/>
      <c r="Q118" s="49"/>
      <c r="R118" s="49"/>
      <c r="S118" s="49"/>
      <c r="T118" s="49"/>
      <c r="U118" s="49"/>
      <c r="V118" s="49"/>
      <c r="W118" s="49"/>
      <c r="X118" s="49"/>
      <c r="Y118" s="49"/>
      <c r="Z118" s="49"/>
      <c r="AA118" s="49"/>
      <c r="AB118" s="49"/>
      <c r="AC118" s="49"/>
      <c r="AD118" s="49"/>
      <c r="AE118" s="49"/>
      <c r="AF118" s="49"/>
      <c r="AG118" s="49"/>
      <c r="AH118" s="49"/>
    </row>
    <row r="119" spans="1:34" hidden="1">
      <c r="A119" s="49"/>
      <c r="B119" s="49"/>
      <c r="C119" s="49"/>
      <c r="D119" s="49"/>
      <c r="E119" s="49"/>
      <c r="F119" s="49"/>
      <c r="G119" s="49"/>
      <c r="H119" s="49"/>
      <c r="I119" s="49"/>
      <c r="J119" s="49"/>
      <c r="K119" s="49"/>
      <c r="L119" s="49"/>
      <c r="M119" s="49"/>
      <c r="N119" s="49"/>
      <c r="O119" s="49"/>
      <c r="P119" s="49"/>
      <c r="Q119" s="49"/>
      <c r="R119" s="49"/>
      <c r="S119" s="49"/>
      <c r="T119" s="49"/>
      <c r="U119" s="49"/>
      <c r="V119" s="49"/>
      <c r="W119" s="49"/>
      <c r="X119" s="49"/>
      <c r="Y119" s="49"/>
      <c r="Z119" s="49"/>
      <c r="AA119" s="49"/>
      <c r="AB119" s="49"/>
      <c r="AC119" s="49"/>
      <c r="AD119" s="49"/>
      <c r="AE119" s="49"/>
      <c r="AF119" s="49"/>
      <c r="AG119" s="49"/>
      <c r="AH119" s="49"/>
    </row>
    <row r="120" spans="1:34" hidden="1">
      <c r="A120" s="49"/>
      <c r="B120" s="49"/>
      <c r="C120" s="49"/>
      <c r="D120" s="49"/>
      <c r="E120" s="49"/>
      <c r="F120" s="49"/>
      <c r="G120" s="49"/>
      <c r="H120" s="49"/>
      <c r="I120" s="49"/>
      <c r="J120" s="49"/>
      <c r="K120" s="49"/>
      <c r="L120" s="49"/>
      <c r="M120" s="49"/>
      <c r="N120" s="49"/>
      <c r="O120" s="49"/>
      <c r="P120" s="49"/>
      <c r="Q120" s="49"/>
      <c r="R120" s="49"/>
      <c r="S120" s="49"/>
      <c r="T120" s="49"/>
      <c r="U120" s="49"/>
      <c r="V120" s="49"/>
      <c r="W120" s="49"/>
      <c r="X120" s="49"/>
      <c r="Y120" s="49"/>
      <c r="Z120" s="49"/>
      <c r="AA120" s="49"/>
      <c r="AB120" s="49"/>
      <c r="AC120" s="49"/>
      <c r="AD120" s="49"/>
      <c r="AE120" s="49"/>
      <c r="AF120" s="49"/>
      <c r="AG120" s="49"/>
      <c r="AH120" s="49"/>
    </row>
    <row r="121" spans="1:34">
      <c r="A121" s="115" t="s">
        <v>720</v>
      </c>
      <c r="B121" s="49" t="s">
        <v>571</v>
      </c>
      <c r="C121" s="49" t="s">
        <v>31</v>
      </c>
      <c r="D121" s="49" t="s">
        <v>168</v>
      </c>
      <c r="E121" s="49" t="s">
        <v>169</v>
      </c>
      <c r="F121" s="49" t="s">
        <v>170</v>
      </c>
      <c r="G121" s="49" t="s">
        <v>438</v>
      </c>
      <c r="H121" s="49"/>
      <c r="I121" s="49"/>
      <c r="J121" s="49"/>
      <c r="K121" s="49"/>
      <c r="L121" s="49"/>
      <c r="M121" s="49" t="s">
        <v>111</v>
      </c>
      <c r="N121" s="49" t="s">
        <v>112</v>
      </c>
      <c r="O121" s="49" t="s">
        <v>113</v>
      </c>
      <c r="P121" s="49" t="s">
        <v>527</v>
      </c>
      <c r="Q121" s="49" t="s">
        <v>114</v>
      </c>
      <c r="R121" s="49" t="s">
        <v>441</v>
      </c>
      <c r="S121" s="49" t="s">
        <v>433</v>
      </c>
      <c r="T121" s="49" t="s">
        <v>434</v>
      </c>
      <c r="U121" s="49"/>
      <c r="V121" s="49"/>
      <c r="W121" s="49" t="s">
        <v>115</v>
      </c>
      <c r="X121" s="49" t="s">
        <v>116</v>
      </c>
      <c r="Y121" s="49" t="s">
        <v>117</v>
      </c>
      <c r="Z121" s="49" t="s">
        <v>528</v>
      </c>
      <c r="AA121" s="49" t="s">
        <v>118</v>
      </c>
      <c r="AB121" s="49" t="s">
        <v>119</v>
      </c>
      <c r="AC121" s="49" t="s">
        <v>120</v>
      </c>
      <c r="AD121" s="49" t="s">
        <v>435</v>
      </c>
      <c r="AE121" s="49" t="s">
        <v>436</v>
      </c>
      <c r="AF121" s="156"/>
      <c r="AG121" s="49"/>
      <c r="AH121" s="49"/>
    </row>
    <row r="122" spans="1:34">
      <c r="A122" s="49" t="s">
        <v>721</v>
      </c>
      <c r="B122" s="46"/>
      <c r="C122" s="201"/>
      <c r="D122" s="201"/>
      <c r="E122" s="201"/>
      <c r="F122" s="201"/>
      <c r="G122" s="201"/>
      <c r="H122" s="201"/>
      <c r="I122" s="201"/>
      <c r="J122" s="201"/>
      <c r="K122" s="201"/>
      <c r="L122" s="201"/>
      <c r="M122" s="201"/>
      <c r="N122" s="201"/>
      <c r="O122" s="201"/>
      <c r="P122" s="201"/>
      <c r="Q122" s="201"/>
      <c r="R122" s="201"/>
      <c r="S122" s="201"/>
      <c r="T122" s="201"/>
      <c r="U122" s="201"/>
      <c r="V122" s="201"/>
      <c r="W122" s="201"/>
      <c r="X122" s="201"/>
      <c r="Y122" s="201"/>
      <c r="Z122" s="201"/>
      <c r="AA122" s="201"/>
      <c r="AB122" s="201"/>
      <c r="AC122" s="201"/>
      <c r="AD122" s="201"/>
      <c r="AE122" s="201"/>
      <c r="AF122" s="156">
        <v>0</v>
      </c>
      <c r="AG122" s="49"/>
      <c r="AH122" s="49"/>
    </row>
    <row r="123" spans="1:34">
      <c r="A123" s="49" t="s">
        <v>31</v>
      </c>
      <c r="B123" s="46"/>
      <c r="C123" s="201"/>
      <c r="D123" s="46"/>
      <c r="E123" s="46"/>
      <c r="F123" s="46"/>
      <c r="G123" s="46"/>
      <c r="H123" s="46"/>
      <c r="I123" s="46"/>
      <c r="J123" s="46"/>
      <c r="K123" s="46"/>
      <c r="L123" s="46"/>
      <c r="M123" s="46"/>
      <c r="N123" s="46"/>
      <c r="O123" s="46"/>
      <c r="P123" s="46"/>
      <c r="Q123" s="46"/>
      <c r="R123" s="46"/>
      <c r="S123" s="46"/>
      <c r="T123" s="46"/>
      <c r="U123" s="46"/>
      <c r="V123" s="46"/>
      <c r="W123" s="46"/>
      <c r="X123" s="46"/>
      <c r="Y123" s="46"/>
      <c r="Z123" s="46"/>
      <c r="AA123" s="46"/>
      <c r="AB123" s="46"/>
      <c r="AC123" s="46"/>
      <c r="AD123" s="46"/>
      <c r="AE123" s="46"/>
      <c r="AF123" s="156">
        <v>0</v>
      </c>
      <c r="AG123" s="49"/>
      <c r="AH123" s="49"/>
    </row>
    <row r="124" spans="1:34">
      <c r="A124" s="49" t="s">
        <v>168</v>
      </c>
      <c r="B124" s="46"/>
      <c r="C124" s="46"/>
      <c r="D124" s="201"/>
      <c r="E124" s="46"/>
      <c r="F124" s="46"/>
      <c r="G124" s="46"/>
      <c r="H124" s="46"/>
      <c r="I124" s="46"/>
      <c r="J124" s="46"/>
      <c r="K124" s="46"/>
      <c r="L124" s="46"/>
      <c r="M124" s="46"/>
      <c r="N124" s="46"/>
      <c r="O124" s="46"/>
      <c r="P124" s="46"/>
      <c r="Q124" s="46"/>
      <c r="R124" s="46"/>
      <c r="S124" s="46"/>
      <c r="T124" s="46"/>
      <c r="U124" s="46"/>
      <c r="V124" s="46"/>
      <c r="W124" s="46"/>
      <c r="X124" s="46"/>
      <c r="Y124" s="46"/>
      <c r="Z124" s="46"/>
      <c r="AA124" s="46"/>
      <c r="AB124" s="46"/>
      <c r="AC124" s="46"/>
      <c r="AD124" s="46"/>
      <c r="AE124" s="46"/>
      <c r="AF124" s="156">
        <v>0</v>
      </c>
      <c r="AG124" s="49"/>
      <c r="AH124" s="49"/>
    </row>
    <row r="125" spans="1:34">
      <c r="A125" s="49" t="s">
        <v>169</v>
      </c>
      <c r="B125" s="46"/>
      <c r="C125" s="46"/>
      <c r="D125" s="46"/>
      <c r="E125" s="201"/>
      <c r="F125" s="46"/>
      <c r="G125" s="46"/>
      <c r="H125" s="46"/>
      <c r="I125" s="46"/>
      <c r="J125" s="46"/>
      <c r="K125" s="46"/>
      <c r="L125" s="46"/>
      <c r="M125" s="46"/>
      <c r="N125" s="46"/>
      <c r="O125" s="46"/>
      <c r="P125" s="46"/>
      <c r="Q125" s="46"/>
      <c r="R125" s="46"/>
      <c r="S125" s="46"/>
      <c r="T125" s="46"/>
      <c r="U125" s="46"/>
      <c r="V125" s="46"/>
      <c r="W125" s="46"/>
      <c r="X125" s="46"/>
      <c r="Y125" s="46"/>
      <c r="Z125" s="46"/>
      <c r="AA125" s="46"/>
      <c r="AB125" s="46"/>
      <c r="AC125" s="46"/>
      <c r="AD125" s="46"/>
      <c r="AE125" s="46"/>
      <c r="AF125" s="156">
        <v>0</v>
      </c>
      <c r="AG125" s="49"/>
      <c r="AH125" s="49"/>
    </row>
    <row r="126" spans="1:34">
      <c r="A126" s="49" t="s">
        <v>170</v>
      </c>
      <c r="B126" s="46"/>
      <c r="C126" s="46"/>
      <c r="D126" s="46"/>
      <c r="E126" s="46"/>
      <c r="F126" s="201"/>
      <c r="G126" s="46"/>
      <c r="H126" s="46"/>
      <c r="I126" s="46"/>
      <c r="J126" s="46"/>
      <c r="K126" s="46"/>
      <c r="L126" s="46"/>
      <c r="M126" s="46"/>
      <c r="N126" s="46"/>
      <c r="O126" s="46"/>
      <c r="P126" s="46"/>
      <c r="Q126" s="46"/>
      <c r="R126" s="46"/>
      <c r="S126" s="46"/>
      <c r="T126" s="46"/>
      <c r="U126" s="46"/>
      <c r="V126" s="46"/>
      <c r="W126" s="46"/>
      <c r="X126" s="46"/>
      <c r="Y126" s="46"/>
      <c r="Z126" s="46"/>
      <c r="AA126" s="46"/>
      <c r="AB126" s="46"/>
      <c r="AC126" s="46"/>
      <c r="AD126" s="46"/>
      <c r="AE126" s="46"/>
      <c r="AF126" s="156">
        <v>0</v>
      </c>
      <c r="AG126" s="49"/>
      <c r="AH126" s="49"/>
    </row>
    <row r="127" spans="1:34">
      <c r="A127" s="49" t="s">
        <v>438</v>
      </c>
      <c r="B127" s="46"/>
      <c r="C127" s="46"/>
      <c r="D127" s="46"/>
      <c r="E127" s="46"/>
      <c r="F127" s="46"/>
      <c r="G127" s="201"/>
      <c r="H127" s="46"/>
      <c r="I127" s="46"/>
      <c r="J127" s="46"/>
      <c r="K127" s="46"/>
      <c r="L127" s="46"/>
      <c r="M127" s="46"/>
      <c r="N127" s="46"/>
      <c r="O127" s="46"/>
      <c r="P127" s="46"/>
      <c r="Q127" s="46"/>
      <c r="R127" s="46"/>
      <c r="S127" s="46"/>
      <c r="T127" s="46"/>
      <c r="U127" s="46"/>
      <c r="V127" s="46"/>
      <c r="W127" s="46"/>
      <c r="X127" s="46"/>
      <c r="Y127" s="46"/>
      <c r="Z127" s="46"/>
      <c r="AA127" s="46"/>
      <c r="AB127" s="46"/>
      <c r="AC127" s="46"/>
      <c r="AD127" s="46"/>
      <c r="AE127" s="46"/>
      <c r="AF127" s="156">
        <v>0</v>
      </c>
      <c r="AG127" s="49"/>
      <c r="AH127" s="49"/>
    </row>
    <row r="128" spans="1:34" hidden="1">
      <c r="A128" s="49"/>
      <c r="B128" s="46"/>
      <c r="C128" s="46"/>
      <c r="D128" s="46"/>
      <c r="E128" s="46"/>
      <c r="F128" s="46"/>
      <c r="G128" s="46"/>
      <c r="H128" s="46"/>
      <c r="I128" s="46"/>
      <c r="J128" s="46"/>
      <c r="K128" s="46"/>
      <c r="L128" s="46"/>
      <c r="M128" s="46"/>
      <c r="N128" s="46"/>
      <c r="O128" s="46"/>
      <c r="P128" s="46"/>
      <c r="Q128" s="46"/>
      <c r="R128" s="46"/>
      <c r="S128" s="46"/>
      <c r="T128" s="46"/>
      <c r="U128" s="46"/>
      <c r="V128" s="46"/>
      <c r="W128" s="46"/>
      <c r="X128" s="46"/>
      <c r="Y128" s="46"/>
      <c r="Z128" s="46"/>
      <c r="AA128" s="46"/>
      <c r="AB128" s="46"/>
      <c r="AC128" s="46"/>
      <c r="AD128" s="46"/>
      <c r="AE128" s="46"/>
      <c r="AF128" s="156">
        <v>0</v>
      </c>
      <c r="AG128" s="49"/>
      <c r="AH128" s="49"/>
    </row>
    <row r="129" spans="1:34" hidden="1">
      <c r="A129" s="49"/>
      <c r="B129" s="46"/>
      <c r="C129" s="46"/>
      <c r="D129" s="46"/>
      <c r="E129" s="46"/>
      <c r="F129" s="46"/>
      <c r="G129" s="46"/>
      <c r="H129" s="46"/>
      <c r="I129" s="46"/>
      <c r="J129" s="46"/>
      <c r="K129" s="46"/>
      <c r="L129" s="46"/>
      <c r="M129" s="46"/>
      <c r="N129" s="46"/>
      <c r="O129" s="46"/>
      <c r="P129" s="46"/>
      <c r="Q129" s="46"/>
      <c r="R129" s="46"/>
      <c r="S129" s="46"/>
      <c r="T129" s="46"/>
      <c r="U129" s="46"/>
      <c r="V129" s="46"/>
      <c r="W129" s="46"/>
      <c r="X129" s="46"/>
      <c r="Y129" s="46"/>
      <c r="Z129" s="46"/>
      <c r="AA129" s="46"/>
      <c r="AB129" s="46"/>
      <c r="AC129" s="46"/>
      <c r="AD129" s="46"/>
      <c r="AE129" s="46"/>
      <c r="AF129" s="156">
        <v>0</v>
      </c>
      <c r="AG129" s="49"/>
      <c r="AH129" s="49"/>
    </row>
    <row r="130" spans="1:34" hidden="1">
      <c r="A130" s="49"/>
      <c r="B130" s="46"/>
      <c r="C130" s="46"/>
      <c r="D130" s="46"/>
      <c r="E130" s="46"/>
      <c r="F130" s="46"/>
      <c r="G130" s="46"/>
      <c r="H130" s="46"/>
      <c r="I130" s="46"/>
      <c r="J130" s="46"/>
      <c r="K130" s="46"/>
      <c r="L130" s="46"/>
      <c r="M130" s="46"/>
      <c r="N130" s="46"/>
      <c r="O130" s="46"/>
      <c r="P130" s="46"/>
      <c r="Q130" s="46"/>
      <c r="R130" s="46"/>
      <c r="S130" s="46"/>
      <c r="T130" s="46"/>
      <c r="U130" s="46"/>
      <c r="V130" s="46"/>
      <c r="W130" s="46"/>
      <c r="X130" s="46"/>
      <c r="Y130" s="46"/>
      <c r="Z130" s="46"/>
      <c r="AA130" s="46"/>
      <c r="AB130" s="46"/>
      <c r="AC130" s="46"/>
      <c r="AD130" s="46"/>
      <c r="AE130" s="46"/>
      <c r="AF130" s="156">
        <v>0</v>
      </c>
      <c r="AG130" s="49"/>
      <c r="AH130" s="49"/>
    </row>
    <row r="131" spans="1:34" hidden="1">
      <c r="A131" s="49"/>
      <c r="B131" s="46"/>
      <c r="C131" s="46"/>
      <c r="D131" s="46"/>
      <c r="E131" s="46"/>
      <c r="F131" s="46"/>
      <c r="G131" s="46"/>
      <c r="H131" s="46"/>
      <c r="I131" s="46"/>
      <c r="J131" s="46"/>
      <c r="K131" s="46"/>
      <c r="L131" s="46"/>
      <c r="M131" s="46"/>
      <c r="N131" s="46"/>
      <c r="O131" s="46"/>
      <c r="P131" s="46"/>
      <c r="Q131" s="46"/>
      <c r="R131" s="46"/>
      <c r="S131" s="46"/>
      <c r="T131" s="46"/>
      <c r="U131" s="46"/>
      <c r="V131" s="46"/>
      <c r="W131" s="46"/>
      <c r="X131" s="46"/>
      <c r="Y131" s="46"/>
      <c r="Z131" s="46"/>
      <c r="AA131" s="46"/>
      <c r="AB131" s="46"/>
      <c r="AC131" s="46"/>
      <c r="AD131" s="46"/>
      <c r="AE131" s="46"/>
      <c r="AF131" s="156">
        <v>0</v>
      </c>
      <c r="AG131" s="49"/>
      <c r="AH131" s="49"/>
    </row>
    <row r="132" spans="1:34" hidden="1">
      <c r="A132" s="49"/>
      <c r="B132" s="46"/>
      <c r="C132" s="46"/>
      <c r="D132" s="46"/>
      <c r="E132" s="46"/>
      <c r="F132" s="46"/>
      <c r="G132" s="46"/>
      <c r="H132" s="46"/>
      <c r="I132" s="46"/>
      <c r="J132" s="46"/>
      <c r="K132" s="46"/>
      <c r="L132" s="46"/>
      <c r="M132" s="46"/>
      <c r="N132" s="46"/>
      <c r="O132" s="46"/>
      <c r="P132" s="46"/>
      <c r="Q132" s="46"/>
      <c r="R132" s="46"/>
      <c r="S132" s="46"/>
      <c r="T132" s="46"/>
      <c r="U132" s="46"/>
      <c r="V132" s="46"/>
      <c r="W132" s="46"/>
      <c r="X132" s="46"/>
      <c r="Y132" s="46"/>
      <c r="Z132" s="46"/>
      <c r="AA132" s="46"/>
      <c r="AB132" s="46"/>
      <c r="AC132" s="46"/>
      <c r="AD132" s="46"/>
      <c r="AE132" s="46"/>
      <c r="AF132" s="156">
        <v>0</v>
      </c>
      <c r="AG132" s="49"/>
      <c r="AH132" s="49"/>
    </row>
    <row r="133" spans="1:34">
      <c r="A133" s="49" t="s">
        <v>111</v>
      </c>
      <c r="B133" s="46"/>
      <c r="C133" s="46"/>
      <c r="D133" s="46"/>
      <c r="E133" s="46"/>
      <c r="F133" s="46"/>
      <c r="G133" s="46"/>
      <c r="H133" s="46"/>
      <c r="I133" s="46"/>
      <c r="J133" s="46"/>
      <c r="K133" s="46"/>
      <c r="L133" s="46"/>
      <c r="M133" s="201"/>
      <c r="N133" s="46"/>
      <c r="O133" s="46"/>
      <c r="P133" s="46"/>
      <c r="Q133" s="46"/>
      <c r="R133" s="46"/>
      <c r="S133" s="46"/>
      <c r="T133" s="46"/>
      <c r="U133" s="46"/>
      <c r="V133" s="46"/>
      <c r="W133" s="46"/>
      <c r="X133" s="46"/>
      <c r="Y133" s="46"/>
      <c r="Z133" s="46"/>
      <c r="AA133" s="46"/>
      <c r="AB133" s="46"/>
      <c r="AC133" s="46"/>
      <c r="AD133" s="46"/>
      <c r="AE133" s="46"/>
      <c r="AF133" s="156">
        <v>0</v>
      </c>
      <c r="AG133" s="49"/>
      <c r="AH133" s="49"/>
    </row>
    <row r="134" spans="1:34">
      <c r="A134" s="49" t="s">
        <v>112</v>
      </c>
      <c r="B134" s="46"/>
      <c r="C134" s="46"/>
      <c r="D134" s="46"/>
      <c r="E134" s="46"/>
      <c r="F134" s="46"/>
      <c r="G134" s="46"/>
      <c r="H134" s="46"/>
      <c r="I134" s="46"/>
      <c r="J134" s="46"/>
      <c r="K134" s="46"/>
      <c r="L134" s="46"/>
      <c r="M134" s="46"/>
      <c r="N134" s="201"/>
      <c r="O134" s="46"/>
      <c r="P134" s="46"/>
      <c r="Q134" s="46"/>
      <c r="R134" s="46"/>
      <c r="S134" s="46"/>
      <c r="T134" s="46"/>
      <c r="U134" s="46"/>
      <c r="V134" s="46"/>
      <c r="W134" s="46"/>
      <c r="X134" s="46"/>
      <c r="Y134" s="46"/>
      <c r="Z134" s="46"/>
      <c r="AA134" s="46"/>
      <c r="AB134" s="46"/>
      <c r="AC134" s="46"/>
      <c r="AD134" s="46"/>
      <c r="AE134" s="46"/>
      <c r="AF134" s="156">
        <v>0</v>
      </c>
      <c r="AG134" s="49"/>
      <c r="AH134" s="49"/>
    </row>
    <row r="135" spans="1:34">
      <c r="A135" s="49" t="s">
        <v>113</v>
      </c>
      <c r="B135" s="46"/>
      <c r="C135" s="46"/>
      <c r="D135" s="46"/>
      <c r="E135" s="46"/>
      <c r="F135" s="46"/>
      <c r="G135" s="46"/>
      <c r="H135" s="46"/>
      <c r="I135" s="46"/>
      <c r="J135" s="46"/>
      <c r="K135" s="46"/>
      <c r="L135" s="46"/>
      <c r="M135" s="46"/>
      <c r="N135" s="46"/>
      <c r="O135" s="201"/>
      <c r="P135" s="46"/>
      <c r="Q135" s="46"/>
      <c r="R135" s="46"/>
      <c r="S135" s="46"/>
      <c r="T135" s="46"/>
      <c r="U135" s="46"/>
      <c r="V135" s="46"/>
      <c r="W135" s="46"/>
      <c r="X135" s="46"/>
      <c r="Y135" s="46"/>
      <c r="Z135" s="46"/>
      <c r="AA135" s="46"/>
      <c r="AB135" s="46"/>
      <c r="AC135" s="46"/>
      <c r="AD135" s="46"/>
      <c r="AE135" s="46"/>
      <c r="AF135" s="156">
        <v>0</v>
      </c>
      <c r="AG135" s="49"/>
      <c r="AH135" s="49"/>
    </row>
    <row r="136" spans="1:34">
      <c r="A136" s="49" t="s">
        <v>527</v>
      </c>
      <c r="B136" s="46"/>
      <c r="C136" s="46"/>
      <c r="D136" s="46"/>
      <c r="E136" s="46"/>
      <c r="F136" s="46"/>
      <c r="G136" s="46"/>
      <c r="H136" s="46"/>
      <c r="I136" s="46"/>
      <c r="J136" s="46"/>
      <c r="K136" s="46"/>
      <c r="L136" s="46"/>
      <c r="M136" s="46"/>
      <c r="N136" s="46"/>
      <c r="O136" s="46"/>
      <c r="P136" s="201"/>
      <c r="Q136" s="46"/>
      <c r="R136" s="46"/>
      <c r="S136" s="46"/>
      <c r="T136" s="46"/>
      <c r="U136" s="46"/>
      <c r="V136" s="46"/>
      <c r="W136" s="46"/>
      <c r="X136" s="46"/>
      <c r="Y136" s="46"/>
      <c r="Z136" s="46"/>
      <c r="AA136" s="46"/>
      <c r="AB136" s="46"/>
      <c r="AC136" s="46"/>
      <c r="AD136" s="46"/>
      <c r="AE136" s="46"/>
      <c r="AF136" s="156">
        <v>0</v>
      </c>
      <c r="AG136" s="49"/>
      <c r="AH136" s="49"/>
    </row>
    <row r="137" spans="1:34">
      <c r="A137" s="49" t="s">
        <v>114</v>
      </c>
      <c r="B137" s="46"/>
      <c r="C137" s="46"/>
      <c r="D137" s="46"/>
      <c r="E137" s="46"/>
      <c r="F137" s="46"/>
      <c r="G137" s="46"/>
      <c r="H137" s="46"/>
      <c r="I137" s="46"/>
      <c r="J137" s="46"/>
      <c r="K137" s="46"/>
      <c r="L137" s="46"/>
      <c r="M137" s="46"/>
      <c r="N137" s="46"/>
      <c r="O137" s="46"/>
      <c r="P137" s="46"/>
      <c r="Q137" s="201"/>
      <c r="R137" s="46"/>
      <c r="S137" s="46"/>
      <c r="T137" s="46"/>
      <c r="U137" s="46"/>
      <c r="V137" s="46"/>
      <c r="W137" s="46"/>
      <c r="X137" s="46"/>
      <c r="Y137" s="46"/>
      <c r="Z137" s="46"/>
      <c r="AA137" s="46"/>
      <c r="AB137" s="46"/>
      <c r="AC137" s="46"/>
      <c r="AD137" s="46"/>
      <c r="AE137" s="46"/>
      <c r="AF137" s="156">
        <v>0</v>
      </c>
      <c r="AG137" s="49"/>
      <c r="AH137" s="49"/>
    </row>
    <row r="138" spans="1:34">
      <c r="A138" s="49" t="s">
        <v>441</v>
      </c>
      <c r="B138" s="46"/>
      <c r="C138" s="46"/>
      <c r="D138" s="46"/>
      <c r="E138" s="46"/>
      <c r="F138" s="46"/>
      <c r="G138" s="46"/>
      <c r="H138" s="46"/>
      <c r="I138" s="46"/>
      <c r="J138" s="46"/>
      <c r="K138" s="46"/>
      <c r="L138" s="46"/>
      <c r="M138" s="46"/>
      <c r="N138" s="46"/>
      <c r="O138" s="46"/>
      <c r="P138" s="46"/>
      <c r="Q138" s="46"/>
      <c r="R138" s="201"/>
      <c r="S138" s="46"/>
      <c r="T138" s="46"/>
      <c r="U138" s="46"/>
      <c r="V138" s="46"/>
      <c r="W138" s="46"/>
      <c r="X138" s="46"/>
      <c r="Y138" s="46"/>
      <c r="Z138" s="46"/>
      <c r="AA138" s="46"/>
      <c r="AB138" s="46"/>
      <c r="AC138" s="46"/>
      <c r="AD138" s="46"/>
      <c r="AE138" s="46"/>
      <c r="AF138" s="156">
        <v>0</v>
      </c>
      <c r="AG138" s="49"/>
      <c r="AH138" s="49"/>
    </row>
    <row r="139" spans="1:34">
      <c r="A139" s="49" t="s">
        <v>433</v>
      </c>
      <c r="B139" s="46"/>
      <c r="C139" s="46"/>
      <c r="D139" s="46"/>
      <c r="E139" s="46"/>
      <c r="F139" s="46"/>
      <c r="G139" s="46"/>
      <c r="H139" s="46"/>
      <c r="I139" s="46"/>
      <c r="J139" s="46"/>
      <c r="K139" s="46"/>
      <c r="L139" s="46"/>
      <c r="M139" s="46"/>
      <c r="N139" s="46"/>
      <c r="O139" s="46"/>
      <c r="P139" s="46"/>
      <c r="Q139" s="46"/>
      <c r="R139" s="46"/>
      <c r="S139" s="201"/>
      <c r="T139" s="46"/>
      <c r="U139" s="46"/>
      <c r="V139" s="46"/>
      <c r="W139" s="46"/>
      <c r="X139" s="46"/>
      <c r="Y139" s="46"/>
      <c r="Z139" s="46"/>
      <c r="AA139" s="46"/>
      <c r="AB139" s="46"/>
      <c r="AC139" s="46"/>
      <c r="AD139" s="46"/>
      <c r="AE139" s="46"/>
      <c r="AF139" s="156">
        <v>0</v>
      </c>
      <c r="AG139" s="49"/>
      <c r="AH139" s="49"/>
    </row>
    <row r="140" spans="1:34">
      <c r="A140" s="49" t="s">
        <v>434</v>
      </c>
      <c r="B140" s="46"/>
      <c r="C140" s="46"/>
      <c r="D140" s="46"/>
      <c r="E140" s="46"/>
      <c r="F140" s="46"/>
      <c r="G140" s="46"/>
      <c r="H140" s="46"/>
      <c r="I140" s="46"/>
      <c r="J140" s="46"/>
      <c r="K140" s="46"/>
      <c r="L140" s="46"/>
      <c r="M140" s="46"/>
      <c r="N140" s="46"/>
      <c r="O140" s="46"/>
      <c r="P140" s="46"/>
      <c r="Q140" s="46"/>
      <c r="R140" s="46"/>
      <c r="S140" s="46"/>
      <c r="T140" s="201"/>
      <c r="U140" s="46"/>
      <c r="V140" s="46"/>
      <c r="W140" s="46"/>
      <c r="X140" s="46"/>
      <c r="Y140" s="46"/>
      <c r="Z140" s="46"/>
      <c r="AA140" s="46"/>
      <c r="AB140" s="46"/>
      <c r="AC140" s="46"/>
      <c r="AD140" s="46"/>
      <c r="AE140" s="46"/>
      <c r="AF140" s="156">
        <v>0</v>
      </c>
      <c r="AG140" s="49"/>
      <c r="AH140" s="49"/>
    </row>
    <row r="141" spans="1:34" hidden="1">
      <c r="A141" s="49"/>
      <c r="B141" s="46"/>
      <c r="C141" s="46"/>
      <c r="D141" s="46"/>
      <c r="E141" s="46"/>
      <c r="F141" s="46"/>
      <c r="G141" s="46"/>
      <c r="H141" s="46"/>
      <c r="I141" s="46"/>
      <c r="J141" s="46"/>
      <c r="K141" s="46"/>
      <c r="L141" s="46"/>
      <c r="M141" s="46"/>
      <c r="N141" s="46"/>
      <c r="O141" s="46"/>
      <c r="P141" s="46"/>
      <c r="Q141" s="46"/>
      <c r="R141" s="46"/>
      <c r="S141" s="46"/>
      <c r="T141" s="46"/>
      <c r="U141" s="46"/>
      <c r="V141" s="46"/>
      <c r="W141" s="46"/>
      <c r="X141" s="46"/>
      <c r="Y141" s="46"/>
      <c r="Z141" s="46"/>
      <c r="AA141" s="46"/>
      <c r="AB141" s="46"/>
      <c r="AC141" s="46"/>
      <c r="AD141" s="46"/>
      <c r="AE141" s="46"/>
      <c r="AF141" s="156">
        <v>0</v>
      </c>
      <c r="AG141" s="49"/>
      <c r="AH141" s="49"/>
    </row>
    <row r="142" spans="1:34" hidden="1">
      <c r="A142" s="49"/>
      <c r="B142" s="46"/>
      <c r="C142" s="46"/>
      <c r="D142" s="46"/>
      <c r="E142" s="46"/>
      <c r="F142" s="46"/>
      <c r="G142" s="46"/>
      <c r="H142" s="46"/>
      <c r="I142" s="46"/>
      <c r="J142" s="46"/>
      <c r="K142" s="46"/>
      <c r="L142" s="46"/>
      <c r="M142" s="46"/>
      <c r="N142" s="46"/>
      <c r="O142" s="46"/>
      <c r="P142" s="46"/>
      <c r="Q142" s="46"/>
      <c r="R142" s="46"/>
      <c r="S142" s="46"/>
      <c r="T142" s="46"/>
      <c r="U142" s="46"/>
      <c r="V142" s="46"/>
      <c r="W142" s="46"/>
      <c r="X142" s="46"/>
      <c r="Y142" s="46"/>
      <c r="Z142" s="46"/>
      <c r="AA142" s="46"/>
      <c r="AB142" s="46"/>
      <c r="AC142" s="46"/>
      <c r="AD142" s="46"/>
      <c r="AE142" s="46"/>
      <c r="AF142" s="156">
        <v>0</v>
      </c>
      <c r="AG142" s="49"/>
      <c r="AH142" s="49"/>
    </row>
    <row r="143" spans="1:34">
      <c r="A143" s="49" t="s">
        <v>115</v>
      </c>
      <c r="B143" s="46"/>
      <c r="C143" s="46"/>
      <c r="D143" s="46"/>
      <c r="E143" s="46"/>
      <c r="F143" s="46"/>
      <c r="G143" s="46"/>
      <c r="H143" s="46"/>
      <c r="I143" s="46"/>
      <c r="J143" s="46"/>
      <c r="K143" s="46"/>
      <c r="L143" s="46"/>
      <c r="M143" s="46"/>
      <c r="N143" s="46"/>
      <c r="O143" s="46"/>
      <c r="P143" s="46"/>
      <c r="Q143" s="46"/>
      <c r="R143" s="46"/>
      <c r="S143" s="46"/>
      <c r="T143" s="46"/>
      <c r="U143" s="46"/>
      <c r="V143" s="46"/>
      <c r="W143" s="201"/>
      <c r="X143" s="46"/>
      <c r="Y143" s="46"/>
      <c r="Z143" s="46"/>
      <c r="AA143" s="46"/>
      <c r="AB143" s="46"/>
      <c r="AC143" s="46"/>
      <c r="AD143" s="46"/>
      <c r="AE143" s="46"/>
      <c r="AF143" s="156">
        <v>0</v>
      </c>
      <c r="AG143" s="49"/>
      <c r="AH143" s="49"/>
    </row>
    <row r="144" spans="1:34">
      <c r="A144" s="49" t="s">
        <v>116</v>
      </c>
      <c r="B144" s="46"/>
      <c r="C144" s="46"/>
      <c r="D144" s="46"/>
      <c r="E144" s="46"/>
      <c r="F144" s="46"/>
      <c r="G144" s="46"/>
      <c r="H144" s="46"/>
      <c r="I144" s="46"/>
      <c r="J144" s="46"/>
      <c r="K144" s="46"/>
      <c r="L144" s="46"/>
      <c r="M144" s="46"/>
      <c r="N144" s="46"/>
      <c r="O144" s="46"/>
      <c r="P144" s="46"/>
      <c r="Q144" s="46"/>
      <c r="R144" s="46"/>
      <c r="S144" s="46"/>
      <c r="T144" s="46"/>
      <c r="U144" s="46"/>
      <c r="V144" s="46"/>
      <c r="W144" s="46"/>
      <c r="X144" s="201"/>
      <c r="Y144" s="46"/>
      <c r="Z144" s="46"/>
      <c r="AA144" s="46"/>
      <c r="AB144" s="46"/>
      <c r="AC144" s="46"/>
      <c r="AD144" s="46"/>
      <c r="AE144" s="46"/>
      <c r="AF144" s="156">
        <v>0</v>
      </c>
      <c r="AG144" s="49"/>
      <c r="AH144" s="49"/>
    </row>
    <row r="145" spans="1:34">
      <c r="A145" s="49" t="s">
        <v>117</v>
      </c>
      <c r="B145" s="46"/>
      <c r="C145" s="46"/>
      <c r="D145" s="46"/>
      <c r="E145" s="46"/>
      <c r="F145" s="46"/>
      <c r="G145" s="46"/>
      <c r="H145" s="46"/>
      <c r="I145" s="46"/>
      <c r="J145" s="46"/>
      <c r="K145" s="46"/>
      <c r="L145" s="46"/>
      <c r="M145" s="46"/>
      <c r="N145" s="46"/>
      <c r="O145" s="46"/>
      <c r="P145" s="46"/>
      <c r="Q145" s="46"/>
      <c r="R145" s="46"/>
      <c r="S145" s="46"/>
      <c r="T145" s="46"/>
      <c r="U145" s="46"/>
      <c r="V145" s="46"/>
      <c r="W145" s="46"/>
      <c r="X145" s="46"/>
      <c r="Y145" s="201"/>
      <c r="Z145" s="46"/>
      <c r="AA145" s="46"/>
      <c r="AB145" s="46"/>
      <c r="AC145" s="46"/>
      <c r="AD145" s="46"/>
      <c r="AE145" s="46"/>
      <c r="AF145" s="156">
        <v>0</v>
      </c>
      <c r="AG145" s="49"/>
      <c r="AH145" s="49"/>
    </row>
    <row r="146" spans="1:34">
      <c r="A146" s="49" t="s">
        <v>528</v>
      </c>
      <c r="B146" s="46"/>
      <c r="C146" s="46"/>
      <c r="D146" s="46"/>
      <c r="E146" s="46"/>
      <c r="F146" s="46"/>
      <c r="G146" s="46"/>
      <c r="H146" s="46"/>
      <c r="I146" s="46"/>
      <c r="J146" s="46"/>
      <c r="K146" s="46"/>
      <c r="L146" s="46"/>
      <c r="M146" s="46"/>
      <c r="N146" s="46"/>
      <c r="O146" s="46"/>
      <c r="P146" s="46"/>
      <c r="Q146" s="46"/>
      <c r="R146" s="46"/>
      <c r="S146" s="46"/>
      <c r="T146" s="46"/>
      <c r="U146" s="46"/>
      <c r="V146" s="46"/>
      <c r="W146" s="46"/>
      <c r="X146" s="46"/>
      <c r="Y146" s="46"/>
      <c r="Z146" s="201"/>
      <c r="AA146" s="46"/>
      <c r="AB146" s="46"/>
      <c r="AC146" s="46"/>
      <c r="AD146" s="46"/>
      <c r="AE146" s="46"/>
      <c r="AF146" s="156">
        <v>0</v>
      </c>
      <c r="AG146" s="49"/>
      <c r="AH146" s="49"/>
    </row>
    <row r="147" spans="1:34">
      <c r="A147" s="49" t="s">
        <v>118</v>
      </c>
      <c r="B147" s="46"/>
      <c r="C147" s="46"/>
      <c r="D147" s="46"/>
      <c r="E147" s="46"/>
      <c r="F147" s="46"/>
      <c r="G147" s="46"/>
      <c r="H147" s="46"/>
      <c r="I147" s="46"/>
      <c r="J147" s="46"/>
      <c r="K147" s="46"/>
      <c r="L147" s="46"/>
      <c r="M147" s="46"/>
      <c r="N147" s="46"/>
      <c r="O147" s="46"/>
      <c r="P147" s="46"/>
      <c r="Q147" s="46"/>
      <c r="R147" s="46"/>
      <c r="S147" s="46"/>
      <c r="T147" s="46"/>
      <c r="U147" s="46"/>
      <c r="V147" s="46"/>
      <c r="W147" s="46"/>
      <c r="X147" s="46"/>
      <c r="Y147" s="46"/>
      <c r="Z147" s="46"/>
      <c r="AA147" s="201"/>
      <c r="AB147" s="46"/>
      <c r="AC147" s="46"/>
      <c r="AD147" s="46"/>
      <c r="AE147" s="46"/>
      <c r="AF147">
        <v>0</v>
      </c>
      <c r="AG147" s="49"/>
      <c r="AH147" s="49"/>
    </row>
    <row r="148" spans="1:34">
      <c r="A148" s="49" t="s">
        <v>119</v>
      </c>
      <c r="B148" s="46"/>
      <c r="C148" s="46"/>
      <c r="D148" s="46"/>
      <c r="E148" s="46"/>
      <c r="F148" s="46"/>
      <c r="G148" s="46"/>
      <c r="H148" s="46"/>
      <c r="I148" s="46"/>
      <c r="J148" s="46"/>
      <c r="K148" s="46"/>
      <c r="L148" s="46"/>
      <c r="M148" s="46"/>
      <c r="N148" s="46"/>
      <c r="O148" s="46"/>
      <c r="P148" s="46"/>
      <c r="Q148" s="46"/>
      <c r="R148" s="46"/>
      <c r="S148" s="46"/>
      <c r="T148" s="46"/>
      <c r="U148" s="46"/>
      <c r="V148" s="46"/>
      <c r="W148" s="46"/>
      <c r="X148" s="46"/>
      <c r="Y148" s="46"/>
      <c r="Z148" s="46"/>
      <c r="AA148" s="46"/>
      <c r="AB148" s="201"/>
      <c r="AC148" s="46"/>
      <c r="AD148" s="46"/>
      <c r="AE148" s="46"/>
      <c r="AF148">
        <v>0</v>
      </c>
      <c r="AG148" s="49"/>
      <c r="AH148" s="49"/>
    </row>
    <row r="149" spans="1:34">
      <c r="A149" s="49" t="s">
        <v>120</v>
      </c>
      <c r="B149" s="46"/>
      <c r="C149" s="46"/>
      <c r="D149" s="46"/>
      <c r="E149" s="46"/>
      <c r="F149" s="46"/>
      <c r="G149" s="46"/>
      <c r="H149" s="46"/>
      <c r="I149" s="46"/>
      <c r="J149" s="46"/>
      <c r="K149" s="46"/>
      <c r="L149" s="46"/>
      <c r="M149" s="46"/>
      <c r="N149" s="46"/>
      <c r="O149" s="46"/>
      <c r="P149" s="46"/>
      <c r="Q149" s="46"/>
      <c r="R149" s="46"/>
      <c r="S149" s="46"/>
      <c r="T149" s="46"/>
      <c r="U149" s="46"/>
      <c r="V149" s="46"/>
      <c r="W149" s="46"/>
      <c r="X149" s="46"/>
      <c r="Y149" s="46"/>
      <c r="Z149" s="46"/>
      <c r="AA149" s="46"/>
      <c r="AB149" s="46"/>
      <c r="AC149" s="201"/>
      <c r="AD149" s="46"/>
      <c r="AE149" s="46"/>
      <c r="AF149">
        <v>0</v>
      </c>
      <c r="AG149" s="49"/>
      <c r="AH149" s="49"/>
    </row>
    <row r="150" spans="1:34">
      <c r="A150" s="49" t="s">
        <v>435</v>
      </c>
      <c r="B150" s="46"/>
      <c r="C150" s="46"/>
      <c r="D150" s="46"/>
      <c r="E150" s="46"/>
      <c r="F150" s="46"/>
      <c r="G150" s="46"/>
      <c r="H150" s="46"/>
      <c r="I150" s="46"/>
      <c r="J150" s="46"/>
      <c r="K150" s="46"/>
      <c r="L150" s="46"/>
      <c r="M150" s="46"/>
      <c r="N150" s="46"/>
      <c r="O150" s="46"/>
      <c r="P150" s="46"/>
      <c r="Q150" s="46"/>
      <c r="R150" s="46"/>
      <c r="S150" s="46"/>
      <c r="T150" s="46"/>
      <c r="U150" s="46"/>
      <c r="V150" s="46"/>
      <c r="W150" s="46"/>
      <c r="X150" s="46"/>
      <c r="Y150" s="46"/>
      <c r="Z150" s="46"/>
      <c r="AA150" s="46"/>
      <c r="AB150" s="46"/>
      <c r="AC150" s="46"/>
      <c r="AD150" s="201"/>
      <c r="AE150" s="46"/>
      <c r="AF150">
        <v>0</v>
      </c>
      <c r="AG150" s="49"/>
      <c r="AH150" s="49"/>
    </row>
    <row r="151" spans="1:34">
      <c r="A151" s="49" t="s">
        <v>436</v>
      </c>
      <c r="B151" s="46"/>
      <c r="C151" s="46"/>
      <c r="D151" s="46"/>
      <c r="E151" s="46"/>
      <c r="F151" s="46"/>
      <c r="G151" s="46"/>
      <c r="H151" s="46"/>
      <c r="I151" s="46"/>
      <c r="J151" s="46"/>
      <c r="K151" s="46"/>
      <c r="L151" s="46"/>
      <c r="M151" s="46"/>
      <c r="N151" s="46"/>
      <c r="O151" s="46"/>
      <c r="P151" s="46"/>
      <c r="Q151" s="46"/>
      <c r="R151" s="46"/>
      <c r="S151" s="46"/>
      <c r="T151" s="46"/>
      <c r="U151" s="46"/>
      <c r="V151" s="46"/>
      <c r="W151" s="46"/>
      <c r="X151" s="46"/>
      <c r="Y151" s="46"/>
      <c r="Z151" s="46"/>
      <c r="AA151" s="46"/>
      <c r="AB151" s="46"/>
      <c r="AC151" s="46"/>
      <c r="AD151" s="46"/>
      <c r="AE151" s="201"/>
      <c r="AF151">
        <v>0</v>
      </c>
      <c r="AG151" s="49"/>
      <c r="AH151" s="49"/>
    </row>
    <row r="152" spans="1:34" hidden="1">
      <c r="B152">
        <v>0</v>
      </c>
      <c r="C152">
        <v>0</v>
      </c>
      <c r="D152">
        <v>0</v>
      </c>
      <c r="E152">
        <v>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s="49"/>
      <c r="AH152" s="49"/>
    </row>
    <row r="153" spans="1:34">
      <c r="A153" s="49"/>
      <c r="B153" s="49"/>
      <c r="C153" s="49"/>
      <c r="D153" s="49"/>
      <c r="E153" s="49"/>
      <c r="F153" s="49"/>
      <c r="G153" s="49"/>
      <c r="H153" s="49"/>
      <c r="I153" s="49"/>
      <c r="J153" s="49"/>
      <c r="K153" s="49"/>
      <c r="L153" s="49"/>
      <c r="M153" s="49"/>
      <c r="N153" s="49"/>
      <c r="O153" s="49"/>
      <c r="P153" s="49"/>
      <c r="Q153" s="49"/>
      <c r="R153" s="49"/>
      <c r="S153" s="49"/>
      <c r="T153" s="49"/>
      <c r="U153" s="49"/>
      <c r="V153" s="49"/>
      <c r="W153" s="49"/>
      <c r="X153" s="49"/>
      <c r="Y153" s="49"/>
      <c r="Z153" s="49"/>
      <c r="AA153" s="49"/>
      <c r="AB153" s="49"/>
      <c r="AC153" s="49"/>
      <c r="AD153" s="49"/>
      <c r="AE153" s="49"/>
      <c r="AF153" s="49"/>
      <c r="AG153" s="49"/>
      <c r="AH153" s="49"/>
    </row>
    <row r="154" spans="1:34" hidden="1">
      <c r="A154" s="49"/>
      <c r="B154" s="49"/>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G154" s="49"/>
      <c r="AH154" s="49"/>
    </row>
    <row r="155" spans="1:34" hidden="1">
      <c r="A155" s="49"/>
      <c r="B155" s="49"/>
      <c r="C155" s="49"/>
      <c r="D155" s="49"/>
      <c r="E155" s="49"/>
      <c r="F155" s="49"/>
      <c r="G155" s="49"/>
      <c r="H155" s="49"/>
      <c r="I155" s="49"/>
      <c r="J155" s="49"/>
      <c r="K155" s="49"/>
      <c r="L155" s="49"/>
      <c r="M155" s="49"/>
      <c r="N155" s="49"/>
      <c r="O155" s="49"/>
      <c r="P155" s="49"/>
      <c r="Q155" s="49"/>
      <c r="R155" s="49"/>
      <c r="S155" s="49"/>
      <c r="T155" s="49"/>
      <c r="U155" s="49"/>
      <c r="V155" s="49"/>
      <c r="W155" s="49"/>
      <c r="X155" s="49"/>
      <c r="Y155" s="49"/>
      <c r="Z155" s="49"/>
      <c r="AA155" s="49"/>
      <c r="AB155" s="49"/>
      <c r="AC155" s="49"/>
      <c r="AD155" s="49"/>
      <c r="AE155" s="49"/>
      <c r="AF155" s="49"/>
      <c r="AG155" s="49"/>
      <c r="AH155" s="49"/>
    </row>
    <row r="156" spans="1:34" hidden="1">
      <c r="A156" s="49"/>
      <c r="B156" s="49"/>
      <c r="C156" s="49"/>
      <c r="D156" s="49"/>
      <c r="E156" s="49"/>
      <c r="F156" s="49"/>
      <c r="G156" s="49"/>
      <c r="H156" s="49"/>
      <c r="I156" s="49"/>
      <c r="J156" s="49"/>
      <c r="K156" s="49"/>
      <c r="L156" s="49"/>
      <c r="M156" s="49"/>
      <c r="N156" s="49"/>
      <c r="O156" s="49"/>
      <c r="P156" s="49"/>
      <c r="Q156" s="49"/>
      <c r="R156" s="49"/>
      <c r="S156" s="49"/>
      <c r="T156" s="49"/>
      <c r="U156" s="49"/>
      <c r="V156" s="49"/>
      <c r="W156" s="49"/>
      <c r="X156" s="49"/>
      <c r="Y156" s="49"/>
      <c r="Z156" s="49"/>
      <c r="AA156" s="49"/>
      <c r="AB156" s="49"/>
      <c r="AC156" s="49"/>
      <c r="AD156" s="49"/>
      <c r="AE156" s="49"/>
      <c r="AF156" s="49"/>
      <c r="AG156" s="49"/>
      <c r="AH156" s="49"/>
    </row>
    <row r="157" spans="1:34" hidden="1">
      <c r="A157" s="49"/>
      <c r="B157" s="49"/>
      <c r="C157" s="49"/>
      <c r="D157" s="49"/>
      <c r="E157" s="49"/>
      <c r="F157" s="49"/>
      <c r="G157" s="49"/>
      <c r="H157" s="49"/>
      <c r="I157" s="49"/>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G157" s="49"/>
      <c r="AH157" s="49"/>
    </row>
    <row r="158" spans="1:34" hidden="1">
      <c r="A158" s="49"/>
      <c r="B158" s="49"/>
      <c r="C158" s="49"/>
      <c r="D158" s="49"/>
      <c r="E158" s="49"/>
      <c r="F158" s="49"/>
      <c r="G158" s="49"/>
      <c r="H158" s="49"/>
      <c r="I158" s="49"/>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G158" s="49"/>
      <c r="AH158" s="49"/>
    </row>
    <row r="159" spans="1:34" hidden="1">
      <c r="A159" s="49"/>
      <c r="B159" s="49"/>
      <c r="C159" s="49"/>
      <c r="D159" s="49"/>
      <c r="E159" s="49"/>
      <c r="F159" s="49"/>
      <c r="G159" s="49"/>
      <c r="H159" s="49"/>
      <c r="I159" s="49"/>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G159" s="49"/>
      <c r="AH159" s="49"/>
    </row>
    <row r="160" spans="1:34" hidden="1">
      <c r="A160" s="49"/>
      <c r="B160" s="49"/>
      <c r="C160" s="49"/>
      <c r="D160" s="49"/>
      <c r="E160" s="49"/>
      <c r="F160" s="49"/>
      <c r="G160" s="49"/>
      <c r="H160" s="49"/>
      <c r="I160" s="49"/>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G160" s="49"/>
      <c r="AH160" s="49"/>
    </row>
    <row r="161" spans="1:34">
      <c r="A161" s="115" t="s">
        <v>752</v>
      </c>
      <c r="B161" s="49" t="s">
        <v>571</v>
      </c>
      <c r="C161" s="49" t="s">
        <v>31</v>
      </c>
      <c r="D161" s="49" t="s">
        <v>168</v>
      </c>
      <c r="E161" s="49" t="s">
        <v>169</v>
      </c>
      <c r="F161" s="49" t="s">
        <v>170</v>
      </c>
      <c r="G161" s="49" t="s">
        <v>438</v>
      </c>
      <c r="H161" s="49"/>
      <c r="I161" s="49"/>
      <c r="J161" s="49"/>
      <c r="K161" s="49"/>
      <c r="L161" s="49"/>
      <c r="M161" s="49" t="s">
        <v>111</v>
      </c>
      <c r="N161" s="49" t="s">
        <v>112</v>
      </c>
      <c r="O161" s="49" t="s">
        <v>113</v>
      </c>
      <c r="P161" s="49" t="s">
        <v>527</v>
      </c>
      <c r="Q161" s="49" t="s">
        <v>114</v>
      </c>
      <c r="R161" s="49" t="s">
        <v>441</v>
      </c>
      <c r="S161" s="49" t="s">
        <v>433</v>
      </c>
      <c r="T161" s="49" t="s">
        <v>434</v>
      </c>
      <c r="U161" s="49"/>
      <c r="V161" s="49"/>
      <c r="W161" s="49" t="s">
        <v>115</v>
      </c>
      <c r="X161" s="49" t="s">
        <v>116</v>
      </c>
      <c r="Y161" s="49" t="s">
        <v>117</v>
      </c>
      <c r="Z161" s="49" t="s">
        <v>528</v>
      </c>
      <c r="AA161" s="49" t="s">
        <v>118</v>
      </c>
      <c r="AB161" s="49" t="s">
        <v>119</v>
      </c>
      <c r="AC161" s="49" t="s">
        <v>120</v>
      </c>
      <c r="AD161" s="49" t="s">
        <v>435</v>
      </c>
      <c r="AE161" s="49" t="s">
        <v>436</v>
      </c>
      <c r="AG161" s="49"/>
      <c r="AH161" s="49"/>
    </row>
    <row r="162" spans="1:34">
      <c r="A162" s="49" t="s">
        <v>751</v>
      </c>
      <c r="B162" s="46"/>
      <c r="C162" s="201"/>
      <c r="D162" s="201"/>
      <c r="E162" s="201"/>
      <c r="F162" s="201"/>
      <c r="G162" s="201"/>
      <c r="H162" s="201"/>
      <c r="I162" s="201"/>
      <c r="J162" s="201"/>
      <c r="K162" s="201"/>
      <c r="L162" s="201"/>
      <c r="M162" s="201"/>
      <c r="N162" s="201"/>
      <c r="O162" s="201"/>
      <c r="P162" s="201"/>
      <c r="Q162" s="201"/>
      <c r="R162" s="201"/>
      <c r="S162" s="201"/>
      <c r="T162" s="201"/>
      <c r="U162" s="201"/>
      <c r="V162" s="201"/>
      <c r="W162" s="201"/>
      <c r="X162" s="201"/>
      <c r="Y162" s="201"/>
      <c r="Z162" s="201"/>
      <c r="AA162" s="201"/>
      <c r="AB162" s="201"/>
      <c r="AC162" s="201"/>
      <c r="AD162" s="201"/>
      <c r="AE162" s="201"/>
      <c r="AG162" s="49"/>
      <c r="AH162" s="49"/>
    </row>
    <row r="163" spans="1:34">
      <c r="A163" s="49" t="s">
        <v>31</v>
      </c>
      <c r="B163" s="46"/>
      <c r="C163" s="201"/>
      <c r="D163" s="46"/>
      <c r="E163" s="46"/>
      <c r="F163" s="46"/>
      <c r="G163" s="46"/>
      <c r="H163" s="46"/>
      <c r="I163" s="46"/>
      <c r="J163" s="46"/>
      <c r="K163" s="46"/>
      <c r="L163" s="46"/>
      <c r="M163" s="46"/>
      <c r="N163" s="46"/>
      <c r="O163" s="46"/>
      <c r="P163" s="46"/>
      <c r="Q163" s="46"/>
      <c r="R163" s="46"/>
      <c r="S163" s="46"/>
      <c r="T163" s="46"/>
      <c r="U163" s="46"/>
      <c r="V163" s="46"/>
      <c r="W163" s="46"/>
      <c r="X163" s="46"/>
      <c r="Y163" s="46"/>
      <c r="Z163" s="46"/>
      <c r="AA163" s="46"/>
      <c r="AB163" s="46"/>
      <c r="AC163" s="46"/>
      <c r="AD163" s="46"/>
      <c r="AE163" s="46"/>
      <c r="AF163">
        <v>0</v>
      </c>
      <c r="AG163" s="49"/>
      <c r="AH163" s="49"/>
    </row>
    <row r="164" spans="1:34">
      <c r="A164" s="49" t="s">
        <v>168</v>
      </c>
      <c r="B164" s="46"/>
      <c r="C164" s="46"/>
      <c r="D164" s="201"/>
      <c r="E164" s="46"/>
      <c r="F164" s="46"/>
      <c r="G164" s="46"/>
      <c r="H164" s="46"/>
      <c r="I164" s="46"/>
      <c r="J164" s="46"/>
      <c r="K164" s="46"/>
      <c r="L164" s="46"/>
      <c r="M164" s="46"/>
      <c r="N164" s="46"/>
      <c r="O164" s="46"/>
      <c r="P164" s="46"/>
      <c r="Q164" s="46"/>
      <c r="R164" s="46"/>
      <c r="S164" s="46"/>
      <c r="T164" s="46"/>
      <c r="U164" s="46"/>
      <c r="V164" s="46"/>
      <c r="W164" s="46"/>
      <c r="X164" s="46"/>
      <c r="Y164" s="46"/>
      <c r="Z164" s="46"/>
      <c r="AA164" s="46"/>
      <c r="AB164" s="46"/>
      <c r="AC164" s="46"/>
      <c r="AD164" s="46"/>
      <c r="AE164" s="46"/>
      <c r="AF164">
        <v>0</v>
      </c>
      <c r="AG164" s="49"/>
      <c r="AH164" s="49"/>
    </row>
    <row r="165" spans="1:34">
      <c r="A165" s="49" t="s">
        <v>169</v>
      </c>
      <c r="B165" s="46"/>
      <c r="C165" s="46"/>
      <c r="D165" s="46"/>
      <c r="E165" s="201"/>
      <c r="F165" s="46"/>
      <c r="G165" s="46"/>
      <c r="H165" s="46"/>
      <c r="I165" s="46"/>
      <c r="J165" s="46"/>
      <c r="K165" s="46"/>
      <c r="L165" s="46"/>
      <c r="M165" s="46"/>
      <c r="N165" s="46"/>
      <c r="O165" s="46"/>
      <c r="P165" s="46"/>
      <c r="Q165" s="46"/>
      <c r="R165" s="46"/>
      <c r="S165" s="46"/>
      <c r="T165" s="46"/>
      <c r="U165" s="46"/>
      <c r="V165" s="46"/>
      <c r="W165" s="46"/>
      <c r="X165" s="46"/>
      <c r="Y165" s="46"/>
      <c r="Z165" s="46"/>
      <c r="AA165" s="46"/>
      <c r="AB165" s="46"/>
      <c r="AC165" s="46"/>
      <c r="AD165" s="46"/>
      <c r="AE165" s="46"/>
      <c r="AF165">
        <v>0</v>
      </c>
      <c r="AG165" s="49"/>
      <c r="AH165" s="49"/>
    </row>
    <row r="166" spans="1:34">
      <c r="A166" s="49" t="s">
        <v>170</v>
      </c>
      <c r="B166" s="46"/>
      <c r="C166" s="46"/>
      <c r="D166" s="46"/>
      <c r="E166" s="46"/>
      <c r="F166" s="201"/>
      <c r="G166" s="46"/>
      <c r="H166" s="46"/>
      <c r="I166" s="46"/>
      <c r="J166" s="46"/>
      <c r="K166" s="46"/>
      <c r="L166" s="46"/>
      <c r="M166" s="46"/>
      <c r="N166" s="46"/>
      <c r="O166" s="46"/>
      <c r="P166" s="46"/>
      <c r="Q166" s="46"/>
      <c r="R166" s="46"/>
      <c r="S166" s="46"/>
      <c r="T166" s="46"/>
      <c r="U166" s="46"/>
      <c r="V166" s="46"/>
      <c r="W166" s="46"/>
      <c r="X166" s="46"/>
      <c r="Y166" s="46"/>
      <c r="Z166" s="46"/>
      <c r="AA166" s="46"/>
      <c r="AB166" s="46"/>
      <c r="AC166" s="46"/>
      <c r="AD166" s="46"/>
      <c r="AE166" s="46"/>
      <c r="AF166">
        <v>0</v>
      </c>
      <c r="AG166" s="49"/>
      <c r="AH166" s="49"/>
    </row>
    <row r="167" spans="1:34">
      <c r="A167" s="49" t="s">
        <v>438</v>
      </c>
      <c r="B167" s="46"/>
      <c r="C167" s="46"/>
      <c r="D167" s="46"/>
      <c r="E167" s="46"/>
      <c r="F167" s="46"/>
      <c r="G167" s="201"/>
      <c r="H167" s="46"/>
      <c r="I167" s="46"/>
      <c r="J167" s="46"/>
      <c r="K167" s="46"/>
      <c r="L167" s="46"/>
      <c r="M167" s="46"/>
      <c r="N167" s="46"/>
      <c r="O167" s="46"/>
      <c r="P167" s="46"/>
      <c r="Q167" s="46"/>
      <c r="R167" s="46"/>
      <c r="S167" s="46"/>
      <c r="T167" s="46"/>
      <c r="U167" s="46"/>
      <c r="V167" s="46"/>
      <c r="W167" s="46"/>
      <c r="X167" s="46"/>
      <c r="Y167" s="46"/>
      <c r="Z167" s="46"/>
      <c r="AA167" s="46"/>
      <c r="AB167" s="46"/>
      <c r="AC167" s="46"/>
      <c r="AD167" s="46"/>
      <c r="AE167" s="46"/>
      <c r="AF167">
        <v>0</v>
      </c>
      <c r="AG167" s="49"/>
      <c r="AH167" s="49"/>
    </row>
    <row r="168" spans="1:34" hidden="1">
      <c r="A168" s="49"/>
      <c r="B168" s="46"/>
      <c r="C168" s="46"/>
      <c r="D168" s="46"/>
      <c r="E168" s="46"/>
      <c r="F168" s="46"/>
      <c r="G168" s="46"/>
      <c r="H168" s="46"/>
      <c r="I168" s="46"/>
      <c r="J168" s="46"/>
      <c r="K168" s="46"/>
      <c r="L168" s="46"/>
      <c r="M168" s="46"/>
      <c r="N168" s="46"/>
      <c r="O168" s="46"/>
      <c r="P168" s="46"/>
      <c r="Q168" s="46"/>
      <c r="R168" s="46"/>
      <c r="S168" s="46"/>
      <c r="T168" s="46"/>
      <c r="U168" s="46"/>
      <c r="V168" s="46"/>
      <c r="W168" s="46"/>
      <c r="X168" s="46"/>
      <c r="Y168" s="46"/>
      <c r="Z168" s="46"/>
      <c r="AA168" s="46"/>
      <c r="AB168" s="46"/>
      <c r="AC168" s="46"/>
      <c r="AD168" s="46"/>
      <c r="AE168" s="46"/>
      <c r="AF168">
        <v>0</v>
      </c>
      <c r="AG168" s="49"/>
      <c r="AH168" s="49"/>
    </row>
    <row r="169" spans="1:34" hidden="1">
      <c r="A169" s="49"/>
      <c r="B169" s="46"/>
      <c r="C169" s="46"/>
      <c r="D169" s="46"/>
      <c r="E169" s="46"/>
      <c r="F169" s="46"/>
      <c r="G169" s="46"/>
      <c r="H169" s="46"/>
      <c r="I169" s="46"/>
      <c r="J169" s="46"/>
      <c r="K169" s="46"/>
      <c r="L169" s="46"/>
      <c r="M169" s="46"/>
      <c r="N169" s="46"/>
      <c r="O169" s="46"/>
      <c r="P169" s="46"/>
      <c r="Q169" s="46"/>
      <c r="R169" s="46"/>
      <c r="S169" s="46"/>
      <c r="T169" s="46"/>
      <c r="U169" s="46"/>
      <c r="V169" s="46"/>
      <c r="W169" s="46"/>
      <c r="X169" s="46"/>
      <c r="Y169" s="46"/>
      <c r="Z169" s="46"/>
      <c r="AA169" s="46"/>
      <c r="AB169" s="46"/>
      <c r="AC169" s="46"/>
      <c r="AD169" s="46"/>
      <c r="AE169" s="46"/>
      <c r="AF169">
        <v>0</v>
      </c>
      <c r="AG169" s="49"/>
      <c r="AH169" s="49"/>
    </row>
    <row r="170" spans="1:34" hidden="1">
      <c r="A170" s="49"/>
      <c r="B170" s="46"/>
      <c r="C170" s="46"/>
      <c r="D170" s="46"/>
      <c r="E170" s="46"/>
      <c r="F170" s="46"/>
      <c r="G170" s="46"/>
      <c r="H170" s="46"/>
      <c r="I170" s="46"/>
      <c r="J170" s="46"/>
      <c r="K170" s="46"/>
      <c r="L170" s="46"/>
      <c r="M170" s="46"/>
      <c r="N170" s="46"/>
      <c r="O170" s="46"/>
      <c r="P170" s="46"/>
      <c r="Q170" s="46"/>
      <c r="R170" s="46"/>
      <c r="S170" s="46"/>
      <c r="T170" s="46"/>
      <c r="U170" s="46"/>
      <c r="V170" s="46"/>
      <c r="W170" s="46"/>
      <c r="X170" s="46"/>
      <c r="Y170" s="46"/>
      <c r="Z170" s="46"/>
      <c r="AA170" s="46"/>
      <c r="AB170" s="46"/>
      <c r="AC170" s="46"/>
      <c r="AD170" s="46"/>
      <c r="AE170" s="46"/>
      <c r="AF170">
        <v>0</v>
      </c>
      <c r="AG170" s="49"/>
      <c r="AH170" s="49"/>
    </row>
    <row r="171" spans="1:34" hidden="1">
      <c r="A171" s="49"/>
      <c r="B171" s="46"/>
      <c r="C171" s="46"/>
      <c r="D171" s="46"/>
      <c r="E171" s="46"/>
      <c r="F171" s="46"/>
      <c r="G171" s="46"/>
      <c r="H171" s="46"/>
      <c r="I171" s="46"/>
      <c r="J171" s="46"/>
      <c r="K171" s="46"/>
      <c r="L171" s="46"/>
      <c r="M171" s="46"/>
      <c r="N171" s="46"/>
      <c r="O171" s="46"/>
      <c r="P171" s="46"/>
      <c r="Q171" s="46"/>
      <c r="R171" s="46"/>
      <c r="S171" s="46"/>
      <c r="T171" s="46"/>
      <c r="U171" s="46"/>
      <c r="V171" s="46"/>
      <c r="W171" s="46"/>
      <c r="X171" s="46"/>
      <c r="Y171" s="46"/>
      <c r="Z171" s="46"/>
      <c r="AA171" s="46"/>
      <c r="AB171" s="46"/>
      <c r="AC171" s="46"/>
      <c r="AD171" s="46"/>
      <c r="AE171" s="46"/>
      <c r="AF171">
        <v>0</v>
      </c>
      <c r="AG171" s="49"/>
      <c r="AH171" s="49"/>
    </row>
    <row r="172" spans="1:34" hidden="1">
      <c r="A172" s="49"/>
      <c r="B172" s="46"/>
      <c r="C172" s="46"/>
      <c r="D172" s="46"/>
      <c r="E172" s="46"/>
      <c r="F172" s="46"/>
      <c r="G172" s="46"/>
      <c r="H172" s="46"/>
      <c r="I172" s="46"/>
      <c r="J172" s="46"/>
      <c r="K172" s="46"/>
      <c r="L172" s="46"/>
      <c r="M172" s="46"/>
      <c r="N172" s="46"/>
      <c r="O172" s="46"/>
      <c r="P172" s="46"/>
      <c r="Q172" s="46"/>
      <c r="R172" s="46"/>
      <c r="S172" s="46"/>
      <c r="T172" s="46"/>
      <c r="U172" s="46"/>
      <c r="V172" s="46"/>
      <c r="W172" s="46"/>
      <c r="X172" s="46"/>
      <c r="Y172" s="46"/>
      <c r="Z172" s="46"/>
      <c r="AA172" s="46"/>
      <c r="AB172" s="46"/>
      <c r="AC172" s="46"/>
      <c r="AD172" s="46"/>
      <c r="AE172" s="46"/>
      <c r="AF172">
        <v>0</v>
      </c>
      <c r="AG172" s="49"/>
      <c r="AH172" s="49"/>
    </row>
    <row r="173" spans="1:34">
      <c r="A173" s="49" t="s">
        <v>111</v>
      </c>
      <c r="B173" s="46"/>
      <c r="C173" s="46"/>
      <c r="D173" s="46"/>
      <c r="E173" s="46"/>
      <c r="F173" s="46"/>
      <c r="G173" s="46"/>
      <c r="H173" s="46"/>
      <c r="I173" s="46"/>
      <c r="J173" s="46"/>
      <c r="K173" s="46"/>
      <c r="L173" s="46"/>
      <c r="M173" s="201"/>
      <c r="N173" s="46"/>
      <c r="O173" s="46"/>
      <c r="P173" s="46"/>
      <c r="Q173" s="46"/>
      <c r="R173" s="46"/>
      <c r="S173" s="46"/>
      <c r="T173" s="46"/>
      <c r="U173" s="46"/>
      <c r="V173" s="46"/>
      <c r="W173" s="46"/>
      <c r="X173" s="46"/>
      <c r="Y173" s="46"/>
      <c r="Z173" s="46"/>
      <c r="AA173" s="46"/>
      <c r="AB173" s="46"/>
      <c r="AC173" s="46"/>
      <c r="AD173" s="46"/>
      <c r="AE173" s="46"/>
      <c r="AF173">
        <v>0</v>
      </c>
      <c r="AG173" s="49"/>
      <c r="AH173" s="49"/>
    </row>
    <row r="174" spans="1:34">
      <c r="A174" s="49" t="s">
        <v>112</v>
      </c>
      <c r="B174" s="46"/>
      <c r="C174" s="46"/>
      <c r="D174" s="46"/>
      <c r="E174" s="46"/>
      <c r="F174" s="46"/>
      <c r="G174" s="46"/>
      <c r="H174" s="46"/>
      <c r="I174" s="46"/>
      <c r="J174" s="46"/>
      <c r="K174" s="46"/>
      <c r="L174" s="46"/>
      <c r="M174" s="46"/>
      <c r="N174" s="201"/>
      <c r="O174" s="46"/>
      <c r="P174" s="46"/>
      <c r="Q174" s="46"/>
      <c r="R174" s="46"/>
      <c r="S174" s="46"/>
      <c r="T174" s="46"/>
      <c r="U174" s="46"/>
      <c r="V174" s="46"/>
      <c r="W174" s="46"/>
      <c r="X174" s="46"/>
      <c r="Y174" s="46"/>
      <c r="Z174" s="46"/>
      <c r="AA174" s="46"/>
      <c r="AB174" s="46"/>
      <c r="AC174" s="46"/>
      <c r="AD174" s="46"/>
      <c r="AE174" s="46"/>
      <c r="AF174">
        <v>0</v>
      </c>
      <c r="AG174" s="49"/>
      <c r="AH174" s="49"/>
    </row>
    <row r="175" spans="1:34">
      <c r="A175" s="49" t="s">
        <v>113</v>
      </c>
      <c r="B175" s="46"/>
      <c r="C175" s="46"/>
      <c r="D175" s="46"/>
      <c r="E175" s="46"/>
      <c r="F175" s="46"/>
      <c r="G175" s="46"/>
      <c r="H175" s="46"/>
      <c r="I175" s="46"/>
      <c r="J175" s="46"/>
      <c r="K175" s="46"/>
      <c r="L175" s="46"/>
      <c r="M175" s="46"/>
      <c r="N175" s="46"/>
      <c r="O175" s="201"/>
      <c r="P175" s="46"/>
      <c r="Q175" s="46"/>
      <c r="R175" s="46"/>
      <c r="S175" s="46"/>
      <c r="T175" s="46"/>
      <c r="U175" s="46"/>
      <c r="V175" s="46"/>
      <c r="W175" s="46"/>
      <c r="X175" s="46"/>
      <c r="Y175" s="46"/>
      <c r="Z175" s="46"/>
      <c r="AA175" s="46"/>
      <c r="AB175" s="46"/>
      <c r="AC175" s="46"/>
      <c r="AD175" s="46"/>
      <c r="AE175" s="46"/>
      <c r="AF175">
        <v>0</v>
      </c>
      <c r="AG175" s="49"/>
      <c r="AH175" s="49"/>
    </row>
    <row r="176" spans="1:34">
      <c r="A176" s="49" t="s">
        <v>527</v>
      </c>
      <c r="B176" s="46"/>
      <c r="C176" s="46"/>
      <c r="D176" s="46"/>
      <c r="E176" s="46"/>
      <c r="F176" s="46"/>
      <c r="G176" s="46"/>
      <c r="H176" s="46"/>
      <c r="I176" s="46"/>
      <c r="J176" s="46"/>
      <c r="K176" s="46"/>
      <c r="L176" s="46"/>
      <c r="M176" s="46"/>
      <c r="N176" s="46"/>
      <c r="O176" s="46"/>
      <c r="P176" s="201"/>
      <c r="Q176" s="46"/>
      <c r="R176" s="46"/>
      <c r="S176" s="46"/>
      <c r="T176" s="46"/>
      <c r="U176" s="46"/>
      <c r="V176" s="46"/>
      <c r="W176" s="46"/>
      <c r="X176" s="46"/>
      <c r="Y176" s="46"/>
      <c r="Z176" s="46"/>
      <c r="AA176" s="46"/>
      <c r="AB176" s="46"/>
      <c r="AC176" s="46"/>
      <c r="AD176" s="46"/>
      <c r="AE176" s="46"/>
      <c r="AF176">
        <v>0</v>
      </c>
      <c r="AG176" s="49"/>
      <c r="AH176" s="49"/>
    </row>
    <row r="177" spans="1:34">
      <c r="A177" s="49" t="s">
        <v>114</v>
      </c>
      <c r="B177" s="46"/>
      <c r="C177" s="46"/>
      <c r="D177" s="46"/>
      <c r="E177" s="46"/>
      <c r="F177" s="46"/>
      <c r="G177" s="46"/>
      <c r="H177" s="46"/>
      <c r="I177" s="46"/>
      <c r="J177" s="46"/>
      <c r="K177" s="46"/>
      <c r="L177" s="46"/>
      <c r="M177" s="46"/>
      <c r="N177" s="46"/>
      <c r="O177" s="46"/>
      <c r="P177" s="46"/>
      <c r="Q177" s="201"/>
      <c r="R177" s="46"/>
      <c r="S177" s="46"/>
      <c r="T177" s="46"/>
      <c r="U177" s="46"/>
      <c r="V177" s="46"/>
      <c r="W177" s="46"/>
      <c r="X177" s="46"/>
      <c r="Y177" s="46"/>
      <c r="Z177" s="46"/>
      <c r="AA177" s="46"/>
      <c r="AB177" s="46"/>
      <c r="AC177" s="46"/>
      <c r="AD177" s="46"/>
      <c r="AE177" s="46"/>
      <c r="AF177">
        <v>0</v>
      </c>
      <c r="AG177" s="49"/>
      <c r="AH177" s="49"/>
    </row>
    <row r="178" spans="1:34">
      <c r="A178" s="49" t="s">
        <v>441</v>
      </c>
      <c r="B178" s="46"/>
      <c r="C178" s="46"/>
      <c r="D178" s="46"/>
      <c r="E178" s="46"/>
      <c r="F178" s="46"/>
      <c r="G178" s="46"/>
      <c r="H178" s="46"/>
      <c r="I178" s="46"/>
      <c r="J178" s="46"/>
      <c r="K178" s="46"/>
      <c r="L178" s="46"/>
      <c r="M178" s="46"/>
      <c r="N178" s="46"/>
      <c r="O178" s="46"/>
      <c r="P178" s="46"/>
      <c r="Q178" s="46"/>
      <c r="R178" s="201"/>
      <c r="S178" s="46"/>
      <c r="T178" s="46"/>
      <c r="U178" s="46"/>
      <c r="V178" s="46"/>
      <c r="W178" s="46"/>
      <c r="X178" s="46"/>
      <c r="Y178" s="46"/>
      <c r="Z178" s="46"/>
      <c r="AA178" s="46"/>
      <c r="AB178" s="46"/>
      <c r="AC178" s="46"/>
      <c r="AD178" s="46"/>
      <c r="AE178" s="46"/>
      <c r="AF178">
        <v>0</v>
      </c>
      <c r="AG178" s="49"/>
      <c r="AH178" s="49"/>
    </row>
    <row r="179" spans="1:34">
      <c r="A179" s="49" t="s">
        <v>433</v>
      </c>
      <c r="B179" s="46"/>
      <c r="C179" s="46"/>
      <c r="D179" s="46"/>
      <c r="E179" s="46"/>
      <c r="F179" s="46"/>
      <c r="G179" s="46"/>
      <c r="H179" s="46"/>
      <c r="I179" s="46"/>
      <c r="J179" s="46"/>
      <c r="K179" s="46"/>
      <c r="L179" s="46"/>
      <c r="M179" s="46"/>
      <c r="N179" s="46"/>
      <c r="O179" s="46"/>
      <c r="P179" s="46"/>
      <c r="Q179" s="46"/>
      <c r="R179" s="46"/>
      <c r="S179" s="201"/>
      <c r="T179" s="46"/>
      <c r="U179" s="46"/>
      <c r="V179" s="46"/>
      <c r="W179" s="46"/>
      <c r="X179" s="46"/>
      <c r="Y179" s="46"/>
      <c r="Z179" s="46"/>
      <c r="AA179" s="46"/>
      <c r="AB179" s="46"/>
      <c r="AC179" s="46"/>
      <c r="AD179" s="46"/>
      <c r="AE179" s="46"/>
      <c r="AF179">
        <v>0</v>
      </c>
      <c r="AG179" s="49"/>
      <c r="AH179" s="49"/>
    </row>
    <row r="180" spans="1:34">
      <c r="A180" s="49" t="s">
        <v>434</v>
      </c>
      <c r="B180" s="46"/>
      <c r="C180" s="46"/>
      <c r="D180" s="46"/>
      <c r="E180" s="46"/>
      <c r="F180" s="46"/>
      <c r="G180" s="46"/>
      <c r="H180" s="46"/>
      <c r="I180" s="46"/>
      <c r="J180" s="46"/>
      <c r="K180" s="46"/>
      <c r="L180" s="46"/>
      <c r="M180" s="46"/>
      <c r="N180" s="46"/>
      <c r="O180" s="46"/>
      <c r="P180" s="46"/>
      <c r="Q180" s="46"/>
      <c r="R180" s="46"/>
      <c r="S180" s="46"/>
      <c r="T180" s="201"/>
      <c r="U180" s="46"/>
      <c r="V180" s="46"/>
      <c r="W180" s="46"/>
      <c r="X180" s="46"/>
      <c r="Y180" s="46"/>
      <c r="Z180" s="46"/>
      <c r="AA180" s="46"/>
      <c r="AB180" s="46"/>
      <c r="AC180" s="46"/>
      <c r="AD180" s="46"/>
      <c r="AE180" s="46"/>
      <c r="AF180">
        <v>0</v>
      </c>
      <c r="AG180" s="49"/>
      <c r="AH180" s="49"/>
    </row>
    <row r="181" spans="1:34" hidden="1">
      <c r="A181" s="49"/>
      <c r="B181" s="46"/>
      <c r="C181" s="46"/>
      <c r="D181" s="46"/>
      <c r="E181" s="46"/>
      <c r="F181" s="46"/>
      <c r="G181" s="46"/>
      <c r="H181" s="46"/>
      <c r="I181" s="46"/>
      <c r="J181" s="46"/>
      <c r="K181" s="46"/>
      <c r="L181" s="46"/>
      <c r="M181" s="46"/>
      <c r="N181" s="46"/>
      <c r="O181" s="46"/>
      <c r="P181" s="46"/>
      <c r="Q181" s="46"/>
      <c r="R181" s="46"/>
      <c r="S181" s="46"/>
      <c r="T181" s="46"/>
      <c r="U181" s="46"/>
      <c r="V181" s="46"/>
      <c r="W181" s="46"/>
      <c r="X181" s="46"/>
      <c r="Y181" s="46"/>
      <c r="Z181" s="46"/>
      <c r="AA181" s="46"/>
      <c r="AB181" s="46"/>
      <c r="AC181" s="46"/>
      <c r="AD181" s="46"/>
      <c r="AE181" s="46"/>
      <c r="AF181">
        <v>0</v>
      </c>
      <c r="AG181" s="49"/>
      <c r="AH181" s="49"/>
    </row>
    <row r="182" spans="1:34" hidden="1">
      <c r="A182" s="49"/>
      <c r="B182" s="46"/>
      <c r="C182" s="46"/>
      <c r="D182" s="46"/>
      <c r="E182" s="46"/>
      <c r="F182" s="46"/>
      <c r="G182" s="46"/>
      <c r="H182" s="46"/>
      <c r="I182" s="46"/>
      <c r="J182" s="46"/>
      <c r="K182" s="46"/>
      <c r="L182" s="46"/>
      <c r="M182" s="46"/>
      <c r="N182" s="46"/>
      <c r="O182" s="46"/>
      <c r="P182" s="46"/>
      <c r="Q182" s="46"/>
      <c r="R182" s="46"/>
      <c r="S182" s="46"/>
      <c r="T182" s="46"/>
      <c r="U182" s="46"/>
      <c r="V182" s="46"/>
      <c r="W182" s="46"/>
      <c r="X182" s="46"/>
      <c r="Y182" s="46"/>
      <c r="Z182" s="46"/>
      <c r="AA182" s="46"/>
      <c r="AB182" s="46"/>
      <c r="AC182" s="46"/>
      <c r="AD182" s="46"/>
      <c r="AE182" s="46"/>
      <c r="AF182">
        <v>0</v>
      </c>
      <c r="AG182" s="49"/>
      <c r="AH182" s="49"/>
    </row>
    <row r="183" spans="1:34">
      <c r="A183" s="49" t="s">
        <v>115</v>
      </c>
      <c r="B183" s="46"/>
      <c r="C183" s="46"/>
      <c r="D183" s="46"/>
      <c r="E183" s="46"/>
      <c r="F183" s="46"/>
      <c r="G183" s="46"/>
      <c r="H183" s="46"/>
      <c r="I183" s="46"/>
      <c r="J183" s="46"/>
      <c r="K183" s="46"/>
      <c r="L183" s="46"/>
      <c r="M183" s="46"/>
      <c r="N183" s="46"/>
      <c r="O183" s="46"/>
      <c r="P183" s="46"/>
      <c r="Q183" s="46"/>
      <c r="R183" s="46"/>
      <c r="S183" s="46"/>
      <c r="T183" s="46"/>
      <c r="U183" s="46"/>
      <c r="V183" s="46"/>
      <c r="W183" s="201"/>
      <c r="X183" s="46"/>
      <c r="Y183" s="46"/>
      <c r="Z183" s="46"/>
      <c r="AA183" s="46"/>
      <c r="AB183" s="46"/>
      <c r="AC183" s="46"/>
      <c r="AD183" s="46"/>
      <c r="AE183" s="46"/>
      <c r="AF183">
        <v>0</v>
      </c>
      <c r="AG183" s="49"/>
      <c r="AH183" s="49"/>
    </row>
    <row r="184" spans="1:34">
      <c r="A184" s="49" t="s">
        <v>116</v>
      </c>
      <c r="B184" s="46"/>
      <c r="C184" s="46"/>
      <c r="D184" s="46"/>
      <c r="E184" s="46"/>
      <c r="F184" s="46"/>
      <c r="G184" s="46"/>
      <c r="H184" s="46"/>
      <c r="I184" s="46"/>
      <c r="J184" s="46"/>
      <c r="K184" s="46"/>
      <c r="L184" s="46"/>
      <c r="M184" s="46"/>
      <c r="N184" s="46"/>
      <c r="O184" s="46"/>
      <c r="P184" s="46"/>
      <c r="Q184" s="46"/>
      <c r="R184" s="46"/>
      <c r="S184" s="46"/>
      <c r="T184" s="46"/>
      <c r="U184" s="46"/>
      <c r="V184" s="46"/>
      <c r="W184" s="46"/>
      <c r="X184" s="201"/>
      <c r="Y184" s="46"/>
      <c r="Z184" s="46"/>
      <c r="AA184" s="46"/>
      <c r="AB184" s="46"/>
      <c r="AC184" s="46"/>
      <c r="AD184" s="46"/>
      <c r="AE184" s="46"/>
      <c r="AF184">
        <v>0</v>
      </c>
      <c r="AG184" s="49"/>
      <c r="AH184" s="49"/>
    </row>
    <row r="185" spans="1:34">
      <c r="A185" s="49" t="s">
        <v>117</v>
      </c>
      <c r="B185" s="46"/>
      <c r="C185" s="46"/>
      <c r="D185" s="46"/>
      <c r="E185" s="46"/>
      <c r="F185" s="46"/>
      <c r="G185" s="46"/>
      <c r="H185" s="46"/>
      <c r="I185" s="46"/>
      <c r="J185" s="46"/>
      <c r="K185" s="46"/>
      <c r="L185" s="46"/>
      <c r="M185" s="46"/>
      <c r="N185" s="46"/>
      <c r="O185" s="46"/>
      <c r="P185" s="46"/>
      <c r="Q185" s="46"/>
      <c r="R185" s="46"/>
      <c r="S185" s="46"/>
      <c r="T185" s="46"/>
      <c r="U185" s="46"/>
      <c r="V185" s="46"/>
      <c r="W185" s="46"/>
      <c r="X185" s="46"/>
      <c r="Y185" s="201"/>
      <c r="Z185" s="46"/>
      <c r="AA185" s="46"/>
      <c r="AB185" s="46"/>
      <c r="AC185" s="46"/>
      <c r="AD185" s="46"/>
      <c r="AE185" s="46"/>
      <c r="AF185">
        <v>0</v>
      </c>
      <c r="AG185" s="49"/>
      <c r="AH185" s="49"/>
    </row>
    <row r="186" spans="1:34">
      <c r="A186" s="49" t="s">
        <v>528</v>
      </c>
      <c r="B186" s="46"/>
      <c r="C186" s="46"/>
      <c r="D186" s="46"/>
      <c r="E186" s="46"/>
      <c r="F186" s="46"/>
      <c r="G186" s="46"/>
      <c r="H186" s="46"/>
      <c r="I186" s="46"/>
      <c r="J186" s="46"/>
      <c r="K186" s="46"/>
      <c r="L186" s="46"/>
      <c r="M186" s="46"/>
      <c r="N186" s="46"/>
      <c r="O186" s="46"/>
      <c r="P186" s="46"/>
      <c r="Q186" s="46"/>
      <c r="R186" s="46"/>
      <c r="S186" s="46"/>
      <c r="T186" s="46"/>
      <c r="U186" s="46"/>
      <c r="V186" s="46"/>
      <c r="W186" s="46"/>
      <c r="X186" s="46"/>
      <c r="Y186" s="46"/>
      <c r="Z186" s="201"/>
      <c r="AA186" s="46"/>
      <c r="AB186" s="46"/>
      <c r="AC186" s="46"/>
      <c r="AD186" s="46"/>
      <c r="AE186" s="46"/>
      <c r="AF186">
        <v>0</v>
      </c>
      <c r="AG186" s="49"/>
      <c r="AH186" s="49"/>
    </row>
    <row r="187" spans="1:34">
      <c r="A187" s="49" t="s">
        <v>118</v>
      </c>
      <c r="B187" s="46"/>
      <c r="C187" s="46"/>
      <c r="D187" s="46"/>
      <c r="E187" s="46"/>
      <c r="F187" s="46"/>
      <c r="G187" s="46"/>
      <c r="H187" s="46"/>
      <c r="I187" s="46"/>
      <c r="J187" s="46"/>
      <c r="K187" s="46"/>
      <c r="L187" s="46"/>
      <c r="M187" s="46"/>
      <c r="N187" s="46"/>
      <c r="O187" s="46"/>
      <c r="P187" s="46"/>
      <c r="Q187" s="46"/>
      <c r="R187" s="46"/>
      <c r="S187" s="46"/>
      <c r="T187" s="46"/>
      <c r="U187" s="46"/>
      <c r="V187" s="46"/>
      <c r="W187" s="46"/>
      <c r="X187" s="46"/>
      <c r="Y187" s="46"/>
      <c r="Z187" s="46"/>
      <c r="AA187" s="201"/>
      <c r="AB187" s="46"/>
      <c r="AC187" s="46"/>
      <c r="AD187" s="46"/>
      <c r="AE187" s="46"/>
      <c r="AF187">
        <v>0</v>
      </c>
      <c r="AG187" s="49"/>
      <c r="AH187" s="49"/>
    </row>
    <row r="188" spans="1:34">
      <c r="A188" s="49" t="s">
        <v>119</v>
      </c>
      <c r="B188" s="46"/>
      <c r="C188" s="46"/>
      <c r="D188" s="46"/>
      <c r="E188" s="46"/>
      <c r="F188" s="46"/>
      <c r="G188" s="46"/>
      <c r="H188" s="46"/>
      <c r="I188" s="46"/>
      <c r="J188" s="46"/>
      <c r="K188" s="46"/>
      <c r="L188" s="46"/>
      <c r="M188" s="46"/>
      <c r="N188" s="46"/>
      <c r="O188" s="46"/>
      <c r="P188" s="46"/>
      <c r="Q188" s="46"/>
      <c r="R188" s="46"/>
      <c r="S188" s="46"/>
      <c r="T188" s="46"/>
      <c r="U188" s="46"/>
      <c r="V188" s="46"/>
      <c r="W188" s="46"/>
      <c r="X188" s="46"/>
      <c r="Y188" s="46"/>
      <c r="Z188" s="46"/>
      <c r="AA188" s="46"/>
      <c r="AB188" s="201"/>
      <c r="AC188" s="46"/>
      <c r="AD188" s="46"/>
      <c r="AE188" s="46"/>
      <c r="AF188">
        <v>0</v>
      </c>
      <c r="AG188" s="49"/>
      <c r="AH188" s="49"/>
    </row>
    <row r="189" spans="1:34">
      <c r="A189" s="49" t="s">
        <v>120</v>
      </c>
      <c r="B189" s="46"/>
      <c r="C189" s="46"/>
      <c r="D189" s="46"/>
      <c r="E189" s="46"/>
      <c r="F189" s="46"/>
      <c r="G189" s="46"/>
      <c r="H189" s="46"/>
      <c r="I189" s="46"/>
      <c r="J189" s="46"/>
      <c r="K189" s="46"/>
      <c r="L189" s="46"/>
      <c r="M189" s="46"/>
      <c r="N189" s="46"/>
      <c r="O189" s="46"/>
      <c r="P189" s="46"/>
      <c r="Q189" s="46"/>
      <c r="R189" s="46"/>
      <c r="S189" s="46"/>
      <c r="T189" s="46"/>
      <c r="U189" s="46"/>
      <c r="V189" s="46"/>
      <c r="W189" s="46"/>
      <c r="X189" s="46"/>
      <c r="Y189" s="46"/>
      <c r="Z189" s="46"/>
      <c r="AA189" s="46"/>
      <c r="AB189" s="46"/>
      <c r="AC189" s="201"/>
      <c r="AD189" s="46"/>
      <c r="AE189" s="46"/>
      <c r="AF189">
        <v>0</v>
      </c>
      <c r="AG189" s="49"/>
      <c r="AH189" s="49"/>
    </row>
    <row r="190" spans="1:34">
      <c r="A190" s="49" t="s">
        <v>435</v>
      </c>
      <c r="B190" s="46"/>
      <c r="C190" s="46"/>
      <c r="D190" s="46"/>
      <c r="E190" s="46"/>
      <c r="F190" s="46"/>
      <c r="G190" s="46"/>
      <c r="H190" s="46"/>
      <c r="I190" s="46"/>
      <c r="J190" s="46"/>
      <c r="K190" s="46"/>
      <c r="L190" s="46"/>
      <c r="M190" s="46"/>
      <c r="N190" s="46"/>
      <c r="O190" s="46"/>
      <c r="P190" s="46"/>
      <c r="Q190" s="46"/>
      <c r="R190" s="46"/>
      <c r="S190" s="46"/>
      <c r="T190" s="46"/>
      <c r="U190" s="46"/>
      <c r="V190" s="46"/>
      <c r="W190" s="46"/>
      <c r="X190" s="46"/>
      <c r="Y190" s="46"/>
      <c r="Z190" s="46"/>
      <c r="AA190" s="46"/>
      <c r="AB190" s="46"/>
      <c r="AC190" s="46"/>
      <c r="AD190" s="201"/>
      <c r="AE190" s="46"/>
      <c r="AF190">
        <v>0</v>
      </c>
      <c r="AG190" s="49"/>
      <c r="AH190" s="49"/>
    </row>
    <row r="191" spans="1:34">
      <c r="A191" s="49" t="s">
        <v>436</v>
      </c>
      <c r="B191" s="46"/>
      <c r="C191" s="46"/>
      <c r="D191" s="46"/>
      <c r="E191" s="46"/>
      <c r="F191" s="46"/>
      <c r="G191" s="46"/>
      <c r="H191" s="46"/>
      <c r="I191" s="46"/>
      <c r="J191" s="46"/>
      <c r="K191" s="46"/>
      <c r="L191" s="46"/>
      <c r="M191" s="46"/>
      <c r="N191" s="46"/>
      <c r="O191" s="46"/>
      <c r="P191" s="46"/>
      <c r="Q191" s="46"/>
      <c r="R191" s="46"/>
      <c r="S191" s="46"/>
      <c r="T191" s="46"/>
      <c r="U191" s="46"/>
      <c r="V191" s="46"/>
      <c r="W191" s="46"/>
      <c r="X191" s="46"/>
      <c r="Y191" s="46"/>
      <c r="Z191" s="46"/>
      <c r="AA191" s="46"/>
      <c r="AB191" s="46"/>
      <c r="AC191" s="46"/>
      <c r="AD191" s="46"/>
      <c r="AE191" s="201"/>
      <c r="AF191">
        <v>0</v>
      </c>
      <c r="AG191" s="49"/>
      <c r="AH191" s="49"/>
    </row>
    <row r="192" spans="1:34" hidden="1">
      <c r="C192">
        <v>0</v>
      </c>
      <c r="D192">
        <v>0</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row>
    <row r="193" spans="1:34">
      <c r="A193" s="49"/>
      <c r="B193" s="49"/>
      <c r="C193" s="49"/>
      <c r="D193" s="49"/>
      <c r="E193" s="49"/>
      <c r="F193" s="49"/>
      <c r="G193" s="49"/>
      <c r="H193" s="49"/>
      <c r="I193" s="49"/>
      <c r="J193" s="49"/>
      <c r="K193" s="49"/>
      <c r="L193" s="49"/>
      <c r="M193" s="49"/>
      <c r="N193" s="49"/>
      <c r="O193" s="49"/>
      <c r="P193" s="49"/>
      <c r="Q193" s="49"/>
      <c r="R193" s="49"/>
      <c r="S193" s="49"/>
      <c r="T193" s="49"/>
      <c r="U193" s="49"/>
      <c r="V193" s="49"/>
      <c r="W193" s="49"/>
      <c r="X193" s="49"/>
      <c r="Y193" s="49"/>
      <c r="Z193" s="49"/>
      <c r="AA193" s="49"/>
      <c r="AB193" s="49"/>
      <c r="AC193" s="49"/>
      <c r="AD193" s="49"/>
      <c r="AE193" s="49"/>
      <c r="AF193" s="49"/>
      <c r="AG193" s="49"/>
      <c r="AH193" s="49"/>
    </row>
    <row r="194" spans="1:34">
      <c r="A194" s="49"/>
      <c r="B194" s="49"/>
      <c r="C194" s="49"/>
      <c r="D194" s="49"/>
      <c r="E194" s="49"/>
      <c r="F194" s="49"/>
      <c r="G194" s="49"/>
      <c r="H194" s="49"/>
      <c r="I194" s="49"/>
      <c r="J194" s="49"/>
      <c r="K194" s="49"/>
      <c r="L194" s="49"/>
      <c r="M194" s="49"/>
      <c r="N194" s="49"/>
      <c r="O194" s="49"/>
      <c r="P194" s="49"/>
      <c r="Q194" s="49"/>
      <c r="R194" s="49"/>
      <c r="S194" s="49"/>
      <c r="T194" s="49"/>
      <c r="U194" s="49"/>
      <c r="V194" s="49"/>
      <c r="W194" s="49"/>
      <c r="X194" s="49"/>
      <c r="Y194" s="49"/>
      <c r="Z194" s="49"/>
      <c r="AA194" s="49"/>
      <c r="AB194" s="49"/>
      <c r="AC194" s="49"/>
      <c r="AD194" s="49"/>
      <c r="AE194" s="49"/>
      <c r="AF194" s="49"/>
      <c r="AG194" s="49"/>
      <c r="AH194" s="49"/>
    </row>
    <row r="195" spans="1:34">
      <c r="A195" s="49"/>
      <c r="B195" s="49"/>
      <c r="C195" s="49"/>
      <c r="D195" s="49"/>
      <c r="E195" s="49"/>
      <c r="F195" s="49"/>
      <c r="G195" s="49"/>
      <c r="H195" s="49"/>
      <c r="I195" s="49"/>
      <c r="J195" s="49"/>
      <c r="K195" s="49"/>
      <c r="L195" s="49"/>
      <c r="M195" s="49"/>
      <c r="N195" s="49"/>
      <c r="O195" s="49"/>
      <c r="P195" s="49"/>
      <c r="Q195" s="49"/>
      <c r="R195" s="49"/>
      <c r="S195" s="49"/>
      <c r="T195" s="49"/>
      <c r="U195" s="49"/>
      <c r="V195" s="49"/>
      <c r="W195" s="49"/>
      <c r="X195" s="49"/>
      <c r="Y195" s="49"/>
      <c r="Z195" s="49"/>
      <c r="AA195" s="49"/>
      <c r="AB195" s="49"/>
      <c r="AC195" s="49"/>
      <c r="AD195" s="49"/>
      <c r="AE195" s="49"/>
      <c r="AF195" s="49"/>
      <c r="AG195" s="49"/>
      <c r="AH195" s="49"/>
    </row>
    <row r="196" spans="1:34">
      <c r="A196" s="49"/>
      <c r="B196" s="49"/>
      <c r="C196" s="49"/>
      <c r="D196" s="49"/>
      <c r="E196" s="49"/>
      <c r="F196" s="49"/>
      <c r="G196" s="49"/>
      <c r="H196" s="49"/>
      <c r="I196" s="49"/>
      <c r="J196" s="49"/>
      <c r="K196" s="49"/>
      <c r="L196" s="49"/>
      <c r="M196" s="49"/>
      <c r="N196" s="49"/>
      <c r="O196" s="49"/>
      <c r="P196" s="49"/>
      <c r="Q196" s="49"/>
      <c r="R196" s="49"/>
      <c r="S196" s="49"/>
      <c r="T196" s="49"/>
      <c r="U196" s="49"/>
      <c r="V196" s="49"/>
      <c r="W196" s="49"/>
      <c r="X196" s="49"/>
      <c r="Y196" s="49"/>
      <c r="Z196" s="49"/>
      <c r="AA196" s="49"/>
      <c r="AB196" s="49"/>
      <c r="AC196" s="49"/>
      <c r="AD196" s="49"/>
      <c r="AE196" s="49"/>
      <c r="AF196" s="49"/>
      <c r="AG196" s="49"/>
      <c r="AH196" s="49"/>
    </row>
    <row r="197" spans="1:34">
      <c r="A197" s="49"/>
      <c r="B197" s="49"/>
      <c r="C197" s="49"/>
      <c r="D197" s="49"/>
      <c r="E197" s="49"/>
      <c r="F197" s="49"/>
      <c r="G197" s="49"/>
      <c r="H197" s="49"/>
      <c r="I197" s="49"/>
      <c r="J197" s="49"/>
      <c r="K197" s="49"/>
      <c r="L197" s="49"/>
      <c r="M197" s="49"/>
      <c r="N197" s="49"/>
      <c r="O197" s="49"/>
      <c r="P197" s="49"/>
      <c r="Q197" s="49"/>
      <c r="R197" s="49"/>
      <c r="S197" s="49"/>
      <c r="T197" s="49"/>
      <c r="U197" s="49"/>
      <c r="V197" s="49"/>
      <c r="W197" s="49"/>
      <c r="X197" s="49"/>
      <c r="Y197" s="49"/>
      <c r="Z197" s="49"/>
      <c r="AA197" s="49"/>
      <c r="AB197" s="49"/>
      <c r="AC197" s="49"/>
      <c r="AD197" s="49"/>
      <c r="AE197" s="49"/>
      <c r="AF197" s="49"/>
      <c r="AG197" s="49"/>
      <c r="AH197" s="49"/>
    </row>
    <row r="198" spans="1:34">
      <c r="A198" s="49"/>
      <c r="B198" s="49"/>
      <c r="C198" s="49"/>
      <c r="D198" s="49"/>
      <c r="E198" s="49"/>
      <c r="F198" s="49"/>
      <c r="G198" s="49"/>
      <c r="H198" s="49"/>
      <c r="I198" s="49"/>
      <c r="J198" s="49"/>
      <c r="K198" s="49"/>
      <c r="L198" s="49"/>
      <c r="M198" s="49"/>
      <c r="N198" s="49"/>
      <c r="O198" s="49"/>
      <c r="P198" s="49"/>
      <c r="Q198" s="49"/>
      <c r="R198" s="49"/>
      <c r="S198" s="49"/>
      <c r="T198" s="49"/>
      <c r="U198" s="49"/>
      <c r="V198" s="49"/>
      <c r="W198" s="49"/>
      <c r="X198" s="49"/>
      <c r="Y198" s="49"/>
      <c r="Z198" s="49"/>
      <c r="AA198" s="49"/>
      <c r="AB198" s="49"/>
      <c r="AC198" s="49"/>
      <c r="AD198" s="49"/>
      <c r="AE198" s="49"/>
      <c r="AF198" s="49"/>
      <c r="AG198" s="49"/>
      <c r="AH198" s="49"/>
    </row>
    <row r="199" spans="1:34">
      <c r="A199" s="49"/>
      <c r="B199" s="49"/>
      <c r="C199" s="49"/>
      <c r="D199" s="49"/>
      <c r="E199" s="49"/>
      <c r="F199" s="49"/>
      <c r="G199" s="49"/>
      <c r="H199" s="49"/>
      <c r="I199" s="49"/>
      <c r="J199" s="49"/>
      <c r="K199" s="49"/>
      <c r="L199" s="49"/>
      <c r="M199" s="49"/>
      <c r="N199" s="49"/>
      <c r="O199" s="49"/>
      <c r="P199" s="49"/>
      <c r="Q199" s="49"/>
      <c r="R199" s="49"/>
      <c r="S199" s="49"/>
      <c r="T199" s="49"/>
      <c r="U199" s="49"/>
      <c r="V199" s="49"/>
      <c r="W199" s="49"/>
      <c r="X199" s="49"/>
      <c r="Y199" s="49"/>
      <c r="Z199" s="49"/>
      <c r="AA199" s="49"/>
      <c r="AB199" s="49"/>
      <c r="AC199" s="49"/>
      <c r="AD199" s="49"/>
      <c r="AE199" s="49"/>
      <c r="AF199" s="49"/>
      <c r="AG199" s="49"/>
      <c r="AH199" s="49"/>
    </row>
    <row r="200" spans="1:34">
      <c r="A200" s="49"/>
      <c r="B200" s="49"/>
      <c r="C200" s="49"/>
      <c r="D200" s="49"/>
      <c r="E200" s="49"/>
      <c r="F200" s="49"/>
      <c r="G200" s="49"/>
      <c r="H200" s="49"/>
      <c r="I200" s="49"/>
      <c r="J200" s="49"/>
      <c r="K200" s="49"/>
      <c r="L200" s="49"/>
      <c r="M200" s="49"/>
      <c r="N200" s="49"/>
      <c r="O200" s="49"/>
      <c r="P200" s="49"/>
      <c r="Q200" s="49"/>
      <c r="R200" s="49"/>
      <c r="S200" s="49"/>
      <c r="T200" s="49"/>
      <c r="U200" s="49"/>
      <c r="V200" s="49"/>
      <c r="W200" s="49"/>
      <c r="X200" s="49"/>
      <c r="Y200" s="49"/>
      <c r="Z200" s="49"/>
      <c r="AA200" s="49"/>
      <c r="AB200" s="49"/>
      <c r="AC200" s="49"/>
      <c r="AD200" s="49"/>
      <c r="AE200" s="49"/>
      <c r="AF200" s="49"/>
      <c r="AG200" s="49"/>
      <c r="AH200" s="49"/>
    </row>
  </sheetData>
  <pageMargins left="0.7" right="0.7" top="0.75" bottom="0.75" header="0.3" footer="0.3"/>
  <pageSetup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FF0000"/>
  </sheetPr>
  <dimension ref="B1:E1"/>
  <sheetViews>
    <sheetView workbookViewId="0">
      <selection activeCell="S3" sqref="S3"/>
    </sheetView>
  </sheetViews>
  <sheetFormatPr defaultColWidth="9.1328125" defaultRowHeight="15" customHeight="1"/>
  <cols>
    <col min="1" max="1" width="9.1328125" customWidth="1"/>
    <col min="2" max="5" width="9.1328125" hidden="1" customWidth="1"/>
    <col min="6" max="54" width="9.1328125" customWidth="1"/>
  </cols>
  <sheetData/>
  <phoneticPr fontId="2"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rgb="FFFF0000"/>
  </sheetPr>
  <dimension ref="B1:E2"/>
  <sheetViews>
    <sheetView topLeftCell="AA1" workbookViewId="0">
      <selection activeCell="AK35" sqref="AK35"/>
    </sheetView>
  </sheetViews>
  <sheetFormatPr defaultColWidth="9.1328125" defaultRowHeight="14.25"/>
  <cols>
    <col min="1" max="1" width="9.1328125" customWidth="1"/>
    <col min="2" max="5" width="9.1328125" hidden="1" customWidth="1"/>
    <col min="6" max="55" width="9.1328125" customWidth="1"/>
    <col min="72" max="72" width="9.1328125" customWidth="1"/>
  </cols>
  <sheetData>
    <row r="1" ht="14.45" customHeight="1"/>
    <row r="2" ht="14.45" customHeight="1"/>
  </sheetData>
  <phoneticPr fontId="2"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tabColor rgb="FFFF0000"/>
  </sheetPr>
  <dimension ref="B1:E1"/>
  <sheetViews>
    <sheetView workbookViewId="0">
      <selection activeCell="U17" sqref="U17"/>
    </sheetView>
  </sheetViews>
  <sheetFormatPr defaultColWidth="8.3984375" defaultRowHeight="15" customHeight="1"/>
  <cols>
    <col min="1" max="1" width="8.3984375" customWidth="1"/>
    <col min="2" max="5" width="8.3984375" hidden="1" customWidth="1"/>
    <col min="6" max="89" width="8.3984375" customWidth="1"/>
    <col min="101" max="101" width="8.3984375" customWidth="1"/>
  </cols>
  <sheetData/>
  <phoneticPr fontId="2" type="noConversion"/>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FF0000"/>
  </sheetPr>
  <dimension ref="B1:E1"/>
  <sheetViews>
    <sheetView workbookViewId="0"/>
  </sheetViews>
  <sheetFormatPr defaultColWidth="9.1328125" defaultRowHeight="15" customHeight="1"/>
  <cols>
    <col min="1" max="1" width="9.1328125" customWidth="1"/>
    <col min="2" max="5" width="9.1328125" hidden="1" customWidth="1"/>
    <col min="6" max="971" width="9.1328125" customWidth="1"/>
  </cols>
  <sheetData/>
  <phoneticPr fontId="2" type="noConversion"/>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rgb="FFFF0000"/>
  </sheetPr>
  <dimension ref="B1:E1"/>
  <sheetViews>
    <sheetView workbookViewId="0">
      <selection activeCell="R20" sqref="R20"/>
    </sheetView>
  </sheetViews>
  <sheetFormatPr defaultColWidth="9.1328125" defaultRowHeight="15" customHeight="1"/>
  <cols>
    <col min="1" max="1" width="9.1328125" customWidth="1"/>
    <col min="2" max="5" width="9.1328125" hidden="1" customWidth="1"/>
    <col min="6" max="75" width="9.1328125" customWidth="1"/>
    <col min="77" max="85" width="9.1328125" customWidth="1"/>
  </cols>
  <sheetData/>
  <phoneticPr fontId="2"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rgb="FFFF0000"/>
  </sheetPr>
  <dimension ref="B1:E1"/>
  <sheetViews>
    <sheetView topLeftCell="G1" workbookViewId="0">
      <selection activeCell="W5" sqref="W5"/>
    </sheetView>
  </sheetViews>
  <sheetFormatPr defaultColWidth="9.1328125" defaultRowHeight="15" customHeight="1"/>
  <cols>
    <col min="1" max="1" width="9.1328125" customWidth="1"/>
    <col min="2" max="5" width="9.1328125" hidden="1" customWidth="1"/>
    <col min="6" max="40" width="9.1328125" customWidth="1"/>
    <col min="47" max="55" width="9.1328125" customWidth="1"/>
  </cols>
  <sheetData/>
  <phoneticPr fontId="2" type="noConversion"/>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FF0000"/>
  </sheetPr>
  <dimension ref="B1:E1"/>
  <sheetViews>
    <sheetView workbookViewId="0">
      <selection activeCell="Z3" sqref="Z3"/>
    </sheetView>
  </sheetViews>
  <sheetFormatPr defaultColWidth="9.1328125" defaultRowHeight="15" customHeight="1"/>
  <cols>
    <col min="1" max="1" width="9.1328125" customWidth="1"/>
    <col min="2" max="5" width="9.1328125" hidden="1" customWidth="1"/>
    <col min="6" max="35" width="9.1328125" customWidth="1"/>
    <col min="50" max="50" width="9.1328125" customWidth="1"/>
  </cols>
  <sheetData/>
  <phoneticPr fontId="2" type="noConversion"/>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1DAB1-A6C0-4E87-9198-35521ADDB86C}">
  <sheetPr codeName="Sheet19">
    <tabColor rgb="FFFF0000"/>
  </sheetPr>
  <dimension ref="B1:E1"/>
  <sheetViews>
    <sheetView workbookViewId="0">
      <selection activeCell="V36" sqref="V36"/>
    </sheetView>
  </sheetViews>
  <sheetFormatPr defaultColWidth="8.3984375" defaultRowHeight="15" customHeight="1"/>
  <cols>
    <col min="2" max="5" width="8.3984375" hidden="1" customWidth="1"/>
    <col min="6" max="59" width="8.3984375" customWidth="1"/>
    <col min="92" max="99" width="8.3984375" customWidth="1"/>
  </cols>
  <sheetData/>
  <phoneticPr fontId="2"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A310D-B5E3-4B5F-B675-B3462C6473D7}">
  <sheetPr codeName="Sheet24">
    <tabColor rgb="FFFF0000"/>
  </sheetPr>
  <dimension ref="A1"/>
  <sheetViews>
    <sheetView workbookViewId="0">
      <selection activeCell="L34" sqref="L34"/>
    </sheetView>
  </sheetViews>
  <sheetFormatPr defaultColWidth="8.3984375" defaultRowHeight="12.75"/>
  <cols>
    <col min="1" max="1" width="12.1328125" style="77" customWidth="1"/>
    <col min="2" max="16384" width="8.3984375" style="77"/>
  </cols>
  <sheetData>
    <row r="1" spans="1:1" ht="15" customHeight="1">
      <c r="A1" s="182"/>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160</vt:i4>
      </vt:variant>
    </vt:vector>
  </HeadingPairs>
  <TitlesOfParts>
    <vt:vector size="186" baseType="lpstr">
      <vt:lpstr>DB_chem</vt:lpstr>
      <vt:lpstr>DB_env</vt:lpstr>
      <vt:lpstr>DB_pop</vt:lpstr>
      <vt:lpstr>DB_particles</vt:lpstr>
      <vt:lpstr>Start</vt:lpstr>
      <vt:lpstr>BatchMode</vt:lpstr>
      <vt:lpstr>Input_Chemical</vt:lpstr>
      <vt:lpstr>Input_Technosphere</vt:lpstr>
      <vt:lpstr>Input_Environment</vt:lpstr>
      <vt:lpstr>Input_Human</vt:lpstr>
      <vt:lpstr>Input_Toxicity</vt:lpstr>
      <vt:lpstr>Notes</vt:lpstr>
      <vt:lpstr>Input_Foodweb</vt:lpstr>
      <vt:lpstr>Output_Hazard</vt:lpstr>
      <vt:lpstr>Output_Foodchain</vt:lpstr>
      <vt:lpstr>Output_Technosphere</vt:lpstr>
      <vt:lpstr>Output_Intermedia</vt:lpstr>
      <vt:lpstr>Output_Emissions</vt:lpstr>
      <vt:lpstr>Output_Zvalues</vt:lpstr>
      <vt:lpstr>Output_Dvalues</vt:lpstr>
      <vt:lpstr>Output_Flux</vt:lpstr>
      <vt:lpstr>Output_Concentration</vt:lpstr>
      <vt:lpstr>Output_Fugacity</vt:lpstr>
      <vt:lpstr>Output_Inventory</vt:lpstr>
      <vt:lpstr>Output_Human</vt:lpstr>
      <vt:lpstr>Output_Toxicity</vt:lpstr>
      <vt:lpstr>A</vt:lpstr>
      <vt:lpstr>AE_air</vt:lpstr>
      <vt:lpstr>AE_biota</vt:lpstr>
      <vt:lpstr>AE_metabolism</vt:lpstr>
      <vt:lpstr>AE_surface</vt:lpstr>
      <vt:lpstr>AE_water</vt:lpstr>
      <vt:lpstr>Ai</vt:lpstr>
      <vt:lpstr>B</vt:lpstr>
      <vt:lpstr>Bi</vt:lpstr>
      <vt:lpstr>ChemCat</vt:lpstr>
      <vt:lpstr>dUaw</vt:lpstr>
      <vt:lpstr>dUoa</vt:lpstr>
      <vt:lpstr>dUow</vt:lpstr>
      <vt:lpstr>E</vt:lpstr>
      <vt:lpstr>Eff_compost</vt:lpstr>
      <vt:lpstr>Eff_stp</vt:lpstr>
      <vt:lpstr>Ei</vt:lpstr>
      <vt:lpstr>Elevation</vt:lpstr>
      <vt:lpstr>EmissionStartYear</vt:lpstr>
      <vt:lpstr>EnvironNum</vt:lpstr>
      <vt:lpstr>ErrorMsg</vt:lpstr>
      <vt:lpstr>F_reabsorp</vt:lpstr>
      <vt:lpstr>F_secret</vt:lpstr>
      <vt:lpstr>Far_1</vt:lpstr>
      <vt:lpstr>Far_2</vt:lpstr>
      <vt:lpstr>Far_3</vt:lpstr>
      <vt:lpstr>Far_4</vt:lpstr>
      <vt:lpstr>Fin_Fout_A</vt:lpstr>
      <vt:lpstr>Fin_Fout_CW</vt:lpstr>
      <vt:lpstr>Fin_Fout_DpGW</vt:lpstr>
      <vt:lpstr>Fin_Fout_ShGW</vt:lpstr>
      <vt:lpstr>fracConcrete</vt:lpstr>
      <vt:lpstr>fracConiferousR</vt:lpstr>
      <vt:lpstr>fracConiferousU</vt:lpstr>
      <vt:lpstr>fracLeaf</vt:lpstr>
      <vt:lpstr>FracUnbound</vt:lpstr>
      <vt:lpstr>freqStorm</vt:lpstr>
      <vt:lpstr>GSD_humantox</vt:lpstr>
      <vt:lpstr>HumanBornYear</vt:lpstr>
      <vt:lpstr>Indoor_cal</vt:lpstr>
      <vt:lpstr>Indoor_conc</vt:lpstr>
      <vt:lpstr>Indoor_thickness</vt:lpstr>
      <vt:lpstr>Jm</vt:lpstr>
      <vt:lpstr>Jminus</vt:lpstr>
      <vt:lpstr>Jp</vt:lpstr>
      <vt:lpstr>Jplus</vt:lpstr>
      <vt:lpstr>k_air</vt:lpstr>
      <vt:lpstr>k_aquatic</vt:lpstr>
      <vt:lpstr>k_avian</vt:lpstr>
      <vt:lpstr>k_invertebrate</vt:lpstr>
      <vt:lpstr>k_mammalian</vt:lpstr>
      <vt:lpstr>k_metabolism</vt:lpstr>
      <vt:lpstr>k_surface</vt:lpstr>
      <vt:lpstr>k_water</vt:lpstr>
      <vt:lpstr>Kaw</vt:lpstr>
      <vt:lpstr>Kaw_i</vt:lpstr>
      <vt:lpstr>Kcec</vt:lpstr>
      <vt:lpstr>Kcoc</vt:lpstr>
      <vt:lpstr>Kcoc_i</vt:lpstr>
      <vt:lpstr>Kmm</vt:lpstr>
      <vt:lpstr>Kmm_i</vt:lpstr>
      <vt:lpstr>Knlipid</vt:lpstr>
      <vt:lpstr>Knlipid_i</vt:lpstr>
      <vt:lpstr>Koa</vt:lpstr>
      <vt:lpstr>Koa_i</vt:lpstr>
      <vt:lpstr>Koc</vt:lpstr>
      <vt:lpstr>Koc_i</vt:lpstr>
      <vt:lpstr>Kow</vt:lpstr>
      <vt:lpstr>Kow_i</vt:lpstr>
      <vt:lpstr>Kplipid</vt:lpstr>
      <vt:lpstr>Kplipid_i</vt:lpstr>
      <vt:lpstr>Kprotein</vt:lpstr>
      <vt:lpstr>Kprotein_i</vt:lpstr>
      <vt:lpstr>Kwiom</vt:lpstr>
      <vt:lpstr>Kwiom_i</vt:lpstr>
      <vt:lpstr>L</vt:lpstr>
      <vt:lpstr>Latitude</vt:lpstr>
      <vt:lpstr>MW</vt:lpstr>
      <vt:lpstr>NAi</vt:lpstr>
      <vt:lpstr>Near_1</vt:lpstr>
      <vt:lpstr>Near_2</vt:lpstr>
      <vt:lpstr>Near_3</vt:lpstr>
      <vt:lpstr>NumChem</vt:lpstr>
      <vt:lpstr>OH_APR</vt:lpstr>
      <vt:lpstr>OH_AUG</vt:lpstr>
      <vt:lpstr>OH_DEC</vt:lpstr>
      <vt:lpstr>OH_FEB</vt:lpstr>
      <vt:lpstr>OH_indoor</vt:lpstr>
      <vt:lpstr>OH_JAN</vt:lpstr>
      <vt:lpstr>OH_JUL</vt:lpstr>
      <vt:lpstr>OH_JUN</vt:lpstr>
      <vt:lpstr>OH_MAR</vt:lpstr>
      <vt:lpstr>OH_MAY</vt:lpstr>
      <vt:lpstr>OH_NOV</vt:lpstr>
      <vt:lpstr>OH_OCT</vt:lpstr>
      <vt:lpstr>OH_SEP</vt:lpstr>
      <vt:lpstr>Outdoor_cal</vt:lpstr>
      <vt:lpstr>Outdoor_conc</vt:lpstr>
      <vt:lpstr>Outdoor_thickness</vt:lpstr>
      <vt:lpstr>outputANIYN</vt:lpstr>
      <vt:lpstr>outputDYN</vt:lpstr>
      <vt:lpstr>outputFLUXYN</vt:lpstr>
      <vt:lpstr>outputHUMANYN</vt:lpstr>
      <vt:lpstr>outputMCTKYN</vt:lpstr>
      <vt:lpstr>Papp_Caco_2</vt:lpstr>
      <vt:lpstr>pKa</vt:lpstr>
      <vt:lpstr>pKb</vt:lpstr>
      <vt:lpstr>Pop</vt:lpstr>
      <vt:lpstr>PopNum</vt:lpstr>
      <vt:lpstr>PopProtected</vt:lpstr>
      <vt:lpstr>RAIN_APR</vt:lpstr>
      <vt:lpstr>RAIN_AUG</vt:lpstr>
      <vt:lpstr>RAIN_DEC</vt:lpstr>
      <vt:lpstr>RAIN_FEB</vt:lpstr>
      <vt:lpstr>RAIN_JAN</vt:lpstr>
      <vt:lpstr>RAIN_JUL</vt:lpstr>
      <vt:lpstr>RAIN_JUN</vt:lpstr>
      <vt:lpstr>RAIN_MAR</vt:lpstr>
      <vt:lpstr>RAIN_MAY</vt:lpstr>
      <vt:lpstr>RAIN_NOV</vt:lpstr>
      <vt:lpstr>RAIN_OCT</vt:lpstr>
      <vt:lpstr>RAIN_SEP</vt:lpstr>
      <vt:lpstr>S</vt:lpstr>
      <vt:lpstr>Sex</vt:lpstr>
      <vt:lpstr>Si</vt:lpstr>
      <vt:lpstr>SimulationEnds</vt:lpstr>
      <vt:lpstr>STDBW</vt:lpstr>
      <vt:lpstr>T_APR</vt:lpstr>
      <vt:lpstr>T_AUG</vt:lpstr>
      <vt:lpstr>T_DEC</vt:lpstr>
      <vt:lpstr>T_DewPoint</vt:lpstr>
      <vt:lpstr>T_FEB</vt:lpstr>
      <vt:lpstr>T_indoor</vt:lpstr>
      <vt:lpstr>T_JAN</vt:lpstr>
      <vt:lpstr>T_JUL</vt:lpstr>
      <vt:lpstr>T_JUN</vt:lpstr>
      <vt:lpstr>T_MAR</vt:lpstr>
      <vt:lpstr>T_MAY</vt:lpstr>
      <vt:lpstr>T_NOV</vt:lpstr>
      <vt:lpstr>T_OCT</vt:lpstr>
      <vt:lpstr>T_rural</vt:lpstr>
      <vt:lpstr>T_SEP</vt:lpstr>
      <vt:lpstr>T_urban</vt:lpstr>
      <vt:lpstr>V</vt:lpstr>
      <vt:lpstr>Vi</vt:lpstr>
      <vt:lpstr>WIND_APR</vt:lpstr>
      <vt:lpstr>WIND_AUG</vt:lpstr>
      <vt:lpstr>WIND_DEC</vt:lpstr>
      <vt:lpstr>WIND_FEB</vt:lpstr>
      <vt:lpstr>WIND_indoor</vt:lpstr>
      <vt:lpstr>WIND_JAN</vt:lpstr>
      <vt:lpstr>WIND_JUL</vt:lpstr>
      <vt:lpstr>WIND_JUN</vt:lpstr>
      <vt:lpstr>WIND_MAR</vt:lpstr>
      <vt:lpstr>WIND_MAY</vt:lpstr>
      <vt:lpstr>WIND_NOV</vt:lpstr>
      <vt:lpstr>WIND_OCT</vt:lpstr>
      <vt:lpstr>WIND_rural</vt:lpstr>
      <vt:lpstr>WIND_SEP</vt:lpstr>
      <vt:lpstr>WIND_urban</vt:lpstr>
    </vt:vector>
  </TitlesOfParts>
  <Company>Peking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 Li</dc:creator>
  <cp:lastModifiedBy>Li Li</cp:lastModifiedBy>
  <dcterms:created xsi:type="dcterms:W3CDTF">2016-08-17T03:01:53Z</dcterms:created>
  <dcterms:modified xsi:type="dcterms:W3CDTF">2026-02-04T06:32:01Z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9b38bac-b8d9-4247-86ce-c60989fdd649_Enabled">
    <vt:lpwstr>true</vt:lpwstr>
  </property>
  <property fmtid="{D5CDD505-2E9C-101B-9397-08002B2CF9AE}" pid="3" name="MSIP_Label_49b38bac-b8d9-4247-86ce-c60989fdd649_SetDate">
    <vt:lpwstr>2022-09-01T08:27:58Z</vt:lpwstr>
  </property>
  <property fmtid="{D5CDD505-2E9C-101B-9397-08002B2CF9AE}" pid="4" name="MSIP_Label_49b38bac-b8d9-4247-86ce-c60989fdd649_Method">
    <vt:lpwstr>Standard</vt:lpwstr>
  </property>
  <property fmtid="{D5CDD505-2E9C-101B-9397-08002B2CF9AE}" pid="5" name="MSIP_Label_49b38bac-b8d9-4247-86ce-c60989fdd649_Name">
    <vt:lpwstr>defa4170-0d19-0005-0004-bc88714345d2</vt:lpwstr>
  </property>
  <property fmtid="{D5CDD505-2E9C-101B-9397-08002B2CF9AE}" pid="6" name="MSIP_Label_49b38bac-b8d9-4247-86ce-c60989fdd649_SiteId">
    <vt:lpwstr>523b4bfc-0ebd-4c03-b2b9-6f6a17fd31d8</vt:lpwstr>
  </property>
  <property fmtid="{D5CDD505-2E9C-101B-9397-08002B2CF9AE}" pid="7" name="MSIP_Label_49b38bac-b8d9-4247-86ce-c60989fdd649_ActionId">
    <vt:lpwstr>04e73689-9636-4648-83fc-cef902e14e58</vt:lpwstr>
  </property>
  <property fmtid="{D5CDD505-2E9C-101B-9397-08002B2CF9AE}" pid="8" name="MSIP_Label_49b38bac-b8d9-4247-86ce-c60989fdd649_ContentBits">
    <vt:lpwstr>0</vt:lpwstr>
  </property>
</Properties>
</file>